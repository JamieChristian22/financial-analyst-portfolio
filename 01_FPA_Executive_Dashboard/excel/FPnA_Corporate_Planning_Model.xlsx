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2b21e5efbf4e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ec9cff3ab8314f30"/>
    <x:sheet xmlns:r="http://schemas.openxmlformats.org/officeDocument/2006/relationships" name="Assumptions" sheetId="2" r:id="Rb7ff2ee67b7d4400"/>
    <x:sheet xmlns:r="http://schemas.openxmlformats.org/officeDocument/2006/relationships" name="Raw Data" sheetId="3" r:id="R8cb96a260dec42e5"/>
    <x:sheet xmlns:r="http://schemas.openxmlformats.org/officeDocument/2006/relationships" name="Monthly P&amp;L" sheetId="4" r:id="Rd0233a0c402247e1"/>
    <x:sheet xmlns:r="http://schemas.openxmlformats.org/officeDocument/2006/relationships" name="Department Variance" sheetId="5" r:id="R1de9b3157ea44af9"/>
    <x:sheet xmlns:r="http://schemas.openxmlformats.org/officeDocument/2006/relationships" name="Forecast" sheetId="6" r:id="R16ea08639f74497f"/>
    <x:sheet xmlns:r="http://schemas.openxmlformats.org/officeDocument/2006/relationships" name="Scenario Planning" sheetId="7" r:id="R8fdf5f0eba6b4d26"/>
    <x:sheet xmlns:r="http://schemas.openxmlformats.org/officeDocument/2006/relationships" name="DCF Valuation" sheetId="8" r:id="R79b9a7706d754949"/>
    <x:sheet xmlns:r="http://schemas.openxmlformats.org/officeDocument/2006/relationships" name="Management Commentary" sheetId="9" r:id="Rc0287654ddfe4f69"/>
    <x:sheet xmlns:r="http://schemas.openxmlformats.org/officeDocument/2006/relationships" name="Controls" sheetId="10" r:id="R71fdade6e23f496a"/>
    <x:sheet xmlns:r="http://schemas.openxmlformats.org/officeDocument/2006/relationships" name="Data Dictionary" sheetId="11" r:id="R5ccb6af9f39d460c"/>
    <x:sheet xmlns:r="http://schemas.openxmlformats.org/officeDocument/2006/relationships" name="KPI Scorecard" sheetId="12" r:id="R5ae0351cb8974b04"/>
    <x:sheet xmlns:r="http://schemas.openxmlformats.org/officeDocument/2006/relationships" name="Forecast Bridge" sheetId="13" r:id="Rfad357e52ecb47cc"/>
    <x:sheet xmlns:r="http://schemas.openxmlformats.org/officeDocument/2006/relationships" name="Headcount Plan" sheetId="14" r:id="R36c2dc29884947cd"/>
    <x:sheet xmlns:r="http://schemas.openxmlformats.org/officeDocument/2006/relationships" name="Cash Flow Forecast" sheetId="15" r:id="R8efff4552eec4e8d"/>
    <x:sheet xmlns:r="http://schemas.openxmlformats.org/officeDocument/2006/relationships" name="Sensitivity Analysis" sheetId="16" r:id="R48975b42fbfb41cb"/>
    <x:sheet xmlns:r="http://schemas.openxmlformats.org/officeDocument/2006/relationships" name="Assumption Change Log" sheetId="17" r:id="R0ed97ed65c78424b"/>
    <x:sheet xmlns:r="http://schemas.openxmlformats.org/officeDocument/2006/relationships" name="Version Control" sheetId="18" r:id="Rba79fb2506e747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;[Red](0.0%);-"/>
    <x:numFmt numFmtId="201" formatCode="mmm-yy"/>
    <x:numFmt numFmtId="202" formatCode="$#,##0;[Red]($#,##0);-"/>
    <x:numFmt numFmtId="203" formatCode="0.000x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i/>
      <x:sz val="11"/>
      <x:name val="Carlito"/>
    </x:font>
    <x:font>
      <x:b/>
      <x:sz val="11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  <x:font>
      <x:b/>
      <x:sz val="14"/>
      <x:color rgb="FF00800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00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1" xfId="0" applyNumberFormat="1" applyFont="1" applyFill="1" applyBorder="1"/>
    <x:xf numFmtId="202" fontId="5" fillId="0" borderId="1" xfId="0" applyNumberFormat="1" applyFont="1" applyFill="1" applyBorder="1"/>
    <x:xf numFmtId="202" fontId="6" fillId="0" borderId="0" xfId="0" applyNumberFormat="1" applyFont="1" applyFill="1" applyBorder="1"/>
    <x:xf numFmtId="200" fontId="6" fillId="0" borderId="0" xfId="0" applyNumberFormat="1" applyFont="1" applyFill="1" applyBorder="1"/>
    <x:xf numFmtId="202" fontId="6" fillId="0" borderId="1" xfId="0" applyNumberFormat="1" applyFont="1" applyFill="1" applyBorder="1"/>
    <x:xf numFmtId="200" fontId="6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202" fontId="8" fillId="0" borderId="0" xfId="0" applyNumberFormat="1" applyFont="1" applyFill="1" applyBorder="1"/>
    <x:xf numFmtId="202" fontId="8" fillId="0" borderId="0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/>
    <x:xf numFmtId="202" fontId="8" fillId="0" borderId="1" xfId="0" applyNumberFormat="1" applyFont="1" applyFill="1" applyBorder="1"/>
    <x:xf numFmtId="202" fontId="8" fillId="0" borderId="1" xfId="0" applyNumberFormat="1" applyFont="1" applyFill="1" applyBorder="1" applyAlignment="1">
      <x:alignment horizontal="center"/>
    </x:xf>
    <x:xf numFmtId="200" fontId="8" fillId="0" borderId="0" xfId="0" applyNumberFormat="1" applyFont="1" applyFill="1" applyBorder="1"/>
    <x:xf numFmtId="200" fontId="8" fillId="0" borderId="0" xfId="0" applyNumberFormat="1" applyFont="1" applyFill="1" applyBorder="1" applyAlignment="1">
      <x:alignment horizontal="center"/>
    </x:xf>
    <x:xf numFmtId="200" fontId="8" fillId="0" borderId="1" xfId="0" applyNumberFormat="1" applyFont="1" applyFill="1" applyBorder="1"/>
    <x:xf numFmtId="200" fontId="8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1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center" vertical="center"/>
    </x:xf>
    <x:xf numFmtId="0" fontId="2" fillId="8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/>
    <x:xf numFmtId="202" fontId="3" fillId="9" borderId="0" xfId="0" applyNumberFormat="1" applyFont="1" applyFill="1" applyBorder="1"/>
    <x:xf numFmtId="20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202" fontId="3" fillId="9" borderId="0" xfId="0" applyNumberFormat="1" applyFont="1" applyFill="1" applyBorder="1" applyAlignment="1">
      <x:alignment wrapText="1"/>
    </x:xf>
    <x:xf numFmtId="200" fontId="3" fillId="9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202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e25a3806ff4956" /><Relationship Type="http://schemas.openxmlformats.org/officeDocument/2006/relationships/theme" Target="/xl/theme/theme1.xml" Id="R98b46e8398e0404c" /><Relationship Type="http://schemas.openxmlformats.org/officeDocument/2006/relationships/sharedStrings" Target="/xl/sharedStrings.xml" Id="R7c83023543044cfb" /><Relationship Type="http://schemas.openxmlformats.org/officeDocument/2006/relationships/worksheet" Target="/xl/worksheets/sheet1.xml" Id="Rec9cff3ab8314f30" /><Relationship Type="http://schemas.openxmlformats.org/officeDocument/2006/relationships/worksheet" Target="/xl/worksheets/sheet2.xml" Id="Rb7ff2ee67b7d4400" /><Relationship Type="http://schemas.openxmlformats.org/officeDocument/2006/relationships/worksheet" Target="/xl/worksheets/sheet3.xml" Id="R8cb96a260dec42e5" /><Relationship Type="http://schemas.openxmlformats.org/officeDocument/2006/relationships/worksheet" Target="/xl/worksheets/sheet4.xml" Id="Rd0233a0c402247e1" /><Relationship Type="http://schemas.openxmlformats.org/officeDocument/2006/relationships/worksheet" Target="/xl/worksheets/sheet5.xml" Id="R1de9b3157ea44af9" /><Relationship Type="http://schemas.openxmlformats.org/officeDocument/2006/relationships/worksheet" Target="/xl/worksheets/sheet6.xml" Id="R16ea08639f74497f" /><Relationship Type="http://schemas.openxmlformats.org/officeDocument/2006/relationships/worksheet" Target="/xl/worksheets/sheet7.xml" Id="R8fdf5f0eba6b4d26" /><Relationship Type="http://schemas.openxmlformats.org/officeDocument/2006/relationships/worksheet" Target="/xl/worksheets/sheet8.xml" Id="R79b9a7706d754949" /><Relationship Type="http://schemas.openxmlformats.org/officeDocument/2006/relationships/worksheet" Target="/xl/worksheets/sheet9.xml" Id="Rc0287654ddfe4f69" /><Relationship Type="http://schemas.openxmlformats.org/officeDocument/2006/relationships/worksheet" Target="/xl/worksheets/sheet10.xml" Id="R71fdade6e23f496a" /><Relationship Type="http://schemas.openxmlformats.org/officeDocument/2006/relationships/worksheet" Target="/xl/worksheets/sheet11.xml" Id="R5ccb6af9f39d460c" /><Relationship Type="http://schemas.openxmlformats.org/officeDocument/2006/relationships/worksheet" Target="/xl/worksheets/sheet12.xml" Id="R5ae0351cb8974b04" /><Relationship Type="http://schemas.openxmlformats.org/officeDocument/2006/relationships/worksheet" Target="/xl/worksheets/sheet13.xml" Id="Rfad357e52ecb47cc" /><Relationship Type="http://schemas.openxmlformats.org/officeDocument/2006/relationships/worksheet" Target="/xl/worksheets/sheet14.xml" Id="R36c2dc29884947cd" /><Relationship Type="http://schemas.openxmlformats.org/officeDocument/2006/relationships/worksheet" Target="/xl/worksheets/sheet15.xml" Id="R8efff4552eec4e8d" /><Relationship Type="http://schemas.openxmlformats.org/officeDocument/2006/relationships/worksheet" Target="/xl/worksheets/sheet16.xml" Id="R48975b42fbfb41cb" /><Relationship Type="http://schemas.openxmlformats.org/officeDocument/2006/relationships/worksheet" Target="/xl/worksheets/sheet17.xml" Id="R0ed97ed65c78424b" /><Relationship Type="http://schemas.openxmlformats.org/officeDocument/2006/relationships/worksheet" Target="/xl/worksheets/sheet18.xml" Id="Rba79fb2506e747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c1987334e994704" /><Relationship Type="http://schemas.openxmlformats.org/officeDocument/2006/relationships/chart" Target="/xl/drawings/charts/chart2.xml" Id="Re5d3bc29448644d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Department OpEx: Budget vs Actual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OpEx Budget</c:v>
          </c:tx>
          <c:cat>
            <c:strRef>
              <c:f>'Executive Dashboard'!$A$18:$A$22</c:f>
              <c:strCache>
                <c:ptCount val="0"/>
              </c:strCache>
            </c:strRef>
          </c:cat>
          <c:val>
            <c:numRef>
              <c:f>'Executive Dashboard'!$B$18:$B$22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OpEx Actual</c:v>
          </c:tx>
          <c:cat>
            <c:strRef>
              <c:f>'Executive Dashboard'!$A$18:$A$22</c:f>
              <c:strCache>
                <c:ptCount val="0"/>
              </c:strCache>
            </c:strRef>
          </c:cat>
          <c:val>
            <c:numRef>
              <c:f>'Executive Dashboard'!$C$18:$C$22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 &amp; Operating Profit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Revenue Actual</c:v>
          </c:tx>
          <c:marker>
            <c:symbol val="none"/>
          </c:marker>
          <c:cat>
            <c:strRef>
              <c:f>'Executive Dashboard'!$E$18:$E$29</c:f>
              <c:strCache>
                <c:ptCount val="0"/>
              </c:strCache>
            </c:strRef>
          </c:cat>
          <c:val>
            <c:numRef>
              <c:f>'Executive Dashboard'!$F$18:$F$29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Operating Profit</c:v>
          </c:tx>
          <c:marker>
            <c:symbol val="none"/>
          </c:marker>
          <c:cat>
            <c:strRef>
              <c:f>'Executive Dashboard'!$E$18:$E$29</c:f>
              <c:strCache>
                <c:ptCount val="0"/>
              </c:strCache>
            </c:strRef>
          </c:cat>
          <c:val>
            <c:numRef>
              <c:f>'Executive Dashboard'!$G$18:$G$29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8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1987334e994704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d3bc29448644d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PARawData" displayName="FPARawData" ref="A3:G423" headerRowCount="1" totalsRowCount="0" totalsRowShown="0">
  <x:tableColumns count="7">
    <x:tableColumn id="1" name="Month"/>
    <x:tableColumn id="2" name="Department"/>
    <x:tableColumn id="3" name="Account"/>
    <x:tableColumn id="4" name="Budget ($)"/>
    <x:tableColumn id="5" name="Actual ($)"/>
    <x:tableColumn id="6" name="Variance ($)"/>
    <x:tableColumn id="7" name="Variance (%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4374988619d41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88aadb3cdfb4de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1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5" t="str">
        <x:v>FP&amp;A Executive Dashboard | FY 2025 Actuals &amp; FY 2026 Outlook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51" t="str">
        <x:v>Executive Summary</x:v>
      </x:c>
      <x:c r="B3" s="51"/>
      <x:c r="C3" s="51"/>
      <x:c r="D3" s="51"/>
      <x:c r="E3" s="51"/>
      <x:c r="F3" s="51"/>
      <x:c r="G3" s="51"/>
      <x:c r="H3" s="51"/>
      <x:c r="I3" s="51"/>
      <x:c r="J3" s="51"/>
      <x:c r="K3" s="51"/>
      <x:c r="L3" s="51"/>
      <x:c r="M3" s="51"/>
      <x:c r="N3" s="51"/>
    </x:row>
    <x:row r="5">
      <x:c r="A5" s="56" t="str">
        <x:v>Revenue</x:v>
      </x:c>
      <x:c r="D5" s="56" t="str">
        <x:v>Gross Margin</x:v>
      </x:c>
      <x:c r="G5" s="56" t="str">
        <x:v>Total OpEx</x:v>
      </x:c>
      <x:c r="J5" s="56" t="str">
        <x:v>Operating Profit</x:v>
      </x:c>
      <x:c r="M5" s="56" t="str">
        <x:v>Op Margin</x:v>
      </x:c>
    </x:row>
    <x:row r="6">
      <x:c r="A6" s="62" t="n">
        <x:f>'Monthly P&amp;L'!N4</x:f>
        <x:v>11261530.930000002</x:v>
      </x:c>
      <x:c r="D6" s="67" t="n">
        <x:f>'Monthly P&amp;L'!N7</x:f>
        <x:v>0.5723286212205964</x:v>
      </x:c>
      <x:c r="G6" s="62" t="n">
        <x:f>'Monthly P&amp;L'!N13</x:f>
        <x:v>5827167.140000001</x:v>
      </x:c>
      <x:c r="J6" s="62" t="n">
        <x:f>'Monthly P&amp;L'!N14</x:f>
        <x:v>618129.3300000003</x:v>
      </x:c>
      <x:c r="M6" s="67" t="n">
        <x:f>'Monthly P&amp;L'!N15</x:f>
        <x:v>0.054888570110245234</x:v>
      </x:c>
    </x:row>
    <x:row r="9">
      <x:c r="A9" s="51" t="str">
        <x:v>Top Management Focus</x:v>
      </x:c>
      <x:c r="B9" s="51"/>
      <x:c r="C9" s="51"/>
      <x:c r="D9" s="51"/>
      <x:c r="E9" s="51"/>
      <x:c r="F9" s="51"/>
    </x:row>
    <x:row r="10">
      <x:c r="A10" s="47" t="str">
        <x:v>1</x:v>
      </x:c>
      <x:c r="B10" s="47" t="str">
        <x:v>R&amp;D cost discipline</x:v>
      </x:c>
      <x:c r="C10" s="47" t="str">
        <x:v>Monitor payroll/software hiring and tooling decisions</x:v>
      </x:c>
      <x:c r="D10" s="47" t="str"/>
      <x:c r="E10" s="47" t="str"/>
      <x:c r="F10" s="47" t="str"/>
    </x:row>
    <x:row r="11">
      <x:c r="A11" s="47" t="str">
        <x:v>2</x:v>
      </x:c>
      <x:c r="B11" s="47" t="str">
        <x:v>Travel forecast accuracy</x:v>
      </x:c>
      <x:c r="C11" s="47" t="str">
        <x:v>Reforecast monthly; require commentary above 5%</x:v>
      </x:c>
      <x:c r="D11" s="47" t="str"/>
      <x:c r="E11" s="47" t="str"/>
      <x:c r="F11" s="47" t="str"/>
    </x:row>
    <x:row r="12">
      <x:c r="A12" s="47" t="str">
        <x:v>3</x:v>
      </x:c>
      <x:c r="B12" s="47" t="str">
        <x:v>Revenue scenario range</x:v>
      </x:c>
      <x:c r="C12" s="47" t="str">
        <x:v>Use base/upside/downside outlook in monthly business review</x:v>
      </x:c>
      <x:c r="D12" s="47" t="str"/>
      <x:c r="E12" s="47" t="str"/>
      <x:c r="F12" s="47" t="str"/>
    </x:row>
    <x:row r="13">
      <x:c r="A13" s="47" t="str">
        <x:v>4</x:v>
      </x:c>
      <x:c r="B13" s="47" t="str">
        <x:v>Forecast governance</x:v>
      </x:c>
      <x:c r="C13" s="47" t="str">
        <x:v>Document assumption changes and tie dashboard to source model</x:v>
      </x:c>
      <x:c r="D13" s="47" t="str"/>
      <x:c r="E13" s="47" t="str"/>
      <x:c r="F13" s="47" t="str"/>
    </x:row>
    <x:row r="17">
      <x:c r="A17" s="32" t="str">
        <x:v>Department</x:v>
      </x:c>
      <x:c r="B17" s="32" t="str">
        <x:v>OpEx Budget</x:v>
      </x:c>
      <x:c r="C17" s="32" t="str">
        <x:v>OpEx Actual</x:v>
      </x:c>
      <x:c r="E17" s="32" t="str">
        <x:v>Month</x:v>
      </x:c>
      <x:c r="F17" s="32" t="str">
        <x:v>Revenue Actual</x:v>
      </x:c>
      <x:c r="G17" s="32" t="str">
        <x:v>Operating Profit</x:v>
      </x:c>
    </x:row>
    <x:row r="18">
      <x:c r="A18" t="str">
        <x:v>Sales</x:v>
      </x:c>
      <x:c r="B18" s="28" t="n">
        <x:f>'Department Variance'!D4</x:f>
        <x:v>1064478.1199999999</x:v>
      </x:c>
      <x:c r="C18" s="28" t="n">
        <x:f>'Department Variance'!E4</x:f>
        <x:v>1094148.74</x:v>
      </x:c>
      <x:c r="E18" t="str">
        <x:v>Jan</x:v>
      </x:c>
      <x:c r="F18" s="28" t="n">
        <x:f>'Monthly P&amp;L'!B4</x:f>
        <x:v>913557.9400000001</x:v>
      </x:c>
      <x:c r="G18" s="28" t="n">
        <x:f>'Monthly P&amp;L'!B14</x:f>
        <x:v>77001.78000000003</x:v>
      </x:c>
    </x:row>
    <x:row r="19">
      <x:c r="A19" t="str">
        <x:v>Marketing</x:v>
      </x:c>
      <x:c r="B19" s="28" t="n">
        <x:f>'Department Variance'!D5</x:f>
        <x:v>1052425.7999999998</x:v>
      </x:c>
      <x:c r="C19" s="28" t="n">
        <x:f>'Department Variance'!E5</x:f>
        <x:v>1098956.97</x:v>
      </x:c>
      <x:c r="E19" t="str">
        <x:v>Feb</x:v>
      </x:c>
      <x:c r="F19" s="28" t="n">
        <x:f>'Monthly P&amp;L'!C4</x:f>
        <x:v>913336.4</x:v>
      </x:c>
      <x:c r="G19" s="28" t="n">
        <x:f>'Monthly P&amp;L'!C14</x:f>
        <x:v>75388.92999999993</x:v>
      </x:c>
    </x:row>
    <x:row r="20">
      <x:c r="A20" t="str">
        <x:v>R&amp;D</x:v>
      </x:c>
      <x:c r="B20" s="28" t="n">
        <x:f>'Department Variance'!D6</x:f>
        <x:v>1370090.52</x:v>
      </x:c>
      <x:c r="C20" s="28" t="n">
        <x:f>'Department Variance'!E6</x:f>
        <x:v>1480606.6199999999</x:v>
      </x:c>
      <x:c r="E20" t="str">
        <x:v>Mar</x:v>
      </x:c>
      <x:c r="F20" s="28" t="n">
        <x:f>'Monthly P&amp;L'!D4</x:f>
        <x:v>901431.77</x:v>
      </x:c>
      <x:c r="G20" s="28" t="n">
        <x:f>'Monthly P&amp;L'!D14</x:f>
        <x:v>38033.37000000005</x:v>
      </x:c>
    </x:row>
    <x:row r="21">
      <x:c r="A21" t="str">
        <x:v>Operations</x:v>
      </x:c>
      <x:c r="B21" s="28" t="n">
        <x:f>'Department Variance'!D7</x:f>
        <x:v>1052425.7999999998</x:v>
      </x:c>
      <x:c r="C21" s="28" t="n">
        <x:f>'Department Variance'!E7</x:f>
        <x:v>1070015.38</x:v>
      </x:c>
      <x:c r="E21" t="str">
        <x:v>Apr</x:v>
      </x:c>
      <x:c r="F21" s="28" t="n">
        <x:f>'Monthly P&amp;L'!E4</x:f>
        <x:v>895203.1499999999</x:v>
      </x:c>
      <x:c r="G21" s="28" t="n">
        <x:f>'Monthly P&amp;L'!E14</x:f>
        <x:v>26220.39999999985</x:v>
      </x:c>
    </x:row>
    <x:row r="22">
      <x:c r="A22" t="str">
        <x:v>G&amp;A</x:v>
      </x:c>
      <x:c r="B22" s="28" t="n">
        <x:f>'Department Variance'!D8</x:f>
        <x:v>1052425.7999999998</x:v>
      </x:c>
      <x:c r="C22" s="28" t="n">
        <x:f>'Department Variance'!E8</x:f>
        <x:v>1083439.4300000002</x:v>
      </x:c>
      <x:c r="E22" t="str">
        <x:v>May</x:v>
      </x:c>
      <x:c r="F22" s="28" t="n">
        <x:f>'Monthly P&amp;L'!F4</x:f>
        <x:v>907555.04</x:v>
      </x:c>
      <x:c r="G22" s="28" t="n">
        <x:f>'Monthly P&amp;L'!F14</x:f>
        <x:v>29735.01000000001</x:v>
      </x:c>
    </x:row>
    <x:row r="23">
      <x:c r="E23" t="str">
        <x:v>Jun</x:v>
      </x:c>
      <x:c r="F23" s="28" t="n">
        <x:f>'Monthly P&amp;L'!G4</x:f>
        <x:v>935939.87</x:v>
      </x:c>
      <x:c r="G23" s="28" t="n">
        <x:f>'Monthly P&amp;L'!G14</x:f>
        <x:v>46526.60999999993</x:v>
      </x:c>
    </x:row>
    <x:row r="24">
      <x:c r="E24" t="str">
        <x:v>Jul</x:v>
      </x:c>
      <x:c r="F24" s="28" t="n">
        <x:f>'Monthly P&amp;L'!H4</x:f>
        <x:v>964210.23</x:v>
      </x:c>
      <x:c r="G24" s="28" t="n">
        <x:f>'Monthly P&amp;L'!H14</x:f>
        <x:v>84853.25</x:v>
      </x:c>
    </x:row>
    <x:row r="25">
      <x:c r="E25" t="str">
        <x:v>Aug</x:v>
      </x:c>
      <x:c r="F25" s="28" t="n">
        <x:f>'Monthly P&amp;L'!I4</x:f>
        <x:v>976005.08</x:v>
      </x:c>
      <x:c r="G25" s="28" t="n">
        <x:f>'Monthly P&amp;L'!I14</x:f>
        <x:v>81561.94999999984</x:v>
      </x:c>
    </x:row>
    <x:row r="26">
      <x:c r="E26" t="str">
        <x:v>Sep</x:v>
      </x:c>
      <x:c r="F26" s="28" t="n">
        <x:f>'Monthly P&amp;L'!J4</x:f>
        <x:v>968573.4600000001</x:v>
      </x:c>
      <x:c r="G26" s="28" t="n">
        <x:f>'Monthly P&amp;L'!J14</x:f>
        <x:v>43227.91000000009</x:v>
      </x:c>
    </x:row>
    <x:row r="27">
      <x:c r="E27" t="str">
        <x:v>Oct</x:v>
      </x:c>
      <x:c r="F27" s="28" t="n">
        <x:f>'Monthly P&amp;L'!K4</x:f>
        <x:v>955357.0800000001</x:v>
      </x:c>
      <x:c r="G27" s="28" t="n">
        <x:f>'Monthly P&amp;L'!K14</x:f>
        <x:v>36570.79000000004</x:v>
      </x:c>
    </x:row>
    <x:row r="28">
      <x:c r="E28" t="str">
        <x:v>Nov</x:v>
      </x:c>
      <x:c r="F28" s="28" t="n">
        <x:f>'Monthly P&amp;L'!L4</x:f>
        <x:v>954935.8700000002</x:v>
      </x:c>
      <x:c r="G28" s="28" t="n">
        <x:f>'Monthly P&amp;L'!L14</x:f>
        <x:v>38279.05000000028</x:v>
      </x:c>
    </x:row>
    <x:row r="29">
      <x:c r="E29" t="str">
        <x:v>Dec</x:v>
      </x:c>
      <x:c r="F29" s="28" t="n">
        <x:f>'Monthly P&amp;L'!M4</x:f>
        <x:v>975425.0400000002</x:v>
      </x:c>
      <x:c r="G29" s="28" t="n">
        <x:f>'Monthly P&amp;L'!M14</x:f>
        <x:v>40730.2800000002</x:v>
      </x:c>
    </x:row>
    <x:row r="36">
      <x:c r="A36" s="93" t="str">
        <x:v>Decision Support | Management Review Framework</x:v>
      </x:c>
      <x:c r="B36" s="93"/>
      <x:c r="C36" s="93"/>
      <x:c r="D36" s="93"/>
      <x:c r="E36" s="93"/>
      <x:c r="F36" s="93"/>
      <x:c r="G36" s="93"/>
      <x:c r="H36" s="93"/>
      <x:c r="I36" s="93"/>
      <x:c r="J36" s="93"/>
      <x:c r="K36" s="93"/>
      <x:c r="L36" s="93"/>
      <x:c r="M36" s="93"/>
      <x:c r="N36" s="93"/>
    </x:row>
    <x:row r="38">
      <x:c r="A38" s="95" t="str">
        <x:v>Area</x:v>
      </x:c>
      <x:c r="B38" s="95" t="str">
        <x:v>Primary KPI</x:v>
      </x:c>
      <x:c r="C38" s="95" t="str">
        <x:v>Trigger</x:v>
      </x:c>
      <x:c r="D38" s="95" t="str">
        <x:v>Management Question</x:v>
      </x:c>
      <x:c r="E38" s="95" t="str">
        <x:v>Action</x:v>
      </x:c>
      <x:c r="F38" t="str"/>
      <x:c r="G38" t="str"/>
      <x:c r="H38" t="str"/>
      <x:c r="I38" t="str"/>
      <x:c r="J38" t="str"/>
      <x:c r="K38" t="str"/>
      <x:c r="L38" t="str"/>
      <x:c r="M38" t="str"/>
      <x:c r="N38" t="str"/>
    </x:row>
    <x:row r="39">
      <x:c r="A39" s="47" t="str">
        <x:v>Revenue</x:v>
      </x:c>
      <x:c r="B39" s="47" t="str">
        <x:v>Revenue growth / variance</x:v>
      </x:c>
      <x:c r="C39" s="47" t="str">
        <x:v>Material miss vs plan</x:v>
      </x:c>
      <x:c r="D39" s="47" t="str">
        <x:v>Is the gap timing, volume, price, or mix?</x:v>
      </x:c>
      <x:c r="E39" s="47" t="str">
        <x:v>Update commercial forecast and scenario range</x:v>
      </x:c>
      <x:c r="F39" t="str"/>
      <x:c r="G39" t="str"/>
      <x:c r="H39" t="str"/>
      <x:c r="I39" t="str"/>
      <x:c r="J39" t="str"/>
      <x:c r="K39" t="str"/>
      <x:c r="L39" t="str"/>
      <x:c r="M39" t="str"/>
      <x:c r="N39" t="str"/>
    </x:row>
    <x:row r="40">
      <x:c r="A40" s="47" t="str">
        <x:v>Gross Margin</x:v>
      </x:c>
      <x:c r="B40" s="47" t="str">
        <x:v>Gross Margin %</x:v>
      </x:c>
      <x:c r="C40" s="47" t="str">
        <x:v>Margin deterioration</x:v>
      </x:c>
      <x:c r="D40" s="47" t="str">
        <x:v>Are COGS or mix changes structural?</x:v>
      </x:c>
      <x:c r="E40" s="47" t="str">
        <x:v>Refresh supplier/product assumptions</x:v>
      </x:c>
      <x:c r="F40" t="str"/>
      <x:c r="G40" t="str"/>
      <x:c r="H40" t="str"/>
      <x:c r="I40" t="str"/>
      <x:c r="J40" t="str"/>
      <x:c r="K40" t="str"/>
      <x:c r="L40" t="str"/>
      <x:c r="M40" t="str"/>
      <x:c r="N40" t="str"/>
    </x:row>
    <x:row r="41">
      <x:c r="A41" s="47" t="str">
        <x:v>OpEx</x:v>
      </x:c>
      <x:c r="B41" s="47" t="str">
        <x:v>OpEx variance %</x:v>
      </x:c>
      <x:c r="C41" s="47" t="str">
        <x:v>&gt;5% absolute variance</x:v>
      </x:c>
      <x:c r="D41" s="47" t="str">
        <x:v>Is the variance controllable or timing-related?</x:v>
      </x:c>
      <x:c r="E41" s="47" t="str">
        <x:v>Assign owner and action plan</x:v>
      </x:c>
      <x:c r="F41" t="str"/>
      <x:c r="G41" t="str"/>
      <x:c r="H41" t="str"/>
      <x:c r="I41" t="str"/>
      <x:c r="J41" t="str"/>
      <x:c r="K41" t="str"/>
      <x:c r="L41" t="str"/>
      <x:c r="M41" t="str"/>
      <x:c r="N41" t="str"/>
    </x:row>
    <x:row r="42">
      <x:c r="A42" s="47" t="str">
        <x:v>Liquidity</x:v>
      </x:c>
      <x:c r="B42" s="47" t="str">
        <x:v>Ending Cash</x:v>
      </x:c>
      <x:c r="C42" s="47" t="str">
        <x:v>Below minimum cash threshold</x:v>
      </x:c>
      <x:c r="D42" s="47" t="str">
        <x:v>Do we need spend controls or financing action?</x:v>
      </x:c>
      <x:c r="E42" s="47" t="str">
        <x:v>Escalate to finance leadership</x:v>
      </x:c>
      <x:c r="F42" t="str"/>
      <x:c r="G42" t="str"/>
      <x:c r="H42" t="str"/>
      <x:c r="I42" t="str"/>
      <x:c r="J42" t="str"/>
      <x:c r="K42" t="str"/>
      <x:c r="L42" t="str"/>
      <x:c r="M42" t="str"/>
      <x:c r="N42" t="str"/>
    </x:row>
  </x:sheetData>
  <x:mergeCells>
    <x:mergeCell ref="A1:N1"/>
    <x:mergeCell ref="A3:N3"/>
    <x:mergeCell ref="A9:F9"/>
    <x:mergeCell ref="A36:N36"/>
  </x:mergeCells>
  <x:pageMargins left="0.7" right="0.7" top="0.75" bottom="0.75" header="0.3" footer="0.3"/>
  <x:drawing xmlns:r="http://schemas.openxmlformats.org/officeDocument/2006/relationships" r:id="R84374988619d4181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34" hidden="0" customWidth="1"/>
  </x:cols>
  <x:sheetData>
    <x:row r="1" ht="28" customHeight="1">
      <x:c r="A1" s="5" t="str">
        <x:v>FP&amp;A Corporate Model | Assumptions &amp; Planning Drivers</x:v>
      </x:c>
      <x:c r="B1" s="5"/>
      <x:c r="C1" s="5"/>
      <x:c r="D1" s="5"/>
      <x:c r="E1" s="5"/>
      <x:c r="F1" s="5"/>
    </x:row>
    <x:row r="3">
      <x:c r="A3" s="13" t="str">
        <x:v>Category</x:v>
      </x:c>
      <x:c r="B3" s="13" t="str">
        <x:v>Assumption</x:v>
      </x:c>
      <x:c r="C3" s="13" t="str">
        <x:v>Base</x:v>
      </x:c>
      <x:c r="D3" s="13" t="str">
        <x:v>Upside</x:v>
      </x:c>
      <x:c r="E3" s="13" t="str">
        <x:v>Downside</x:v>
      </x:c>
      <x:c r="F3" s="13" t="str">
        <x:v>Notes</x:v>
      </x:c>
    </x:row>
    <x:row r="4">
      <x:c r="A4" t="str">
        <x:v>Revenue</x:v>
      </x:c>
      <x:c r="B4" t="str">
        <x:v>Annual growth rate</x:v>
      </x:c>
      <x:c r="C4" s="22" t="n">
        <x:v>0.06</x:v>
      </x:c>
      <x:c r="D4" s="22" t="n">
        <x:v>0.1</x:v>
      </x:c>
      <x:c r="E4" s="22" t="n">
        <x:v>0.02</x:v>
      </x:c>
      <x:c r="F4" t="str">
        <x:v>Forward revenue driver</x:v>
      </x:c>
    </x:row>
    <x:row r="5">
      <x:c r="A5" t="str">
        <x:v>COGS</x:v>
      </x:c>
      <x:c r="B5" t="str">
        <x:v>COGS as % of Revenue</x:v>
      </x:c>
      <x:c r="C5" s="22" t="n">
        <x:v>0.42</x:v>
      </x:c>
      <x:c r="D5" s="22" t="n">
        <x:v>0.4</x:v>
      </x:c>
      <x:c r="E5" s="22" t="n">
        <x:v>0.45</x:v>
      </x:c>
      <x:c r="F5" t="str">
        <x:v>Gross margin driver</x:v>
      </x:c>
    </x:row>
    <x:row r="6">
      <x:c r="A6" t="str">
        <x:v>Payroll</x:v>
      </x:c>
      <x:c r="B6" t="str">
        <x:v>Annual payroll inflation</x:v>
      </x:c>
      <x:c r="C6" s="22" t="n">
        <x:v>0.05</x:v>
      </x:c>
      <x:c r="D6" s="22" t="n">
        <x:v>0.04</x:v>
      </x:c>
      <x:c r="E6" s="22" t="n">
        <x:v>0.07</x:v>
      </x:c>
      <x:c r="F6" t="str">
        <x:v>Headcount + merit impact</x:v>
      </x:c>
    </x:row>
    <x:row r="7">
      <x:c r="A7" t="str">
        <x:v>Software</x:v>
      </x:c>
      <x:c r="B7" t="str">
        <x:v>Annual software inflation</x:v>
      </x:c>
      <x:c r="C7" s="22" t="n">
        <x:v>0.08</x:v>
      </x:c>
      <x:c r="D7" s="22" t="n">
        <x:v>0.06</x:v>
      </x:c>
      <x:c r="E7" s="22" t="n">
        <x:v>0.12</x:v>
      </x:c>
      <x:c r="F7" t="str">
        <x:v>SaaS/license inflation</x:v>
      </x:c>
    </x:row>
    <x:row r="8">
      <x:c r="A8" t="str">
        <x:v>Travel</x:v>
      </x:c>
      <x:c r="B8" t="str">
        <x:v>Annual travel inflation</x:v>
      </x:c>
      <x:c r="C8" s="22" t="n">
        <x:v>0.06</x:v>
      </x:c>
      <x:c r="D8" s="22" t="n">
        <x:v>0.04</x:v>
      </x:c>
      <x:c r="E8" s="22" t="n">
        <x:v>0.1</x:v>
      </x:c>
      <x:c r="F8" t="str">
        <x:v>Policy / volume sensitivity</x:v>
      </x:c>
    </x:row>
    <x:row r="9">
      <x:c r="A9" t="str">
        <x:v>Facilities</x:v>
      </x:c>
      <x:c r="B9" t="str">
        <x:v>Annual facilities inflation</x:v>
      </x:c>
      <x:c r="C9" s="22" t="n">
        <x:v>0.03</x:v>
      </x:c>
      <x:c r="D9" s="22" t="n">
        <x:v>0.02</x:v>
      </x:c>
      <x:c r="E9" s="22" t="n">
        <x:v>0.05</x:v>
      </x:c>
      <x:c r="F9" t="str">
        <x:v>Rent and utilities</x:v>
      </x:c>
    </x:row>
    <x:row r="10">
      <x:c r="A10" t="str">
        <x:v>Other OpEx</x:v>
      </x:c>
      <x:c r="B10" t="str">
        <x:v>Annual other OpEx inflation</x:v>
      </x:c>
      <x:c r="C10" s="22" t="n">
        <x:v>0.04</x:v>
      </x:c>
      <x:c r="D10" s="22" t="n">
        <x:v>0.03</x:v>
      </x:c>
      <x:c r="E10" s="22" t="n">
        <x:v>0.07</x:v>
      </x:c>
      <x:c r="F10" t="str">
        <x:v>General spend</x:v>
      </x:c>
    </x:row>
    <x:row r="11">
      <x:c r="A11" t="str">
        <x:v>Valuation</x:v>
      </x:c>
      <x:c r="B11" t="str">
        <x:v>WACC</x:v>
      </x:c>
      <x:c r="C11" s="22" t="n">
        <x:v>0.1</x:v>
      </x:c>
      <x:c r="D11" s="22" t="n">
        <x:v>0.09</x:v>
      </x:c>
      <x:c r="E11" s="22" t="n">
        <x:v>0.115</x:v>
      </x:c>
      <x:c r="F11" t="str">
        <x:v>Illustrative DCF assumption</x:v>
      </x:c>
    </x:row>
    <x:row r="12">
      <x:c r="A12" t="str">
        <x:v>Valuation</x:v>
      </x:c>
      <x:c r="B12" t="str">
        <x:v>Terminal growth rate</x:v>
      </x:c>
      <x:c r="C12" s="22" t="n">
        <x:v>0.025</x:v>
      </x:c>
      <x:c r="D12" s="22" t="n">
        <x:v>0.03</x:v>
      </x:c>
      <x:c r="E12" s="22" t="n">
        <x:v>0.02</x:v>
      </x:c>
      <x:c r="F12" t="str">
        <x:v>Illustrative DCF assumption</x:v>
      </x:c>
    </x:row>
    <x:row r="15">
      <x:c r="A15" s="24" t="str">
        <x:v>Blue = hardcoded inputs | Green = cross-sheet links | Black = formulas | Yellow = key assumptions</x:v>
      </x:c>
    </x:row>
  </x:sheetData>
  <x:mergeCells>
    <x:mergeCell ref="A1:F1"/>
    <x:mergeCell ref="A15:F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17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8" customHeight="1">
      <x:c r="A1" s="5" t="str">
        <x:v>FP&amp;A Source Data | Budget vs Actual</x:v>
      </x:c>
      <x:c r="B1" s="5"/>
      <x:c r="C1" s="5"/>
      <x:c r="D1" s="5"/>
      <x:c r="E1" s="5"/>
      <x:c r="F1" s="5"/>
      <x:c r="G1" s="5"/>
    </x:row>
    <x:row r="3">
      <x:c r="A3" s="13" t="str">
        <x:v>Month</x:v>
      </x:c>
      <x:c r="B3" s="13" t="str">
        <x:v>Department</x:v>
      </x:c>
      <x:c r="C3" s="13" t="str">
        <x:v>Account</x:v>
      </x:c>
      <x:c r="D3" s="13" t="str">
        <x:v>Budget ($)</x:v>
      </x:c>
      <x:c r="E3" s="13" t="str">
        <x:v>Actual ($)</x:v>
      </x:c>
      <x:c r="F3" s="13" t="str">
        <x:v>Variance ($)</x:v>
      </x:c>
      <x:c r="G3" s="13" t="str">
        <x:v>Variance (%)</x:v>
      </x:c>
    </x:row>
    <x:row r="4">
      <x:c r="A4" s="26" t="n">
        <x:v>45658</x:v>
      </x:c>
      <x:c r="B4" t="str">
        <x:v>Sales</x:v>
      </x:c>
      <x:c r="C4" t="str">
        <x:v>Revenue</x:v>
      </x:c>
      <x:c r="D4" s="28" t="n">
        <x:v>441000</x:v>
      </x:c>
      <x:c r="E4" s="28" t="n">
        <x:v>459758.65</x:v>
      </x:c>
      <x:c r="F4" s="28" t="n">
        <x:v>18758.65</x:v>
      </x:c>
      <x:c r="G4" s="30" t="n">
        <x:v>0.042537</x:v>
      </x:c>
    </x:row>
    <x:row r="5">
      <x:c r="A5" s="26" t="n">
        <x:v>45658</x:v>
      </x:c>
      <x:c r="B5" t="str">
        <x:v>Sales</x:v>
      </x:c>
      <x:c r="C5" t="str">
        <x:v>COGS</x:v>
      </x:c>
      <x:c r="D5" s="28" t="n">
        <x:v>185220</x:v>
      </x:c>
      <x:c r="E5" s="28" t="n">
        <x:v>194785.62</x:v>
      </x:c>
      <x:c r="F5" s="28" t="n">
        <x:v>9565.62</x:v>
      </x:c>
      <x:c r="G5" s="30" t="n">
        <x:v>0.051645</x:v>
      </x:c>
    </x:row>
    <x:row r="6">
      <x:c r="A6" s="26" t="n">
        <x:v>45658</x:v>
      </x:c>
      <x:c r="B6" t="str">
        <x:v>Sales</x:v>
      </x:c>
      <x:c r="C6" t="str">
        <x:v>Payroll</x:v>
      </x:c>
      <x:c r="D6" s="28" t="n">
        <x:v>52020</x:v>
      </x:c>
      <x:c r="E6" s="28" t="n">
        <x:v>54498.29</x:v>
      </x:c>
      <x:c r="F6" s="28" t="n">
        <x:v>2478.29</x:v>
      </x:c>
      <x:c r="G6" s="30" t="n">
        <x:v>0.047641</x:v>
      </x:c>
    </x:row>
    <x:row r="7">
      <x:c r="A7" s="26" t="n">
        <x:v>45658</x:v>
      </x:c>
      <x:c r="B7" t="str">
        <x:v>Sales</x:v>
      </x:c>
      <x:c r="C7" t="str">
        <x:v>Software</x:v>
      </x:c>
      <x:c r="D7" s="28" t="n">
        <x:v>10710</x:v>
      </x:c>
      <x:c r="E7" s="28" t="n">
        <x:v>11113.38</x:v>
      </x:c>
      <x:c r="F7" s="28" t="n">
        <x:v>403.38</x:v>
      </x:c>
      <x:c r="G7" s="30" t="n">
        <x:v>0.037664</x:v>
      </x:c>
    </x:row>
    <x:row r="8">
      <x:c r="A8" s="26" t="n">
        <x:v>45658</x:v>
      </x:c>
      <x:c r="B8" t="str">
        <x:v>Sales</x:v>
      </x:c>
      <x:c r="C8" t="str">
        <x:v>Travel</x:v>
      </x:c>
      <x:c r="D8" s="28" t="n">
        <x:v>5712</x:v>
      </x:c>
      <x:c r="E8" s="28" t="n">
        <x:v>5876.07</x:v>
      </x:c>
      <x:c r="F8" s="28" t="n">
        <x:v>164.07</x:v>
      </x:c>
      <x:c r="G8" s="30" t="n">
        <x:v>0.028723</x:v>
      </x:c>
    </x:row>
    <x:row r="9">
      <x:c r="A9" s="26" t="n">
        <x:v>45658</x:v>
      </x:c>
      <x:c r="B9" t="str">
        <x:v>Sales</x:v>
      </x:c>
      <x:c r="C9" t="str">
        <x:v>Facilities</x:v>
      </x:c>
      <x:c r="D9" s="28" t="n">
        <x:v>6460</x:v>
      </x:c>
      <x:c r="E9" s="28" t="n">
        <x:v>6346.31</x:v>
      </x:c>
      <x:c r="F9" s="28" t="n">
        <x:v>-113.69</x:v>
      </x:c>
      <x:c r="G9" s="30" t="n">
        <x:v>-0.017599</x:v>
      </x:c>
    </x:row>
    <x:row r="10">
      <x:c r="A10" s="26" t="n">
        <x:v>45658</x:v>
      </x:c>
      <x:c r="B10" t="str">
        <x:v>Sales</x:v>
      </x:c>
      <x:c r="C10" t="str">
        <x:v>Other OpEx</x:v>
      </x:c>
      <x:c r="D10" s="28" t="n">
        <x:v>9180</x:v>
      </x:c>
      <x:c r="E10" s="28" t="n">
        <x:v>9053.5</x:v>
      </x:c>
      <x:c r="F10" s="28" t="n">
        <x:v>-126.5</x:v>
      </x:c>
      <x:c r="G10" s="30" t="n">
        <x:v>-0.01378</x:v>
      </x:c>
    </x:row>
    <x:row r="11">
      <x:c r="A11" s="26" t="n">
        <x:v>45658</x:v>
      </x:c>
      <x:c r="B11" t="str">
        <x:v>Marketing</x:v>
      </x:c>
      <x:c r="C11" t="str">
        <x:v>Revenue</x:v>
      </x:c>
      <x:c r="D11" s="28" t="n">
        <x:v>156800</x:v>
      </x:c>
      <x:c r="E11" s="28" t="n">
        <x:v>164620.34</x:v>
      </x:c>
      <x:c r="F11" s="28" t="n">
        <x:v>7820.34</x:v>
      </x:c>
      <x:c r="G11" s="30" t="n">
        <x:v>0.049875</x:v>
      </x:c>
    </x:row>
    <x:row r="12">
      <x:c r="A12" s="26" t="n">
        <x:v>45658</x:v>
      </x:c>
      <x:c r="B12" t="str">
        <x:v>Marketing</x:v>
      </x:c>
      <x:c r="C12" t="str">
        <x:v>COGS</x:v>
      </x:c>
      <x:c r="D12" s="28" t="n">
        <x:v>65856</x:v>
      </x:c>
      <x:c r="E12" s="28" t="n">
        <x:v>69051.4</x:v>
      </x:c>
      <x:c r="F12" s="28" t="n">
        <x:v>3195.4</x:v>
      </x:c>
      <x:c r="G12" s="30" t="n">
        <x:v>0.048521</x:v>
      </x:c>
    </x:row>
    <x:row r="13">
      <x:c r="A13" s="26" t="n">
        <x:v>45658</x:v>
      </x:c>
      <x:c r="B13" t="str">
        <x:v>Marketing</x:v>
      </x:c>
      <x:c r="C13" t="str">
        <x:v>Payroll</x:v>
      </x:c>
      <x:c r="D13" s="28" t="n">
        <x:v>52020</x:v>
      </x:c>
      <x:c r="E13" s="28" t="n">
        <x:v>53890.48</x:v>
      </x:c>
      <x:c r="F13" s="28" t="n">
        <x:v>1870.48</x:v>
      </x:c>
      <x:c r="G13" s="30" t="n">
        <x:v>0.035957</x:v>
      </x:c>
    </x:row>
    <x:row r="14">
      <x:c r="A14" s="26" t="n">
        <x:v>45658</x:v>
      </x:c>
      <x:c r="B14" t="str">
        <x:v>Marketing</x:v>
      </x:c>
      <x:c r="C14" t="str">
        <x:v>Software</x:v>
      </x:c>
      <x:c r="D14" s="28" t="n">
        <x:v>10710</x:v>
      </x:c>
      <x:c r="E14" s="28" t="n">
        <x:v>10977.7</x:v>
      </x:c>
      <x:c r="F14" s="28" t="n">
        <x:v>267.7</x:v>
      </x:c>
      <x:c r="G14" s="30" t="n">
        <x:v>0.024995</x:v>
      </x:c>
    </x:row>
    <x:row r="15">
      <x:c r="A15" s="26" t="n">
        <x:v>45658</x:v>
      </x:c>
      <x:c r="B15" t="str">
        <x:v>Marketing</x:v>
      </x:c>
      <x:c r="C15" t="str">
        <x:v>Travel</x:v>
      </x:c>
      <x:c r="D15" s="28" t="n">
        <x:v>4760</x:v>
      </x:c>
      <x:c r="E15" s="28" t="n">
        <x:v>4988.17</x:v>
      </x:c>
      <x:c r="F15" s="28" t="n">
        <x:v>228.17</x:v>
      </x:c>
      <x:c r="G15" s="30" t="n">
        <x:v>0.047934</x:v>
      </x:c>
    </x:row>
    <x:row r="16">
      <x:c r="A16" s="26" t="n">
        <x:v>45658</x:v>
      </x:c>
      <x:c r="B16" t="str">
        <x:v>Marketing</x:v>
      </x:c>
      <x:c r="C16" t="str">
        <x:v>Facilities</x:v>
      </x:c>
      <x:c r="D16" s="28" t="n">
        <x:v>6460</x:v>
      </x:c>
      <x:c r="E16" s="28" t="n">
        <x:v>6391.08</x:v>
      </x:c>
      <x:c r="F16" s="28" t="n">
        <x:v>-68.92</x:v>
      </x:c>
      <x:c r="G16" s="30" t="n">
        <x:v>-0.010668</x:v>
      </x:c>
    </x:row>
    <x:row r="17">
      <x:c r="A17" s="26" t="n">
        <x:v>45658</x:v>
      </x:c>
      <x:c r="B17" t="str">
        <x:v>Marketing</x:v>
      </x:c>
      <x:c r="C17" t="str">
        <x:v>Other OpEx</x:v>
      </x:c>
      <x:c r="D17" s="28" t="n">
        <x:v>9180</x:v>
      </x:c>
      <x:c r="E17" s="28" t="n">
        <x:v>9482.51</x:v>
      </x:c>
      <x:c r="F17" s="28" t="n">
        <x:v>302.51</x:v>
      </x:c>
      <x:c r="G17" s="30" t="n">
        <x:v>0.032954</x:v>
      </x:c>
    </x:row>
    <x:row r="18">
      <x:c r="A18" s="26" t="n">
        <x:v>45658</x:v>
      </x:c>
      <x:c r="B18" t="str">
        <x:v>R&amp;D</x:v>
      </x:c>
      <x:c r="C18" t="str">
        <x:v>Revenue</x:v>
      </x:c>
      <x:c r="D18" s="28" t="n">
        <x:v>117600</x:v>
      </x:c>
      <x:c r="E18" s="28" t="n">
        <x:v>122122.77</x:v>
      </x:c>
      <x:c r="F18" s="28" t="n">
        <x:v>4522.77</x:v>
      </x:c>
      <x:c r="G18" s="30" t="n">
        <x:v>0.038459</x:v>
      </x:c>
    </x:row>
    <x:row r="19">
      <x:c r="A19" s="26" t="n">
        <x:v>45658</x:v>
      </x:c>
      <x:c r="B19" t="str">
        <x:v>R&amp;D</x:v>
      </x:c>
      <x:c r="C19" t="str">
        <x:v>COGS</x:v>
      </x:c>
      <x:c r="D19" s="28" t="n">
        <x:v>49392</x:v>
      </x:c>
      <x:c r="E19" s="28" t="n">
        <x:v>51040.51</x:v>
      </x:c>
      <x:c r="F19" s="28" t="n">
        <x:v>1648.51</x:v>
      </x:c>
      <x:c r="G19" s="30" t="n">
        <x:v>0.033376</x:v>
      </x:c>
    </x:row>
    <x:row r="20">
      <x:c r="A20" s="26" t="n">
        <x:v>45658</x:v>
      </x:c>
      <x:c r="B20" t="str">
        <x:v>R&amp;D</x:v>
      </x:c>
      <x:c r="C20" t="str">
        <x:v>Payroll</x:v>
      </x:c>
      <x:c r="D20" s="28" t="n">
        <x:v>72828</x:v>
      </x:c>
      <x:c r="E20" s="28" t="n">
        <x:v>77089.31</x:v>
      </x:c>
      <x:c r="F20" s="28" t="n">
        <x:v>4261.31</x:v>
      </x:c>
      <x:c r="G20" s="30" t="n">
        <x:v>0.058512</x:v>
      </x:c>
    </x:row>
    <x:row r="21">
      <x:c r="A21" s="26" t="n">
        <x:v>45658</x:v>
      </x:c>
      <x:c r="B21" t="str">
        <x:v>R&amp;D</x:v>
      </x:c>
      <x:c r="C21" t="str">
        <x:v>Software</x:v>
      </x:c>
      <x:c r="D21" s="28" t="n">
        <x:v>14994</x:v>
      </x:c>
      <x:c r="E21" s="28" t="n">
        <x:v>15855.56</x:v>
      </x:c>
      <x:c r="F21" s="28" t="n">
        <x:v>861.56</x:v>
      </x:c>
      <x:c r="G21" s="30" t="n">
        <x:v>0.05746</x:v>
      </x:c>
    </x:row>
    <x:row r="22">
      <x:c r="A22" s="26" t="n">
        <x:v>45658</x:v>
      </x:c>
      <x:c r="B22" t="str">
        <x:v>R&amp;D</x:v>
      </x:c>
      <x:c r="C22" t="str">
        <x:v>Travel</x:v>
      </x:c>
      <x:c r="D22" s="28" t="n">
        <x:v>4760</x:v>
      </x:c>
      <x:c r="E22" s="28" t="n">
        <x:v>4924.68</x:v>
      </x:c>
      <x:c r="F22" s="28" t="n">
        <x:v>164.68</x:v>
      </x:c>
      <x:c r="G22" s="30" t="n">
        <x:v>0.034596</x:v>
      </x:c>
    </x:row>
    <x:row r="23">
      <x:c r="A23" s="26" t="n">
        <x:v>45658</x:v>
      </x:c>
      <x:c r="B23" t="str">
        <x:v>R&amp;D</x:v>
      </x:c>
      <x:c r="C23" t="str">
        <x:v>Facilities</x:v>
      </x:c>
      <x:c r="D23" s="28" t="n">
        <x:v>6460</x:v>
      </x:c>
      <x:c r="E23" s="28" t="n">
        <x:v>6558.77</x:v>
      </x:c>
      <x:c r="F23" s="28" t="n">
        <x:v>98.77</x:v>
      </x:c>
      <x:c r="G23" s="30" t="n">
        <x:v>0.015289</x:v>
      </x:c>
    </x:row>
    <x:row r="24">
      <x:c r="A24" s="26" t="n">
        <x:v>45658</x:v>
      </x:c>
      <x:c r="B24" t="str">
        <x:v>R&amp;D</x:v>
      </x:c>
      <x:c r="C24" t="str">
        <x:v>Other OpEx</x:v>
      </x:c>
      <x:c r="D24" s="28" t="n">
        <x:v>9180</x:v>
      </x:c>
      <x:c r="E24" s="28" t="n">
        <x:v>9584.76</x:v>
      </x:c>
      <x:c r="F24" s="28" t="n">
        <x:v>404.76</x:v>
      </x:c>
      <x:c r="G24" s="30" t="n">
        <x:v>0.044092</x:v>
      </x:c>
    </x:row>
    <x:row r="25">
      <x:c r="A25" s="26" t="n">
        <x:v>45658</x:v>
      </x:c>
      <x:c r="B25" t="str">
        <x:v>Operations</x:v>
      </x:c>
      <x:c r="C25" t="str">
        <x:v>Revenue</x:v>
      </x:c>
      <x:c r="D25" s="28" t="n">
        <x:v>98000</x:v>
      </x:c>
      <x:c r="E25" s="28" t="n">
        <x:v>99338.54</x:v>
      </x:c>
      <x:c r="F25" s="28" t="n">
        <x:v>1338.54</x:v>
      </x:c>
      <x:c r="G25" s="30" t="n">
        <x:v>0.013659</x:v>
      </x:c>
    </x:row>
    <x:row r="26">
      <x:c r="A26" s="26" t="n">
        <x:v>45658</x:v>
      </x:c>
      <x:c r="B26" t="str">
        <x:v>Operations</x:v>
      </x:c>
      <x:c r="C26" t="str">
        <x:v>COGS</x:v>
      </x:c>
      <x:c r="D26" s="28" t="n">
        <x:v>41160</x:v>
      </x:c>
      <x:c r="E26" s="28" t="n">
        <x:v>40117.64</x:v>
      </x:c>
      <x:c r="F26" s="28" t="n">
        <x:v>-1042.36</x:v>
      </x:c>
      <x:c r="G26" s="30" t="n">
        <x:v>-0.025325</x:v>
      </x:c>
    </x:row>
    <x:row r="27">
      <x:c r="A27" s="26" t="n">
        <x:v>45658</x:v>
      </x:c>
      <x:c r="B27" t="str">
        <x:v>Operations</x:v>
      </x:c>
      <x:c r="C27" t="str">
        <x:v>Payroll</x:v>
      </x:c>
      <x:c r="D27" s="28" t="n">
        <x:v>52020</x:v>
      </x:c>
      <x:c r="E27" s="28" t="n">
        <x:v>50830.52</x:v>
      </x:c>
      <x:c r="F27" s="28" t="n">
        <x:v>-1189.48</x:v>
      </x:c>
      <x:c r="G27" s="30" t="n">
        <x:v>-0.022866</x:v>
      </x:c>
    </x:row>
    <x:row r="28">
      <x:c r="A28" s="26" t="n">
        <x:v>45658</x:v>
      </x:c>
      <x:c r="B28" t="str">
        <x:v>Operations</x:v>
      </x:c>
      <x:c r="C28" t="str">
        <x:v>Software</x:v>
      </x:c>
      <x:c r="D28" s="28" t="n">
        <x:v>10710</x:v>
      </x:c>
      <x:c r="E28" s="28" t="n">
        <x:v>10612.29</x:v>
      </x:c>
      <x:c r="F28" s="28" t="n">
        <x:v>-97.71</x:v>
      </x:c>
      <x:c r="G28" s="30" t="n">
        <x:v>-0.009123</x:v>
      </x:c>
    </x:row>
    <x:row r="29">
      <x:c r="A29" s="26" t="n">
        <x:v>45658</x:v>
      </x:c>
      <x:c r="B29" t="str">
        <x:v>Operations</x:v>
      </x:c>
      <x:c r="C29" t="str">
        <x:v>Travel</x:v>
      </x:c>
      <x:c r="D29" s="28" t="n">
        <x:v>4760</x:v>
      </x:c>
      <x:c r="E29" s="28" t="n">
        <x:v>4835.75</x:v>
      </x:c>
      <x:c r="F29" s="28" t="n">
        <x:v>75.75</x:v>
      </x:c>
      <x:c r="G29" s="30" t="n">
        <x:v>0.015914</x:v>
      </x:c>
    </x:row>
    <x:row r="30">
      <x:c r="A30" s="26" t="n">
        <x:v>45658</x:v>
      </x:c>
      <x:c r="B30" t="str">
        <x:v>Operations</x:v>
      </x:c>
      <x:c r="C30" t="str">
        <x:v>Facilities</x:v>
      </x:c>
      <x:c r="D30" s="28" t="n">
        <x:v>6460</x:v>
      </x:c>
      <x:c r="E30" s="28" t="n">
        <x:v>6484.62</x:v>
      </x:c>
      <x:c r="F30" s="28" t="n">
        <x:v>24.62</x:v>
      </x:c>
      <x:c r="G30" s="30" t="n">
        <x:v>0.003812</x:v>
      </x:c>
    </x:row>
    <x:row r="31">
      <x:c r="A31" s="26" t="n">
        <x:v>45658</x:v>
      </x:c>
      <x:c r="B31" t="str">
        <x:v>Operations</x:v>
      </x:c>
      <x:c r="C31" t="str">
        <x:v>Other OpEx</x:v>
      </x:c>
      <x:c r="D31" s="28" t="n">
        <x:v>9180</x:v>
      </x:c>
      <x:c r="E31" s="28" t="n">
        <x:v>9473.71</x:v>
      </x:c>
      <x:c r="F31" s="28" t="n">
        <x:v>293.71</x:v>
      </x:c>
      <x:c r="G31" s="30" t="n">
        <x:v>0.031994</x:v>
      </x:c>
    </x:row>
    <x:row r="32">
      <x:c r="A32" s="26" t="n">
        <x:v>45658</x:v>
      </x:c>
      <x:c r="B32" t="str">
        <x:v>G&amp;A</x:v>
      </x:c>
      <x:c r="C32" t="str">
        <x:v>Revenue</x:v>
      </x:c>
      <x:c r="D32" s="28" t="n">
        <x:v>68600</x:v>
      </x:c>
      <x:c r="E32" s="28" t="n">
        <x:v>67717.64</x:v>
      </x:c>
      <x:c r="F32" s="28" t="n">
        <x:v>-882.36</x:v>
      </x:c>
      <x:c r="G32" s="30" t="n">
        <x:v>-0.012862</x:v>
      </x:c>
    </x:row>
    <x:row r="33">
      <x:c r="A33" s="26" t="n">
        <x:v>45658</x:v>
      </x:c>
      <x:c r="B33" t="str">
        <x:v>G&amp;A</x:v>
      </x:c>
      <x:c r="C33" t="str">
        <x:v>COGS</x:v>
      </x:c>
      <x:c r="D33" s="28" t="n">
        <x:v>28812</x:v>
      </x:c>
      <x:c r="E33" s="28" t="n">
        <x:v>28321.5</x:v>
      </x:c>
      <x:c r="F33" s="28" t="n">
        <x:v>-490.5</x:v>
      </x:c>
      <x:c r="G33" s="30" t="n">
        <x:v>-0.017024</x:v>
      </x:c>
    </x:row>
    <x:row r="34">
      <x:c r="A34" s="26" t="n">
        <x:v>45658</x:v>
      </x:c>
      <x:c r="B34" t="str">
        <x:v>G&amp;A</x:v>
      </x:c>
      <x:c r="C34" t="str">
        <x:v>Payroll</x:v>
      </x:c>
      <x:c r="D34" s="28" t="n">
        <x:v>52020</x:v>
      </x:c>
      <x:c r="E34" s="28" t="n">
        <x:v>52015.1</x:v>
      </x:c>
      <x:c r="F34" s="28" t="n">
        <x:v>-4.9</x:v>
      </x:c>
      <x:c r="G34" s="30" t="n">
        <x:v>-0.000094</x:v>
      </x:c>
    </x:row>
    <x:row r="35">
      <x:c r="A35" s="26" t="n">
        <x:v>45658</x:v>
      </x:c>
      <x:c r="B35" t="str">
        <x:v>G&amp;A</x:v>
      </x:c>
      <x:c r="C35" t="str">
        <x:v>Software</x:v>
      </x:c>
      <x:c r="D35" s="28" t="n">
        <x:v>10710</x:v>
      </x:c>
      <x:c r="E35" s="28" t="n">
        <x:v>10970.81</x:v>
      </x:c>
      <x:c r="F35" s="28" t="n">
        <x:v>260.81</x:v>
      </x:c>
      <x:c r="G35" s="30" t="n">
        <x:v>0.024352</x:v>
      </x:c>
    </x:row>
    <x:row r="36">
      <x:c r="A36" s="26" t="n">
        <x:v>45658</x:v>
      </x:c>
      <x:c r="B36" t="str">
        <x:v>G&amp;A</x:v>
      </x:c>
      <x:c r="C36" t="str">
        <x:v>Travel</x:v>
      </x:c>
      <x:c r="D36" s="28" t="n">
        <x:v>4760</x:v>
      </x:c>
      <x:c r="E36" s="28" t="n">
        <x:v>5013.09</x:v>
      </x:c>
      <x:c r="F36" s="28" t="n">
        <x:v>253.09</x:v>
      </x:c>
      <x:c r="G36" s="30" t="n">
        <x:v>0.05317</x:v>
      </x:c>
    </x:row>
    <x:row r="37">
      <x:c r="A37" s="26" t="n">
        <x:v>45658</x:v>
      </x:c>
      <x:c r="B37" t="str">
        <x:v>G&amp;A</x:v>
      </x:c>
      <x:c r="C37" t="str">
        <x:v>Facilities</x:v>
      </x:c>
      <x:c r="D37" s="28" t="n">
        <x:v>6460</x:v>
      </x:c>
      <x:c r="E37" s="28" t="n">
        <x:v>6697.78</x:v>
      </x:c>
      <x:c r="F37" s="28" t="n">
        <x:v>237.78</x:v>
      </x:c>
      <x:c r="G37" s="30" t="n">
        <x:v>0.036808</x:v>
      </x:c>
    </x:row>
    <x:row r="38">
      <x:c r="A38" s="26" t="n">
        <x:v>45658</x:v>
      </x:c>
      <x:c r="B38" t="str">
        <x:v>G&amp;A</x:v>
      </x:c>
      <x:c r="C38" t="str">
        <x:v>Other OpEx</x:v>
      </x:c>
      <x:c r="D38" s="28" t="n">
        <x:v>9180</x:v>
      </x:c>
      <x:c r="E38" s="28" t="n">
        <x:v>9675.25</x:v>
      </x:c>
      <x:c r="F38" s="28" t="n">
        <x:v>495.25</x:v>
      </x:c>
      <x:c r="G38" s="30" t="n">
        <x:v>0.053949</x:v>
      </x:c>
    </x:row>
    <x:row r="39">
      <x:c r="A39" s="26" t="n">
        <x:v>45689</x:v>
      </x:c>
      <x:c r="B39" t="str">
        <x:v>Sales</x:v>
      </x:c>
      <x:c r="C39" t="str">
        <x:v>Revenue</x:v>
      </x:c>
      <x:c r="D39" s="28" t="n">
        <x:v>445410</x:v>
      </x:c>
      <x:c r="E39" s="28" t="n">
        <x:v>466723.76</x:v>
      </x:c>
      <x:c r="F39" s="28" t="n">
        <x:v>21313.76</x:v>
      </x:c>
      <x:c r="G39" s="30" t="n">
        <x:v>0.047852</x:v>
      </x:c>
    </x:row>
    <x:row r="40">
      <x:c r="A40" s="26" t="n">
        <x:v>45689</x:v>
      </x:c>
      <x:c r="B40" t="str">
        <x:v>Sales</x:v>
      </x:c>
      <x:c r="C40" t="str">
        <x:v>COGS</x:v>
      </x:c>
      <x:c r="D40" s="28" t="n">
        <x:v>187072.2</x:v>
      </x:c>
      <x:c r="E40" s="28" t="n">
        <x:v>190384.45</x:v>
      </x:c>
      <x:c r="F40" s="28" t="n">
        <x:v>3312.25</x:v>
      </x:c>
      <x:c r="G40" s="30" t="n">
        <x:v>0.017706</x:v>
      </x:c>
    </x:row>
    <x:row r="41">
      <x:c r="A41" s="26" t="n">
        <x:v>45689</x:v>
      </x:c>
      <x:c r="B41" t="str">
        <x:v>Sales</x:v>
      </x:c>
      <x:c r="C41" t="str">
        <x:v>Payroll</x:v>
      </x:c>
      <x:c r="D41" s="28" t="n">
        <x:v>52540.2</x:v>
      </x:c>
      <x:c r="E41" s="28" t="n">
        <x:v>52826.85</x:v>
      </x:c>
      <x:c r="F41" s="28" t="n">
        <x:v>286.65</x:v>
      </x:c>
      <x:c r="G41" s="30" t="n">
        <x:v>0.005456</x:v>
      </x:c>
    </x:row>
    <x:row r="42">
      <x:c r="A42" s="26" t="n">
        <x:v>45689</x:v>
      </x:c>
      <x:c r="B42" t="str">
        <x:v>Sales</x:v>
      </x:c>
      <x:c r="C42" t="str">
        <x:v>Software</x:v>
      </x:c>
      <x:c r="D42" s="28" t="n">
        <x:v>10817.1</x:v>
      </x:c>
      <x:c r="E42" s="28" t="n">
        <x:v>10813.59</x:v>
      </x:c>
      <x:c r="F42" s="28" t="n">
        <x:v>-3.51</x:v>
      </x:c>
      <x:c r="G42" s="30" t="n">
        <x:v>-0.000325</x:v>
      </x:c>
    </x:row>
    <x:row r="43">
      <x:c r="A43" s="26" t="n">
        <x:v>45689</x:v>
      </x:c>
      <x:c r="B43" t="str">
        <x:v>Sales</x:v>
      </x:c>
      <x:c r="C43" t="str">
        <x:v>Travel</x:v>
      </x:c>
      <x:c r="D43" s="28" t="n">
        <x:v>5769.12</x:v>
      </x:c>
      <x:c r="E43" s="28" t="n">
        <x:v>5804.51</x:v>
      </x:c>
      <x:c r="F43" s="28" t="n">
        <x:v>35.39</x:v>
      </x:c>
      <x:c r="G43" s="30" t="n">
        <x:v>0.006135</x:v>
      </x:c>
    </x:row>
    <x:row r="44">
      <x:c r="A44" s="26" t="n">
        <x:v>45689</x:v>
      </x:c>
      <x:c r="B44" t="str">
        <x:v>Sales</x:v>
      </x:c>
      <x:c r="C44" t="str">
        <x:v>Facilities</x:v>
      </x:c>
      <x:c r="D44" s="28" t="n">
        <x:v>6524.6</x:v>
      </x:c>
      <x:c r="E44" s="28" t="n">
        <x:v>6406.36</x:v>
      </x:c>
      <x:c r="F44" s="28" t="n">
        <x:v>-118.24</x:v>
      </x:c>
      <x:c r="G44" s="30" t="n">
        <x:v>-0.018123</x:v>
      </x:c>
    </x:row>
    <x:row r="45">
      <x:c r="A45" s="26" t="n">
        <x:v>45689</x:v>
      </x:c>
      <x:c r="B45" t="str">
        <x:v>Sales</x:v>
      </x:c>
      <x:c r="C45" t="str">
        <x:v>Other OpEx</x:v>
      </x:c>
      <x:c r="D45" s="28" t="n">
        <x:v>9271.8</x:v>
      </x:c>
      <x:c r="E45" s="28" t="n">
        <x:v>9345.18</x:v>
      </x:c>
      <x:c r="F45" s="28" t="n">
        <x:v>73.38</x:v>
      </x:c>
      <x:c r="G45" s="30" t="n">
        <x:v>0.007914</x:v>
      </x:c>
    </x:row>
    <x:row r="46">
      <x:c r="A46" s="26" t="n">
        <x:v>45689</x:v>
      </x:c>
      <x:c r="B46" t="str">
        <x:v>Marketing</x:v>
      </x:c>
      <x:c r="C46" t="str">
        <x:v>Revenue</x:v>
      </x:c>
      <x:c r="D46" s="28" t="n">
        <x:v>158368</x:v>
      </x:c>
      <x:c r="E46" s="28" t="n">
        <x:v>163217.24</x:v>
      </x:c>
      <x:c r="F46" s="28" t="n">
        <x:v>4849.24</x:v>
      </x:c>
      <x:c r="G46" s="30" t="n">
        <x:v>0.03062</x:v>
      </x:c>
    </x:row>
    <x:row r="47">
      <x:c r="A47" s="26" t="n">
        <x:v>45689</x:v>
      </x:c>
      <x:c r="B47" t="str">
        <x:v>Marketing</x:v>
      </x:c>
      <x:c r="C47" t="str">
        <x:v>COGS</x:v>
      </x:c>
      <x:c r="D47" s="28" t="n">
        <x:v>66514.56</x:v>
      </x:c>
      <x:c r="E47" s="28" t="n">
        <x:v>66959.44</x:v>
      </x:c>
      <x:c r="F47" s="28" t="n">
        <x:v>444.88</x:v>
      </x:c>
      <x:c r="G47" s="30" t="n">
        <x:v>0.006688</x:v>
      </x:c>
    </x:row>
    <x:row r="48">
      <x:c r="A48" s="26" t="n">
        <x:v>45689</x:v>
      </x:c>
      <x:c r="B48" t="str">
        <x:v>Marketing</x:v>
      </x:c>
      <x:c r="C48" t="str">
        <x:v>Payroll</x:v>
      </x:c>
      <x:c r="D48" s="28" t="n">
        <x:v>52540.2</x:v>
      </x:c>
      <x:c r="E48" s="28" t="n">
        <x:v>52739.14</x:v>
      </x:c>
      <x:c r="F48" s="28" t="n">
        <x:v>198.94</x:v>
      </x:c>
      <x:c r="G48" s="30" t="n">
        <x:v>0.003786</x:v>
      </x:c>
    </x:row>
    <x:row r="49">
      <x:c r="A49" s="26" t="n">
        <x:v>45689</x:v>
      </x:c>
      <x:c r="B49" t="str">
        <x:v>Marketing</x:v>
      </x:c>
      <x:c r="C49" t="str">
        <x:v>Software</x:v>
      </x:c>
      <x:c r="D49" s="28" t="n">
        <x:v>10817.1</x:v>
      </x:c>
      <x:c r="E49" s="28" t="n">
        <x:v>10946.65</x:v>
      </x:c>
      <x:c r="F49" s="28" t="n">
        <x:v>129.55</x:v>
      </x:c>
      <x:c r="G49" s="30" t="n">
        <x:v>0.011976</x:v>
      </x:c>
    </x:row>
    <x:row r="50">
      <x:c r="A50" s="26" t="n">
        <x:v>45689</x:v>
      </x:c>
      <x:c r="B50" t="str">
        <x:v>Marketing</x:v>
      </x:c>
      <x:c r="C50" t="str">
        <x:v>Travel</x:v>
      </x:c>
      <x:c r="D50" s="28" t="n">
        <x:v>4807.6</x:v>
      </x:c>
      <x:c r="E50" s="28" t="n">
        <x:v>5085.99</x:v>
      </x:c>
      <x:c r="F50" s="28" t="n">
        <x:v>278.39</x:v>
      </x:c>
      <x:c r="G50" s="30" t="n">
        <x:v>0.057907</x:v>
      </x:c>
    </x:row>
    <x:row r="51">
      <x:c r="A51" s="26" t="n">
        <x:v>45689</x:v>
      </x:c>
      <x:c r="B51" t="str">
        <x:v>Marketing</x:v>
      </x:c>
      <x:c r="C51" t="str">
        <x:v>Facilities</x:v>
      </x:c>
      <x:c r="D51" s="28" t="n">
        <x:v>6524.6</x:v>
      </x:c>
      <x:c r="E51" s="28" t="n">
        <x:v>6650.87</x:v>
      </x:c>
      <x:c r="F51" s="28" t="n">
        <x:v>126.27</x:v>
      </x:c>
      <x:c r="G51" s="30" t="n">
        <x:v>0.019353</x:v>
      </x:c>
    </x:row>
    <x:row r="52">
      <x:c r="A52" s="26" t="n">
        <x:v>45689</x:v>
      </x:c>
      <x:c r="B52" t="str">
        <x:v>Marketing</x:v>
      </x:c>
      <x:c r="C52" t="str">
        <x:v>Other OpEx</x:v>
      </x:c>
      <x:c r="D52" s="28" t="n">
        <x:v>9271.8</x:v>
      </x:c>
      <x:c r="E52" s="28" t="n">
        <x:v>9959.48</x:v>
      </x:c>
      <x:c r="F52" s="28" t="n">
        <x:v>687.68</x:v>
      </x:c>
      <x:c r="G52" s="30" t="n">
        <x:v>0.074169</x:v>
      </x:c>
    </x:row>
    <x:row r="53">
      <x:c r="A53" s="26" t="n">
        <x:v>45689</x:v>
      </x:c>
      <x:c r="B53" t="str">
        <x:v>R&amp;D</x:v>
      </x:c>
      <x:c r="C53" t="str">
        <x:v>Revenue</x:v>
      </x:c>
      <x:c r="D53" s="28" t="n">
        <x:v>118776</x:v>
      </x:c>
      <x:c r="E53" s="28" t="n">
        <x:v>119214.3</x:v>
      </x:c>
      <x:c r="F53" s="28" t="n">
        <x:v>438.3</x:v>
      </x:c>
      <x:c r="G53" s="30" t="n">
        <x:v>0.00369</x:v>
      </x:c>
    </x:row>
    <x:row r="54">
      <x:c r="A54" s="26" t="n">
        <x:v>45689</x:v>
      </x:c>
      <x:c r="B54" t="str">
        <x:v>R&amp;D</x:v>
      </x:c>
      <x:c r="C54" t="str">
        <x:v>COGS</x:v>
      </x:c>
      <x:c r="D54" s="28" t="n">
        <x:v>49885.92</x:v>
      </x:c>
      <x:c r="E54" s="28" t="n">
        <x:v>50336.13</x:v>
      </x:c>
      <x:c r="F54" s="28" t="n">
        <x:v>450.21</x:v>
      </x:c>
      <x:c r="G54" s="30" t="n">
        <x:v>0.009025</x:v>
      </x:c>
    </x:row>
    <x:row r="55">
      <x:c r="A55" s="26" t="n">
        <x:v>45689</x:v>
      </x:c>
      <x:c r="B55" t="str">
        <x:v>R&amp;D</x:v>
      </x:c>
      <x:c r="C55" t="str">
        <x:v>Payroll</x:v>
      </x:c>
      <x:c r="D55" s="28" t="n">
        <x:v>73556.28</x:v>
      </x:c>
      <x:c r="E55" s="28" t="n">
        <x:v>77665.92</x:v>
      </x:c>
      <x:c r="F55" s="28" t="n">
        <x:v>4109.64</x:v>
      </x:c>
      <x:c r="G55" s="30" t="n">
        <x:v>0.055871</x:v>
      </x:c>
    </x:row>
    <x:row r="56">
      <x:c r="A56" s="26" t="n">
        <x:v>45689</x:v>
      </x:c>
      <x:c r="B56" t="str">
        <x:v>R&amp;D</x:v>
      </x:c>
      <x:c r="C56" t="str">
        <x:v>Software</x:v>
      </x:c>
      <x:c r="D56" s="28" t="n">
        <x:v>15143.94</x:v>
      </x:c>
      <x:c r="E56" s="28" t="n">
        <x:v>16314.7</x:v>
      </x:c>
      <x:c r="F56" s="28" t="n">
        <x:v>1170.76</x:v>
      </x:c>
      <x:c r="G56" s="30" t="n">
        <x:v>0.077309</x:v>
      </x:c>
    </x:row>
    <x:row r="57">
      <x:c r="A57" s="26" t="n">
        <x:v>45689</x:v>
      </x:c>
      <x:c r="B57" t="str">
        <x:v>R&amp;D</x:v>
      </x:c>
      <x:c r="C57" t="str">
        <x:v>Travel</x:v>
      </x:c>
      <x:c r="D57" s="28" t="n">
        <x:v>4807.6</x:v>
      </x:c>
      <x:c r="E57" s="28" t="n">
        <x:v>5149.32</x:v>
      </x:c>
      <x:c r="F57" s="28" t="n">
        <x:v>341.72</x:v>
      </x:c>
      <x:c r="G57" s="30" t="n">
        <x:v>0.071079</x:v>
      </x:c>
    </x:row>
    <x:row r="58">
      <x:c r="A58" s="26" t="n">
        <x:v>45689</x:v>
      </x:c>
      <x:c r="B58" t="str">
        <x:v>R&amp;D</x:v>
      </x:c>
      <x:c r="C58" t="str">
        <x:v>Facilities</x:v>
      </x:c>
      <x:c r="D58" s="28" t="n">
        <x:v>6524.6</x:v>
      </x:c>
      <x:c r="E58" s="28" t="n">
        <x:v>6900.72</x:v>
      </x:c>
      <x:c r="F58" s="28" t="n">
        <x:v>376.12</x:v>
      </x:c>
      <x:c r="G58" s="30" t="n">
        <x:v>0.057647</x:v>
      </x:c>
    </x:row>
    <x:row r="59">
      <x:c r="A59" s="26" t="n">
        <x:v>45689</x:v>
      </x:c>
      <x:c r="B59" t="str">
        <x:v>R&amp;D</x:v>
      </x:c>
      <x:c r="C59" t="str">
        <x:v>Other OpEx</x:v>
      </x:c>
      <x:c r="D59" s="28" t="n">
        <x:v>9271.8</x:v>
      </x:c>
      <x:c r="E59" s="28" t="n">
        <x:v>10011.97</x:v>
      </x:c>
      <x:c r="F59" s="28" t="n">
        <x:v>740.17</x:v>
      </x:c>
      <x:c r="G59" s="30" t="n">
        <x:v>0.07983</x:v>
      </x:c>
    </x:row>
    <x:row r="60">
      <x:c r="A60" s="26" t="n">
        <x:v>45689</x:v>
      </x:c>
      <x:c r="B60" t="str">
        <x:v>Operations</x:v>
      </x:c>
      <x:c r="C60" t="str">
        <x:v>Revenue</x:v>
      </x:c>
      <x:c r="D60" s="28" t="n">
        <x:v>98980</x:v>
      </x:c>
      <x:c r="E60" s="28" t="n">
        <x:v>96973.47</x:v>
      </x:c>
      <x:c r="F60" s="28" t="n">
        <x:v>-2006.53</x:v>
      </x:c>
      <x:c r="G60" s="30" t="n">
        <x:v>-0.020272</x:v>
      </x:c>
    </x:row>
    <x:row r="61">
      <x:c r="A61" s="26" t="n">
        <x:v>45689</x:v>
      </x:c>
      <x:c r="B61" t="str">
        <x:v>Operations</x:v>
      </x:c>
      <x:c r="C61" t="str">
        <x:v>COGS</x:v>
      </x:c>
      <x:c r="D61" s="28" t="n">
        <x:v>41571.6</x:v>
      </x:c>
      <x:c r="E61" s="28" t="n">
        <x:v>40847.28</x:v>
      </x:c>
      <x:c r="F61" s="28" t="n">
        <x:v>-724.32</x:v>
      </x:c>
      <x:c r="G61" s="30" t="n">
        <x:v>-0.017423</x:v>
      </x:c>
    </x:row>
    <x:row r="62">
      <x:c r="A62" s="26" t="n">
        <x:v>45689</x:v>
      </x:c>
      <x:c r="B62" t="str">
        <x:v>Operations</x:v>
      </x:c>
      <x:c r="C62" t="str">
        <x:v>Payroll</x:v>
      </x:c>
      <x:c r="D62" s="28" t="n">
        <x:v>52540.2</x:v>
      </x:c>
      <x:c r="E62" s="28" t="n">
        <x:v>52835.7</x:v>
      </x:c>
      <x:c r="F62" s="28" t="n">
        <x:v>295.5</x:v>
      </x:c>
      <x:c r="G62" s="30" t="n">
        <x:v>0.005624</x:v>
      </x:c>
    </x:row>
    <x:row r="63">
      <x:c r="A63" s="26" t="n">
        <x:v>45689</x:v>
      </x:c>
      <x:c r="B63" t="str">
        <x:v>Operations</x:v>
      </x:c>
      <x:c r="C63" t="str">
        <x:v>Software</x:v>
      </x:c>
      <x:c r="D63" s="28" t="n">
        <x:v>10817.1</x:v>
      </x:c>
      <x:c r="E63" s="28" t="n">
        <x:v>11158.41</x:v>
      </x:c>
      <x:c r="F63" s="28" t="n">
        <x:v>341.31</x:v>
      </x:c>
      <x:c r="G63" s="30" t="n">
        <x:v>0.031553</x:v>
      </x:c>
    </x:row>
    <x:row r="64">
      <x:c r="A64" s="26" t="n">
        <x:v>45689</x:v>
      </x:c>
      <x:c r="B64" t="str">
        <x:v>Operations</x:v>
      </x:c>
      <x:c r="C64" t="str">
        <x:v>Travel</x:v>
      </x:c>
      <x:c r="D64" s="28" t="n">
        <x:v>4807.6</x:v>
      </x:c>
      <x:c r="E64" s="28" t="n">
        <x:v>5080.57</x:v>
      </x:c>
      <x:c r="F64" s="28" t="n">
        <x:v>272.97</x:v>
      </x:c>
      <x:c r="G64" s="30" t="n">
        <x:v>0.056779</x:v>
      </x:c>
    </x:row>
    <x:row r="65">
      <x:c r="A65" s="26" t="n">
        <x:v>45689</x:v>
      </x:c>
      <x:c r="B65" t="str">
        <x:v>Operations</x:v>
      </x:c>
      <x:c r="C65" t="str">
        <x:v>Facilities</x:v>
      </x:c>
      <x:c r="D65" s="28" t="n">
        <x:v>6524.6</x:v>
      </x:c>
      <x:c r="E65" s="28" t="n">
        <x:v>6738.68</x:v>
      </x:c>
      <x:c r="F65" s="28" t="n">
        <x:v>214.08</x:v>
      </x:c>
      <x:c r="G65" s="30" t="n">
        <x:v>0.032811</x:v>
      </x:c>
    </x:row>
    <x:row r="66">
      <x:c r="A66" s="26" t="n">
        <x:v>45689</x:v>
      </x:c>
      <x:c r="B66" t="str">
        <x:v>Operations</x:v>
      </x:c>
      <x:c r="C66" t="str">
        <x:v>Other OpEx</x:v>
      </x:c>
      <x:c r="D66" s="28" t="n">
        <x:v>9271.8</x:v>
      </x:c>
      <x:c r="E66" s="28" t="n">
        <x:v>9648.01</x:v>
      </x:c>
      <x:c r="F66" s="28" t="n">
        <x:v>376.21</x:v>
      </x:c>
      <x:c r="G66" s="30" t="n">
        <x:v>0.040576</x:v>
      </x:c>
    </x:row>
    <x:row r="67">
      <x:c r="A67" s="26" t="n">
        <x:v>45689</x:v>
      </x:c>
      <x:c r="B67" t="str">
        <x:v>G&amp;A</x:v>
      </x:c>
      <x:c r="C67" t="str">
        <x:v>Revenue</x:v>
      </x:c>
      <x:c r="D67" s="28" t="n">
        <x:v>69286</x:v>
      </x:c>
      <x:c r="E67" s="28" t="n">
        <x:v>67207.63</x:v>
      </x:c>
      <x:c r="F67" s="28" t="n">
        <x:v>-2078.37</x:v>
      </x:c>
      <x:c r="G67" s="30" t="n">
        <x:v>-0.029997</x:v>
      </x:c>
    </x:row>
    <x:row r="68">
      <x:c r="A68" s="26" t="n">
        <x:v>45689</x:v>
      </x:c>
      <x:c r="B68" t="str">
        <x:v>G&amp;A</x:v>
      </x:c>
      <x:c r="C68" t="str">
        <x:v>COGS</x:v>
      </x:c>
      <x:c r="D68" s="28" t="n">
        <x:v>29100.12</x:v>
      </x:c>
      <x:c r="E68" s="28" t="n">
        <x:v>29633.72</x:v>
      </x:c>
      <x:c r="F68" s="28" t="n">
        <x:v>533.6</x:v>
      </x:c>
      <x:c r="G68" s="30" t="n">
        <x:v>0.018337</x:v>
      </x:c>
    </x:row>
    <x:row r="69">
      <x:c r="A69" s="26" t="n">
        <x:v>45689</x:v>
      </x:c>
      <x:c r="B69" t="str">
        <x:v>G&amp;A</x:v>
      </x:c>
      <x:c r="C69" t="str">
        <x:v>Payroll</x:v>
      </x:c>
      <x:c r="D69" s="28" t="n">
        <x:v>52540.2</x:v>
      </x:c>
      <x:c r="E69" s="28" t="n">
        <x:v>54759.78</x:v>
      </x:c>
      <x:c r="F69" s="28" t="n">
        <x:v>2219.58</x:v>
      </x:c>
      <x:c r="G69" s="30" t="n">
        <x:v>0.042245</x:v>
      </x:c>
    </x:row>
    <x:row r="70">
      <x:c r="A70" s="26" t="n">
        <x:v>45689</x:v>
      </x:c>
      <x:c r="B70" t="str">
        <x:v>G&amp;A</x:v>
      </x:c>
      <x:c r="C70" t="str">
        <x:v>Software</x:v>
      </x:c>
      <x:c r="D70" s="28" t="n">
        <x:v>10817.1</x:v>
      </x:c>
      <x:c r="E70" s="28" t="n">
        <x:v>11478.92</x:v>
      </x:c>
      <x:c r="F70" s="28" t="n">
        <x:v>661.82</x:v>
      </x:c>
      <x:c r="G70" s="30" t="n">
        <x:v>0.061183</x:v>
      </x:c>
    </x:row>
    <x:row r="71">
      <x:c r="A71" s="26" t="n">
        <x:v>45689</x:v>
      </x:c>
      <x:c r="B71" t="str">
        <x:v>G&amp;A</x:v>
      </x:c>
      <x:c r="C71" t="str">
        <x:v>Travel</x:v>
      </x:c>
      <x:c r="D71" s="28" t="n">
        <x:v>4807.6</x:v>
      </x:c>
      <x:c r="E71" s="28" t="n">
        <x:v>5161.57</x:v>
      </x:c>
      <x:c r="F71" s="28" t="n">
        <x:v>353.97</x:v>
      </x:c>
      <x:c r="G71" s="30" t="n">
        <x:v>0.073628</x:v>
      </x:c>
    </x:row>
    <x:row r="72">
      <x:c r="A72" s="26" t="n">
        <x:v>45689</x:v>
      </x:c>
      <x:c r="B72" t="str">
        <x:v>G&amp;A</x:v>
      </x:c>
      <x:c r="C72" t="str">
        <x:v>Facilities</x:v>
      </x:c>
      <x:c r="D72" s="28" t="n">
        <x:v>6524.6</x:v>
      </x:c>
      <x:c r="E72" s="28" t="n">
        <x:v>6752.04</x:v>
      </x:c>
      <x:c r="F72" s="28" t="n">
        <x:v>227.44</x:v>
      </x:c>
      <x:c r="G72" s="30" t="n">
        <x:v>0.034859</x:v>
      </x:c>
    </x:row>
    <x:row r="73">
      <x:c r="A73" s="26" t="n">
        <x:v>45689</x:v>
      </x:c>
      <x:c r="B73" t="str">
        <x:v>G&amp;A</x:v>
      </x:c>
      <x:c r="C73" t="str">
        <x:v>Other OpEx</x:v>
      </x:c>
      <x:c r="D73" s="28" t="n">
        <x:v>9271.8</x:v>
      </x:c>
      <x:c r="E73" s="28" t="n">
        <x:v>9551.52</x:v>
      </x:c>
      <x:c r="F73" s="28" t="n">
        <x:v>279.72</x:v>
      </x:c>
      <x:c r="G73" s="30" t="n">
        <x:v>0.030169</x:v>
      </x:c>
    </x:row>
    <x:row r="74">
      <x:c r="A74" s="26" t="n">
        <x:v>45717</x:v>
      </x:c>
      <x:c r="B74" t="str">
        <x:v>Sales</x:v>
      </x:c>
      <x:c r="C74" t="str">
        <x:v>Revenue</x:v>
      </x:c>
      <x:c r="D74" s="28" t="n">
        <x:v>449820</x:v>
      </x:c>
      <x:c r="E74" s="28" t="n">
        <x:v>459490.73</x:v>
      </x:c>
      <x:c r="F74" s="28" t="n">
        <x:v>9670.73</x:v>
      </x:c>
      <x:c r="G74" s="30" t="n">
        <x:v>0.021499</x:v>
      </x:c>
    </x:row>
    <x:row r="75">
      <x:c r="A75" s="26" t="n">
        <x:v>45717</x:v>
      </x:c>
      <x:c r="B75" t="str">
        <x:v>Sales</x:v>
      </x:c>
      <x:c r="C75" t="str">
        <x:v>COGS</x:v>
      </x:c>
      <x:c r="D75" s="28" t="n">
        <x:v>188924.4</x:v>
      </x:c>
      <x:c r="E75" s="28" t="n">
        <x:v>188772.87</x:v>
      </x:c>
      <x:c r="F75" s="28" t="n">
        <x:v>-151.53</x:v>
      </x:c>
      <x:c r="G75" s="30" t="n">
        <x:v>-0.000802</x:v>
      </x:c>
    </x:row>
    <x:row r="76">
      <x:c r="A76" s="26" t="n">
        <x:v>45717</x:v>
      </x:c>
      <x:c r="B76" t="str">
        <x:v>Sales</x:v>
      </x:c>
      <x:c r="C76" t="str">
        <x:v>Payroll</x:v>
      </x:c>
      <x:c r="D76" s="28" t="n">
        <x:v>53060.4</x:v>
      </x:c>
      <x:c r="E76" s="28" t="n">
        <x:v>53348.92</x:v>
      </x:c>
      <x:c r="F76" s="28" t="n">
        <x:v>288.52</x:v>
      </x:c>
      <x:c r="G76" s="30" t="n">
        <x:v>0.005438</x:v>
      </x:c>
    </x:row>
    <x:row r="77">
      <x:c r="A77" s="26" t="n">
        <x:v>45717</x:v>
      </x:c>
      <x:c r="B77" t="str">
        <x:v>Sales</x:v>
      </x:c>
      <x:c r="C77" t="str">
        <x:v>Software</x:v>
      </x:c>
      <x:c r="D77" s="28" t="n">
        <x:v>10924.2</x:v>
      </x:c>
      <x:c r="E77" s="28" t="n">
        <x:v>11170.84</x:v>
      </x:c>
      <x:c r="F77" s="28" t="n">
        <x:v>246.64</x:v>
      </x:c>
      <x:c r="G77" s="30" t="n">
        <x:v>0.022577</x:v>
      </x:c>
    </x:row>
    <x:row r="78">
      <x:c r="A78" s="26" t="n">
        <x:v>45717</x:v>
      </x:c>
      <x:c r="B78" t="str">
        <x:v>Sales</x:v>
      </x:c>
      <x:c r="C78" t="str">
        <x:v>Travel</x:v>
      </x:c>
      <x:c r="D78" s="28" t="n">
        <x:v>5826.24</x:v>
      </x:c>
      <x:c r="E78" s="28" t="n">
        <x:v>6115.36</x:v>
      </x:c>
      <x:c r="F78" s="28" t="n">
        <x:v>289.12</x:v>
      </x:c>
      <x:c r="G78" s="30" t="n">
        <x:v>0.049624</x:v>
      </x:c>
    </x:row>
    <x:row r="79">
      <x:c r="A79" s="26" t="n">
        <x:v>45717</x:v>
      </x:c>
      <x:c r="B79" t="str">
        <x:v>Sales</x:v>
      </x:c>
      <x:c r="C79" t="str">
        <x:v>Facilities</x:v>
      </x:c>
      <x:c r="D79" s="28" t="n">
        <x:v>6589.2</x:v>
      </x:c>
      <x:c r="E79" s="28" t="n">
        <x:v>6836.64</x:v>
      </x:c>
      <x:c r="F79" s="28" t="n">
        <x:v>247.44</x:v>
      </x:c>
      <x:c r="G79" s="30" t="n">
        <x:v>0.037553</x:v>
      </x:c>
    </x:row>
    <x:row r="80">
      <x:c r="A80" s="26" t="n">
        <x:v>45717</x:v>
      </x:c>
      <x:c r="B80" t="str">
        <x:v>Sales</x:v>
      </x:c>
      <x:c r="C80" t="str">
        <x:v>Other OpEx</x:v>
      </x:c>
      <x:c r="D80" s="28" t="n">
        <x:v>9363.6</x:v>
      </x:c>
      <x:c r="E80" s="28" t="n">
        <x:v>9960.79</x:v>
      </x:c>
      <x:c r="F80" s="28" t="n">
        <x:v>597.19</x:v>
      </x:c>
      <x:c r="G80" s="30" t="n">
        <x:v>0.063778</x:v>
      </x:c>
    </x:row>
    <x:row r="81">
      <x:c r="A81" s="26" t="n">
        <x:v>45717</x:v>
      </x:c>
      <x:c r="B81" t="str">
        <x:v>Marketing</x:v>
      </x:c>
      <x:c r="C81" t="str">
        <x:v>Revenue</x:v>
      </x:c>
      <x:c r="D81" s="28" t="n">
        <x:v>159936</x:v>
      </x:c>
      <x:c r="E81" s="28" t="n">
        <x:v>158994.63</x:v>
      </x:c>
      <x:c r="F81" s="28" t="n">
        <x:v>-941.37</x:v>
      </x:c>
      <x:c r="G81" s="30" t="n">
        <x:v>-0.005886</x:v>
      </x:c>
    </x:row>
    <x:row r="82">
      <x:c r="A82" s="26" t="n">
        <x:v>45717</x:v>
      </x:c>
      <x:c r="B82" t="str">
        <x:v>Marketing</x:v>
      </x:c>
      <x:c r="C82" t="str">
        <x:v>COGS</x:v>
      </x:c>
      <x:c r="D82" s="28" t="n">
        <x:v>67173.12</x:v>
      </x:c>
      <x:c r="E82" s="28" t="n">
        <x:v>68310.85</x:v>
      </x:c>
      <x:c r="F82" s="28" t="n">
        <x:v>1137.73</x:v>
      </x:c>
      <x:c r="G82" s="30" t="n">
        <x:v>0.016937</x:v>
      </x:c>
    </x:row>
    <x:row r="83">
      <x:c r="A83" s="26" t="n">
        <x:v>45717</x:v>
      </x:c>
      <x:c r="B83" t="str">
        <x:v>Marketing</x:v>
      </x:c>
      <x:c r="C83" t="str">
        <x:v>Payroll</x:v>
      </x:c>
      <x:c r="D83" s="28" t="n">
        <x:v>53060.4</x:v>
      </x:c>
      <x:c r="E83" s="28" t="n">
        <x:v>55009.78</x:v>
      </x:c>
      <x:c r="F83" s="28" t="n">
        <x:v>1949.38</x:v>
      </x:c>
      <x:c r="G83" s="30" t="n">
        <x:v>0.036739</x:v>
      </x:c>
    </x:row>
    <x:row r="84">
      <x:c r="A84" s="26" t="n">
        <x:v>45717</x:v>
      </x:c>
      <x:c r="B84" t="str">
        <x:v>Marketing</x:v>
      </x:c>
      <x:c r="C84" t="str">
        <x:v>Software</x:v>
      </x:c>
      <x:c r="D84" s="28" t="n">
        <x:v>10924.2</x:v>
      </x:c>
      <x:c r="E84" s="28" t="n">
        <x:v>11605.18</x:v>
      </x:c>
      <x:c r="F84" s="28" t="n">
        <x:v>680.98</x:v>
      </x:c>
      <x:c r="G84" s="30" t="n">
        <x:v>0.062337</x:v>
      </x:c>
    </x:row>
    <x:row r="85">
      <x:c r="A85" s="26" t="n">
        <x:v>45717</x:v>
      </x:c>
      <x:c r="B85" t="str">
        <x:v>Marketing</x:v>
      </x:c>
      <x:c r="C85" t="str">
        <x:v>Travel</x:v>
      </x:c>
      <x:c r="D85" s="28" t="n">
        <x:v>4855.2</x:v>
      </x:c>
      <x:c r="E85" s="28" t="n">
        <x:v>5414.74</x:v>
      </x:c>
      <x:c r="F85" s="28" t="n">
        <x:v>559.54</x:v>
      </x:c>
      <x:c r="G85" s="30" t="n">
        <x:v>0.115245</x:v>
      </x:c>
    </x:row>
    <x:row r="86">
      <x:c r="A86" s="26" t="n">
        <x:v>45717</x:v>
      </x:c>
      <x:c r="B86" t="str">
        <x:v>Marketing</x:v>
      </x:c>
      <x:c r="C86" t="str">
        <x:v>Facilities</x:v>
      </x:c>
      <x:c r="D86" s="28" t="n">
        <x:v>6589.2</x:v>
      </x:c>
      <x:c r="E86" s="28" t="n">
        <x:v>7058.24</x:v>
      </x:c>
      <x:c r="F86" s="28" t="n">
        <x:v>469.04</x:v>
      </x:c>
      <x:c r="G86" s="30" t="n">
        <x:v>0.071183</x:v>
      </x:c>
    </x:row>
    <x:row r="87">
      <x:c r="A87" s="26" t="n">
        <x:v>45717</x:v>
      </x:c>
      <x:c r="B87" t="str">
        <x:v>Marketing</x:v>
      </x:c>
      <x:c r="C87" t="str">
        <x:v>Other OpEx</x:v>
      </x:c>
      <x:c r="D87" s="28" t="n">
        <x:v>9363.6</x:v>
      </x:c>
      <x:c r="E87" s="28" t="n">
        <x:v>10390.11</x:v>
      </x:c>
      <x:c r="F87" s="28" t="n">
        <x:v>1026.51</x:v>
      </x:c>
      <x:c r="G87" s="30" t="n">
        <x:v>0.109628</x:v>
      </x:c>
    </x:row>
    <x:row r="88">
      <x:c r="A88" s="26" t="n">
        <x:v>45717</x:v>
      </x:c>
      <x:c r="B88" t="str">
        <x:v>R&amp;D</x:v>
      </x:c>
      <x:c r="C88" t="str">
        <x:v>Revenue</x:v>
      </x:c>
      <x:c r="D88" s="28" t="n">
        <x:v>119952</x:v>
      </x:c>
      <x:c r="E88" s="28" t="n">
        <x:v>116857.29</x:v>
      </x:c>
      <x:c r="F88" s="28" t="n">
        <x:v>-3094.71</x:v>
      </x:c>
      <x:c r="G88" s="30" t="n">
        <x:v>-0.0258</x:v>
      </x:c>
    </x:row>
    <x:row r="89">
      <x:c r="A89" s="26" t="n">
        <x:v>45717</x:v>
      </x:c>
      <x:c r="B89" t="str">
        <x:v>R&amp;D</x:v>
      </x:c>
      <x:c r="C89" t="str">
        <x:v>COGS</x:v>
      </x:c>
      <x:c r="D89" s="28" t="n">
        <x:v>50379.84</x:v>
      </x:c>
      <x:c r="E89" s="28" t="n">
        <x:v>52944.79</x:v>
      </x:c>
      <x:c r="F89" s="28" t="n">
        <x:v>2564.95</x:v>
      </x:c>
      <x:c r="G89" s="30" t="n">
        <x:v>0.050912</x:v>
      </x:c>
    </x:row>
    <x:row r="90">
      <x:c r="A90" s="26" t="n">
        <x:v>45717</x:v>
      </x:c>
      <x:c r="B90" t="str">
        <x:v>R&amp;D</x:v>
      </x:c>
      <x:c r="C90" t="str">
        <x:v>Payroll</x:v>
      </x:c>
      <x:c r="D90" s="28" t="n">
        <x:v>74284.56</x:v>
      </x:c>
      <x:c r="E90" s="28" t="n">
        <x:v>82523.01</x:v>
      </x:c>
      <x:c r="F90" s="28" t="n">
        <x:v>8238.46</x:v>
      </x:c>
      <x:c r="G90" s="30" t="n">
        <x:v>0.110904</x:v>
      </x:c>
    </x:row>
    <x:row r="91">
      <x:c r="A91" s="26" t="n">
        <x:v>45717</x:v>
      </x:c>
      <x:c r="B91" t="str">
        <x:v>R&amp;D</x:v>
      </x:c>
      <x:c r="C91" t="str">
        <x:v>Software</x:v>
      </x:c>
      <x:c r="D91" s="28" t="n">
        <x:v>15293.88</x:v>
      </x:c>
      <x:c r="E91" s="28" t="n">
        <x:v>17338.36</x:v>
      </x:c>
      <x:c r="F91" s="28" t="n">
        <x:v>2044.48</x:v>
      </x:c>
      <x:c r="G91" s="30" t="n">
        <x:v>0.13368</x:v>
      </x:c>
    </x:row>
    <x:row r="92">
      <x:c r="A92" s="26" t="n">
        <x:v>45717</x:v>
      </x:c>
      <x:c r="B92" t="str">
        <x:v>R&amp;D</x:v>
      </x:c>
      <x:c r="C92" t="str">
        <x:v>Travel</x:v>
      </x:c>
      <x:c r="D92" s="28" t="n">
        <x:v>4855.2</x:v>
      </x:c>
      <x:c r="E92" s="28" t="n">
        <x:v>5421.25</x:v>
      </x:c>
      <x:c r="F92" s="28" t="n">
        <x:v>566.05</x:v>
      </x:c>
      <x:c r="G92" s="30" t="n">
        <x:v>0.116586</x:v>
      </x:c>
    </x:row>
    <x:row r="93">
      <x:c r="A93" s="26" t="n">
        <x:v>45717</x:v>
      </x:c>
      <x:c r="B93" t="str">
        <x:v>R&amp;D</x:v>
      </x:c>
      <x:c r="C93" t="str">
        <x:v>Facilities</x:v>
      </x:c>
      <x:c r="D93" s="28" t="n">
        <x:v>6589.2</x:v>
      </x:c>
      <x:c r="E93" s="28" t="n">
        <x:v>7138.02</x:v>
      </x:c>
      <x:c r="F93" s="28" t="n">
        <x:v>548.82</x:v>
      </x:c>
      <x:c r="G93" s="30" t="n">
        <x:v>0.083291</x:v>
      </x:c>
    </x:row>
    <x:row r="94">
      <x:c r="A94" s="26" t="n">
        <x:v>45717</x:v>
      </x:c>
      <x:c r="B94" t="str">
        <x:v>R&amp;D</x:v>
      </x:c>
      <x:c r="C94" t="str">
        <x:v>Other OpEx</x:v>
      </x:c>
      <x:c r="D94" s="28" t="n">
        <x:v>9363.6</x:v>
      </x:c>
      <x:c r="E94" s="28" t="n">
        <x:v>10135.83</x:v>
      </x:c>
      <x:c r="F94" s="28" t="n">
        <x:v>772.23</x:v>
      </x:c>
      <x:c r="G94" s="30" t="n">
        <x:v>0.082472</x:v>
      </x:c>
    </x:row>
    <x:row r="95">
      <x:c r="A95" s="26" t="n">
        <x:v>45717</x:v>
      </x:c>
      <x:c r="B95" t="str">
        <x:v>Operations</x:v>
      </x:c>
      <x:c r="C95" t="str">
        <x:v>Revenue</x:v>
      </x:c>
      <x:c r="D95" s="28" t="n">
        <x:v>99960</x:v>
      </x:c>
      <x:c r="E95" s="28" t="n">
        <x:v>97073.54</x:v>
      </x:c>
      <x:c r="F95" s="28" t="n">
        <x:v>-2886.46</x:v>
      </x:c>
      <x:c r="G95" s="30" t="n">
        <x:v>-0.028876</x:v>
      </x:c>
    </x:row>
    <x:row r="96">
      <x:c r="A96" s="26" t="n">
        <x:v>45717</x:v>
      </x:c>
      <x:c r="B96" t="str">
        <x:v>Operations</x:v>
      </x:c>
      <x:c r="C96" t="str">
        <x:v>COGS</x:v>
      </x:c>
      <x:c r="D96" s="28" t="n">
        <x:v>41983.2</x:v>
      </x:c>
      <x:c r="E96" s="28" t="n">
        <x:v>43653.84</x:v>
      </x:c>
      <x:c r="F96" s="28" t="n">
        <x:v>1670.64</x:v>
      </x:c>
      <x:c r="G96" s="30" t="n">
        <x:v>0.039793</x:v>
      </x:c>
    </x:row>
    <x:row r="97">
      <x:c r="A97" s="26" t="n">
        <x:v>45717</x:v>
      </x:c>
      <x:c r="B97" t="str">
        <x:v>Operations</x:v>
      </x:c>
      <x:c r="C97" t="str">
        <x:v>Payroll</x:v>
      </x:c>
      <x:c r="D97" s="28" t="n">
        <x:v>53060.4</x:v>
      </x:c>
      <x:c r="E97" s="28" t="n">
        <x:v>56162.03</x:v>
      </x:c>
      <x:c r="F97" s="28" t="n">
        <x:v>3101.63</x:v>
      </x:c>
      <x:c r="G97" s="30" t="n">
        <x:v>0.058455</x:v>
      </x:c>
    </x:row>
    <x:row r="98">
      <x:c r="A98" s="26" t="n">
        <x:v>45717</x:v>
      </x:c>
      <x:c r="B98" t="str">
        <x:v>Operations</x:v>
      </x:c>
      <x:c r="C98" t="str">
        <x:v>Software</x:v>
      </x:c>
      <x:c r="D98" s="28" t="n">
        <x:v>10924.2</x:v>
      </x:c>
      <x:c r="E98" s="28" t="n">
        <x:v>11676.21</x:v>
      </x:c>
      <x:c r="F98" s="28" t="n">
        <x:v>752.01</x:v>
      </x:c>
      <x:c r="G98" s="30" t="n">
        <x:v>0.068839</x:v>
      </x:c>
    </x:row>
    <x:row r="99">
      <x:c r="A99" s="26" t="n">
        <x:v>45717</x:v>
      </x:c>
      <x:c r="B99" t="str">
        <x:v>Operations</x:v>
      </x:c>
      <x:c r="C99" t="str">
        <x:v>Travel</x:v>
      </x:c>
      <x:c r="D99" s="28" t="n">
        <x:v>4855.2</x:v>
      </x:c>
      <x:c r="E99" s="28" t="n">
        <x:v>5204.52</x:v>
      </x:c>
      <x:c r="F99" s="28" t="n">
        <x:v>349.32</x:v>
      </x:c>
      <x:c r="G99" s="30" t="n">
        <x:v>0.071947</x:v>
      </x:c>
    </x:row>
    <x:row r="100">
      <x:c r="A100" s="26" t="n">
        <x:v>45717</x:v>
      </x:c>
      <x:c r="B100" t="str">
        <x:v>Operations</x:v>
      </x:c>
      <x:c r="C100" t="str">
        <x:v>Facilities</x:v>
      </x:c>
      <x:c r="D100" s="28" t="n">
        <x:v>6589.2</x:v>
      </x:c>
      <x:c r="E100" s="28" t="n">
        <x:v>6759.28</x:v>
      </x:c>
      <x:c r="F100" s="28" t="n">
        <x:v>170.09</x:v>
      </x:c>
      <x:c r="G100" s="30" t="n">
        <x:v>0.025813</x:v>
      </x:c>
    </x:row>
    <x:row r="101">
      <x:c r="A101" s="26" t="n">
        <x:v>45717</x:v>
      </x:c>
      <x:c r="B101" t="str">
        <x:v>Operations</x:v>
      </x:c>
      <x:c r="C101" t="str">
        <x:v>Other OpEx</x:v>
      </x:c>
      <x:c r="D101" s="28" t="n">
        <x:v>9363.6</x:v>
      </x:c>
      <x:c r="E101" s="28" t="n">
        <x:v>9531.19</x:v>
      </x:c>
      <x:c r="F101" s="28" t="n">
        <x:v>167.59</x:v>
      </x:c>
      <x:c r="G101" s="30" t="n">
        <x:v>0.017899</x:v>
      </x:c>
    </x:row>
    <x:row r="102">
      <x:c r="A102" s="26" t="n">
        <x:v>45717</x:v>
      </x:c>
      <x:c r="B102" t="str">
        <x:v>G&amp;A</x:v>
      </x:c>
      <x:c r="C102" t="str">
        <x:v>Revenue</x:v>
      </x:c>
      <x:c r="D102" s="28" t="n">
        <x:v>69972</x:v>
      </x:c>
      <x:c r="E102" s="28" t="n">
        <x:v>69015.58</x:v>
      </x:c>
      <x:c r="F102" s="28" t="n">
        <x:v>-956.42</x:v>
      </x:c>
      <x:c r="G102" s="30" t="n">
        <x:v>-0.013669</x:v>
      </x:c>
    </x:row>
    <x:row r="103">
      <x:c r="A103" s="26" t="n">
        <x:v>45717</x:v>
      </x:c>
      <x:c r="B103" t="str">
        <x:v>G&amp;A</x:v>
      </x:c>
      <x:c r="C103" t="str">
        <x:v>COGS</x:v>
      </x:c>
      <x:c r="D103" s="28" t="n">
        <x:v>29388.24</x:v>
      </x:c>
      <x:c r="E103" s="28" t="n">
        <x:v>31306.54</x:v>
      </x:c>
      <x:c r="F103" s="28" t="n">
        <x:v>1918.3</x:v>
      </x:c>
      <x:c r="G103" s="30" t="n">
        <x:v>0.065274</x:v>
      </x:c>
    </x:row>
    <x:row r="104">
      <x:c r="A104" s="26" t="n">
        <x:v>45717</x:v>
      </x:c>
      <x:c r="B104" t="str">
        <x:v>G&amp;A</x:v>
      </x:c>
      <x:c r="C104" t="str">
        <x:v>Payroll</x:v>
      </x:c>
      <x:c r="D104" s="28" t="n">
        <x:v>53060.4</x:v>
      </x:c>
      <x:c r="E104" s="28" t="n">
        <x:v>56770.68</x:v>
      </x:c>
      <x:c r="F104" s="28" t="n">
        <x:v>3710.28</x:v>
      </x:c>
      <x:c r="G104" s="30" t="n">
        <x:v>0.069926</x:v>
      </x:c>
    </x:row>
    <x:row r="105">
      <x:c r="A105" s="26" t="n">
        <x:v>45717</x:v>
      </x:c>
      <x:c r="B105" t="str">
        <x:v>G&amp;A</x:v>
      </x:c>
      <x:c r="C105" t="str">
        <x:v>Software</x:v>
      </x:c>
      <x:c r="D105" s="28" t="n">
        <x:v>10924.2</x:v>
      </x:c>
      <x:c r="E105" s="28" t="n">
        <x:v>11643.73</x:v>
      </x:c>
      <x:c r="F105" s="28" t="n">
        <x:v>719.53</x:v>
      </x:c>
      <x:c r="G105" s="30" t="n">
        <x:v>0.065865</x:v>
      </x:c>
    </x:row>
    <x:row r="106">
      <x:c r="A106" s="26" t="n">
        <x:v>45717</x:v>
      </x:c>
      <x:c r="B106" t="str">
        <x:v>G&amp;A</x:v>
      </x:c>
      <x:c r="C106" t="str">
        <x:v>Travel</x:v>
      </x:c>
      <x:c r="D106" s="28" t="n">
        <x:v>4855.2</x:v>
      </x:c>
      <x:c r="E106" s="28" t="n">
        <x:v>5138.53</x:v>
      </x:c>
      <x:c r="F106" s="28" t="n">
        <x:v>283.33</x:v>
      </x:c>
      <x:c r="G106" s="30" t="n">
        <x:v>0.058356</x:v>
      </x:c>
    </x:row>
    <x:row r="107">
      <x:c r="A107" s="26" t="n">
        <x:v>45717</x:v>
      </x:c>
      <x:c r="B107" t="str">
        <x:v>G&amp;A</x:v>
      </x:c>
      <x:c r="C107" t="str">
        <x:v>Facilities</x:v>
      </x:c>
      <x:c r="D107" s="28" t="n">
        <x:v>6589.2</x:v>
      </x:c>
      <x:c r="E107" s="28" t="n">
        <x:v>6645.61</x:v>
      </x:c>
      <x:c r="F107" s="28" t="n">
        <x:v>56.41</x:v>
      </x:c>
      <x:c r="G107" s="30" t="n">
        <x:v>0.008562</x:v>
      </x:c>
    </x:row>
    <x:row r="108">
      <x:c r="A108" s="26" t="n">
        <x:v>45717</x:v>
      </x:c>
      <x:c r="B108" t="str">
        <x:v>G&amp;A</x:v>
      </x:c>
      <x:c r="C108" t="str">
        <x:v>Other OpEx</x:v>
      </x:c>
      <x:c r="D108" s="28" t="n">
        <x:v>9363.6</x:v>
      </x:c>
      <x:c r="E108" s="28" t="n">
        <x:v>9410.66</x:v>
      </x:c>
      <x:c r="F108" s="28" t="n">
        <x:v>47.06</x:v>
      </x:c>
      <x:c r="G108" s="30" t="n">
        <x:v>0.005026</x:v>
      </x:c>
    </x:row>
    <x:row r="109">
      <x:c r="A109" s="26" t="n">
        <x:v>45748</x:v>
      </x:c>
      <x:c r="B109" t="str">
        <x:v>Sales</x:v>
      </x:c>
      <x:c r="C109" t="str">
        <x:v>Revenue</x:v>
      </x:c>
      <x:c r="D109" s="28" t="n">
        <x:v>454230</x:v>
      </x:c>
      <x:c r="E109" s="28" t="n">
        <x:v>447655.33</x:v>
      </x:c>
      <x:c r="F109" s="28" t="n">
        <x:v>-6574.67</x:v>
      </x:c>
      <x:c r="G109" s="30" t="n">
        <x:v>-0.014474</x:v>
      </x:c>
    </x:row>
    <x:row r="110">
      <x:c r="A110" s="26" t="n">
        <x:v>45748</x:v>
      </x:c>
      <x:c r="B110" t="str">
        <x:v>Sales</x:v>
      </x:c>
      <x:c r="C110" t="str">
        <x:v>COGS</x:v>
      </x:c>
      <x:c r="D110" s="28" t="n">
        <x:v>190776.6</x:v>
      </x:c>
      <x:c r="E110" s="28" t="n">
        <x:v>190816.71</x:v>
      </x:c>
      <x:c r="F110" s="28" t="n">
        <x:v>40.11</x:v>
      </x:c>
      <x:c r="G110" s="30" t="n">
        <x:v>0.00021</x:v>
      </x:c>
    </x:row>
    <x:row r="111">
      <x:c r="A111" s="26" t="n">
        <x:v>45748</x:v>
      </x:c>
      <x:c r="B111" t="str">
        <x:v>Sales</x:v>
      </x:c>
      <x:c r="C111" t="str">
        <x:v>Payroll</x:v>
      </x:c>
      <x:c r="D111" s="28" t="n">
        <x:v>53580.6</x:v>
      </x:c>
      <x:c r="E111" s="28" t="n">
        <x:v>54898.07</x:v>
      </x:c>
      <x:c r="F111" s="28" t="n">
        <x:v>1317.47</x:v>
      </x:c>
      <x:c r="G111" s="30" t="n">
        <x:v>0.024588</x:v>
      </x:c>
    </x:row>
    <x:row r="112">
      <x:c r="A112" s="26" t="n">
        <x:v>45748</x:v>
      </x:c>
      <x:c r="B112" t="str">
        <x:v>Sales</x:v>
      </x:c>
      <x:c r="C112" t="str">
        <x:v>Software</x:v>
      </x:c>
      <x:c r="D112" s="28" t="n">
        <x:v>11031.3</x:v>
      </x:c>
      <x:c r="E112" s="28" t="n">
        <x:v>11580.58</x:v>
      </x:c>
      <x:c r="F112" s="28" t="n">
        <x:v>549.28</x:v>
      </x:c>
      <x:c r="G112" s="30" t="n">
        <x:v>0.049793</x:v>
      </x:c>
    </x:row>
    <x:row r="113">
      <x:c r="A113" s="26" t="n">
        <x:v>45748</x:v>
      </x:c>
      <x:c r="B113" t="str">
        <x:v>Sales</x:v>
      </x:c>
      <x:c r="C113" t="str">
        <x:v>Travel</x:v>
      </x:c>
      <x:c r="D113" s="28" t="n">
        <x:v>5883.36</x:v>
      </x:c>
      <x:c r="E113" s="28" t="n">
        <x:v>6309.64</x:v>
      </x:c>
      <x:c r="F113" s="28" t="n">
        <x:v>426.27</x:v>
      </x:c>
      <x:c r="G113" s="30" t="n">
        <x:v>0.072454</x:v>
      </x:c>
    </x:row>
    <x:row r="114">
      <x:c r="A114" s="26" t="n">
        <x:v>45748</x:v>
      </x:c>
      <x:c r="B114" t="str">
        <x:v>Sales</x:v>
      </x:c>
      <x:c r="C114" t="str">
        <x:v>Facilities</x:v>
      </x:c>
      <x:c r="D114" s="28" t="n">
        <x:v>6653.8</x:v>
      </x:c>
      <x:c r="E114" s="28" t="n">
        <x:v>6952.15</x:v>
      </x:c>
      <x:c r="F114" s="28" t="n">
        <x:v>298.35</x:v>
      </x:c>
      <x:c r="G114" s="30" t="n">
        <x:v>0.044839</x:v>
      </x:c>
    </x:row>
    <x:row r="115">
      <x:c r="A115" s="26" t="n">
        <x:v>45748</x:v>
      </x:c>
      <x:c r="B115" t="str">
        <x:v>Sales</x:v>
      </x:c>
      <x:c r="C115" t="str">
        <x:v>Other OpEx</x:v>
      </x:c>
      <x:c r="D115" s="28" t="n">
        <x:v>9455.4</x:v>
      </x:c>
      <x:c r="E115" s="28" t="n">
        <x:v>9918.22</x:v>
      </x:c>
      <x:c r="F115" s="28" t="n">
        <x:v>462.82</x:v>
      </x:c>
      <x:c r="G115" s="30" t="n">
        <x:v>0.048947</x:v>
      </x:c>
    </x:row>
    <x:row r="116">
      <x:c r="A116" s="26" t="n">
        <x:v>45748</x:v>
      </x:c>
      <x:c r="B116" t="str">
        <x:v>Marketing</x:v>
      </x:c>
      <x:c r="C116" t="str">
        <x:v>Revenue</x:v>
      </x:c>
      <x:c r="D116" s="28" t="n">
        <x:v>161504</x:v>
      </x:c>
      <x:c r="E116" s="28" t="n">
        <x:v>156804.04</x:v>
      </x:c>
      <x:c r="F116" s="28" t="n">
        <x:v>-4699.96</x:v>
      </x:c>
      <x:c r="G116" s="30" t="n">
        <x:v>-0.029101</x:v>
      </x:c>
    </x:row>
    <x:row r="117">
      <x:c r="A117" s="26" t="n">
        <x:v>45748</x:v>
      </x:c>
      <x:c r="B117" t="str">
        <x:v>Marketing</x:v>
      </x:c>
      <x:c r="C117" t="str">
        <x:v>COGS</x:v>
      </x:c>
      <x:c r="D117" s="28" t="n">
        <x:v>67831.68</x:v>
      </x:c>
      <x:c r="E117" s="28" t="n">
        <x:v>70628.25</x:v>
      </x:c>
      <x:c r="F117" s="28" t="n">
        <x:v>2796.57</x:v>
      </x:c>
      <x:c r="G117" s="30" t="n">
        <x:v>0.041228</x:v>
      </x:c>
    </x:row>
    <x:row r="118">
      <x:c r="A118" s="26" t="n">
        <x:v>45748</x:v>
      </x:c>
      <x:c r="B118" t="str">
        <x:v>Marketing</x:v>
      </x:c>
      <x:c r="C118" t="str">
        <x:v>Payroll</x:v>
      </x:c>
      <x:c r="D118" s="28" t="n">
        <x:v>53580.6</x:v>
      </x:c>
      <x:c r="E118" s="28" t="n">
        <x:v>56983.71</x:v>
      </x:c>
      <x:c r="F118" s="28" t="n">
        <x:v>3403.11</x:v>
      </x:c>
      <x:c r="G118" s="30" t="n">
        <x:v>0.063514</x:v>
      </x:c>
    </x:row>
    <x:row r="119">
      <x:c r="A119" s="26" t="n">
        <x:v>45748</x:v>
      </x:c>
      <x:c r="B119" t="str">
        <x:v>Marketing</x:v>
      </x:c>
      <x:c r="C119" t="str">
        <x:v>Software</x:v>
      </x:c>
      <x:c r="D119" s="28" t="n">
        <x:v>11031.3</x:v>
      </x:c>
      <x:c r="E119" s="28" t="n">
        <x:v>11905.8</x:v>
      </x:c>
      <x:c r="F119" s="28" t="n">
        <x:v>874.5</x:v>
      </x:c>
      <x:c r="G119" s="30" t="n">
        <x:v>0.079274</x:v>
      </x:c>
    </x:row>
    <x:row r="120">
      <x:c r="A120" s="26" t="n">
        <x:v>45748</x:v>
      </x:c>
      <x:c r="B120" t="str">
        <x:v>Marketing</x:v>
      </x:c>
      <x:c r="C120" t="str">
        <x:v>Travel</x:v>
      </x:c>
      <x:c r="D120" s="28" t="n">
        <x:v>4902.8</x:v>
      </x:c>
      <x:c r="E120" s="28" t="n">
        <x:v>5456.46</x:v>
      </x:c>
      <x:c r="F120" s="28" t="n">
        <x:v>553.66</x:v>
      </x:c>
      <x:c r="G120" s="30" t="n">
        <x:v>0.112926</x:v>
      </x:c>
    </x:row>
    <x:row r="121">
      <x:c r="A121" s="26" t="n">
        <x:v>45748</x:v>
      </x:c>
      <x:c r="B121" t="str">
        <x:v>Marketing</x:v>
      </x:c>
      <x:c r="C121" t="str">
        <x:v>Facilities</x:v>
      </x:c>
      <x:c r="D121" s="28" t="n">
        <x:v>6653.8</x:v>
      </x:c>
      <x:c r="E121" s="28" t="n">
        <x:v>6958.98</x:v>
      </x:c>
      <x:c r="F121" s="28" t="n">
        <x:v>305.18</x:v>
      </x:c>
      <x:c r="G121" s="30" t="n">
        <x:v>0.045865</x:v>
      </x:c>
    </x:row>
    <x:row r="122">
      <x:c r="A122" s="26" t="n">
        <x:v>45748</x:v>
      </x:c>
      <x:c r="B122" t="str">
        <x:v>Marketing</x:v>
      </x:c>
      <x:c r="C122" t="str">
        <x:v>Other OpEx</x:v>
      </x:c>
      <x:c r="D122" s="28" t="n">
        <x:v>9455.4</x:v>
      </x:c>
      <x:c r="E122" s="28" t="n">
        <x:v>10063.91</x:v>
      </x:c>
      <x:c r="F122" s="28" t="n">
        <x:v>608.51</x:v>
      </x:c>
      <x:c r="G122" s="30" t="n">
        <x:v>0.064356</x:v>
      </x:c>
    </x:row>
    <x:row r="123">
      <x:c r="A123" s="26" t="n">
        <x:v>45748</x:v>
      </x:c>
      <x:c r="B123" t="str">
        <x:v>R&amp;D</x:v>
      </x:c>
      <x:c r="C123" t="str">
        <x:v>Revenue</x:v>
      </x:c>
      <x:c r="D123" s="28" t="n">
        <x:v>121128</x:v>
      </x:c>
      <x:c r="E123" s="28" t="n">
        <x:v>118058.84</x:v>
      </x:c>
      <x:c r="F123" s="28" t="n">
        <x:v>-3069.16</x:v>
      </x:c>
      <x:c r="G123" s="30" t="n">
        <x:v>-0.025338</x:v>
      </x:c>
    </x:row>
    <x:row r="124">
      <x:c r="A124" s="26" t="n">
        <x:v>45748</x:v>
      </x:c>
      <x:c r="B124" t="str">
        <x:v>R&amp;D</x:v>
      </x:c>
      <x:c r="C124" t="str">
        <x:v>COGS</x:v>
      </x:c>
      <x:c r="D124" s="28" t="n">
        <x:v>50873.76</x:v>
      </x:c>
      <x:c r="E124" s="28" t="n">
        <x:v>54671.4</x:v>
      </x:c>
      <x:c r="F124" s="28" t="n">
        <x:v>3797.64</x:v>
      </x:c>
      <x:c r="G124" s="30" t="n">
        <x:v>0.074648</x:v>
      </x:c>
    </x:row>
    <x:row r="125">
      <x:c r="A125" s="26" t="n">
        <x:v>45748</x:v>
      </x:c>
      <x:c r="B125" t="str">
        <x:v>R&amp;D</x:v>
      </x:c>
      <x:c r="C125" t="str">
        <x:v>Payroll</x:v>
      </x:c>
      <x:c r="D125" s="28" t="n">
        <x:v>75012.84</x:v>
      </x:c>
      <x:c r="E125" s="28" t="n">
        <x:v>84011.6</x:v>
      </x:c>
      <x:c r="F125" s="28" t="n">
        <x:v>8998.76</x:v>
      </x:c>
      <x:c r="G125" s="30" t="n">
        <x:v>0.119963</x:v>
      </x:c>
    </x:row>
    <x:row r="126">
      <x:c r="A126" s="26" t="n">
        <x:v>45748</x:v>
      </x:c>
      <x:c r="B126" t="str">
        <x:v>R&amp;D</x:v>
      </x:c>
      <x:c r="C126" t="str">
        <x:v>Software</x:v>
      </x:c>
      <x:c r="D126" s="28" t="n">
        <x:v>15443.82</x:v>
      </x:c>
      <x:c r="E126" s="28" t="n">
        <x:v>17311.98</x:v>
      </x:c>
      <x:c r="F126" s="28" t="n">
        <x:v>1868.16</x:v>
      </x:c>
      <x:c r="G126" s="30" t="n">
        <x:v>0.120965</x:v>
      </x:c>
    </x:row>
    <x:row r="127">
      <x:c r="A127" s="26" t="n">
        <x:v>45748</x:v>
      </x:c>
      <x:c r="B127" t="str">
        <x:v>R&amp;D</x:v>
      </x:c>
      <x:c r="C127" t="str">
        <x:v>Travel</x:v>
      </x:c>
      <x:c r="D127" s="28" t="n">
        <x:v>4902.8</x:v>
      </x:c>
      <x:c r="E127" s="28" t="n">
        <x:v>5302.01</x:v>
      </x:c>
      <x:c r="F127" s="28" t="n">
        <x:v>399.21</x:v>
      </x:c>
      <x:c r="G127" s="30" t="n">
        <x:v>0.081425</x:v>
      </x:c>
    </x:row>
    <x:row r="128">
      <x:c r="A128" s="26" t="n">
        <x:v>45748</x:v>
      </x:c>
      <x:c r="B128" t="str">
        <x:v>R&amp;D</x:v>
      </x:c>
      <x:c r="C128" t="str">
        <x:v>Facilities</x:v>
      </x:c>
      <x:c r="D128" s="28" t="n">
        <x:v>6653.8</x:v>
      </x:c>
      <x:c r="E128" s="28" t="n">
        <x:v>6864.25</x:v>
      </x:c>
      <x:c r="F128" s="28" t="n">
        <x:v>210.45</x:v>
      </x:c>
      <x:c r="G128" s="30" t="n">
        <x:v>0.031629</x:v>
      </x:c>
    </x:row>
    <x:row r="129">
      <x:c r="A129" s="26" t="n">
        <x:v>45748</x:v>
      </x:c>
      <x:c r="B129" t="str">
        <x:v>R&amp;D</x:v>
      </x:c>
      <x:c r="C129" t="str">
        <x:v>Other OpEx</x:v>
      </x:c>
      <x:c r="D129" s="28" t="n">
        <x:v>9455.4</x:v>
      </x:c>
      <x:c r="E129" s="28" t="n">
        <x:v>9692.94</x:v>
      </x:c>
      <x:c r="F129" s="28" t="n">
        <x:v>237.54</x:v>
      </x:c>
      <x:c r="G129" s="30" t="n">
        <x:v>0.025122</x:v>
      </x:c>
    </x:row>
    <x:row r="130">
      <x:c r="A130" s="26" t="n">
        <x:v>45748</x:v>
      </x:c>
      <x:c r="B130" t="str">
        <x:v>Operations</x:v>
      </x:c>
      <x:c r="C130" t="str">
        <x:v>Revenue</x:v>
      </x:c>
      <x:c r="D130" s="28" t="n">
        <x:v>100940</x:v>
      </x:c>
      <x:c r="E130" s="28" t="n">
        <x:v>100439.84</x:v>
      </x:c>
      <x:c r="F130" s="28" t="n">
        <x:v>-500.16</x:v>
      </x:c>
      <x:c r="G130" s="30" t="n">
        <x:v>-0.004955</x:v>
      </x:c>
    </x:row>
    <x:row r="131">
      <x:c r="A131" s="26" t="n">
        <x:v>45748</x:v>
      </x:c>
      <x:c r="B131" t="str">
        <x:v>Operations</x:v>
      </x:c>
      <x:c r="C131" t="str">
        <x:v>COGS</x:v>
      </x:c>
      <x:c r="D131" s="28" t="n">
        <x:v>42394.8</x:v>
      </x:c>
      <x:c r="E131" s="28" t="n">
        <x:v>44068.45</x:v>
      </x:c>
      <x:c r="F131" s="28" t="n">
        <x:v>1673.65</x:v>
      </x:c>
      <x:c r="G131" s="30" t="n">
        <x:v>0.039478</x:v>
      </x:c>
    </x:row>
    <x:row r="132">
      <x:c r="A132" s="26" t="n">
        <x:v>45748</x:v>
      </x:c>
      <x:c r="B132" t="str">
        <x:v>Operations</x:v>
      </x:c>
      <x:c r="C132" t="str">
        <x:v>Payroll</x:v>
      </x:c>
      <x:c r="D132" s="28" t="n">
        <x:v>53580.6</x:v>
      </x:c>
      <x:c r="E132" s="28" t="n">
        <x:v>55466.85</x:v>
      </x:c>
      <x:c r="F132" s="28" t="n">
        <x:v>1886.25</x:v>
      </x:c>
      <x:c r="G132" s="30" t="n">
        <x:v>0.035204</x:v>
      </x:c>
    </x:row>
    <x:row r="133">
      <x:c r="A133" s="26" t="n">
        <x:v>45748</x:v>
      </x:c>
      <x:c r="B133" t="str">
        <x:v>Operations</x:v>
      </x:c>
      <x:c r="C133" t="str">
        <x:v>Software</x:v>
      </x:c>
      <x:c r="D133" s="28" t="n">
        <x:v>11031.3</x:v>
      </x:c>
      <x:c r="E133" s="28" t="n">
        <x:v>11308.03</x:v>
      </x:c>
      <x:c r="F133" s="28" t="n">
        <x:v>276.73</x:v>
      </x:c>
      <x:c r="G133" s="30" t="n">
        <x:v>0.025086</x:v>
      </x:c>
    </x:row>
    <x:row r="134">
      <x:c r="A134" s="26" t="n">
        <x:v>45748</x:v>
      </x:c>
      <x:c r="B134" t="str">
        <x:v>Operations</x:v>
      </x:c>
      <x:c r="C134" t="str">
        <x:v>Travel</x:v>
      </x:c>
      <x:c r="D134" s="28" t="n">
        <x:v>4902.8</x:v>
      </x:c>
      <x:c r="E134" s="28" t="n">
        <x:v>4982.1</x:v>
      </x:c>
      <x:c r="F134" s="28" t="n">
        <x:v>79.3</x:v>
      </x:c>
      <x:c r="G134" s="30" t="n">
        <x:v>0.016174</x:v>
      </x:c>
    </x:row>
    <x:row r="135">
      <x:c r="A135" s="26" t="n">
        <x:v>45748</x:v>
      </x:c>
      <x:c r="B135" t="str">
        <x:v>Operations</x:v>
      </x:c>
      <x:c r="C135" t="str">
        <x:v>Facilities</x:v>
      </x:c>
      <x:c r="D135" s="28" t="n">
        <x:v>6653.8</x:v>
      </x:c>
      <x:c r="E135" s="28" t="n">
        <x:v>6454.47</x:v>
      </x:c>
      <x:c r="F135" s="28" t="n">
        <x:v>-199.33</x:v>
      </x:c>
      <x:c r="G135" s="30" t="n">
        <x:v>-0.029957</x:v>
      </x:c>
    </x:row>
    <x:row r="136">
      <x:c r="A136" s="26" t="n">
        <x:v>45748</x:v>
      </x:c>
      <x:c r="B136" t="str">
        <x:v>Operations</x:v>
      </x:c>
      <x:c r="C136" t="str">
        <x:v>Other OpEx</x:v>
      </x:c>
      <x:c r="D136" s="28" t="n">
        <x:v>9455.4</x:v>
      </x:c>
      <x:c r="E136" s="28" t="n">
        <x:v>9211.07</x:v>
      </x:c>
      <x:c r="F136" s="28" t="n">
        <x:v>-244.33</x:v>
      </x:c>
      <x:c r="G136" s="30" t="n">
        <x:v>-0.025841</x:v>
      </x:c>
    </x:row>
    <x:row r="137">
      <x:c r="A137" s="26" t="n">
        <x:v>45748</x:v>
      </x:c>
      <x:c r="B137" t="str">
        <x:v>G&amp;A</x:v>
      </x:c>
      <x:c r="C137" t="str">
        <x:v>Revenue</x:v>
      </x:c>
      <x:c r="D137" s="28" t="n">
        <x:v>70658</x:v>
      </x:c>
      <x:c r="E137" s="28" t="n">
        <x:v>72245.1</x:v>
      </x:c>
      <x:c r="F137" s="28" t="n">
        <x:v>1587.1</x:v>
      </x:c>
      <x:c r="G137" s="30" t="n">
        <x:v>0.022462</x:v>
      </x:c>
    </x:row>
    <x:row r="138">
      <x:c r="A138" s="26" t="n">
        <x:v>45748</x:v>
      </x:c>
      <x:c r="B138" t="str">
        <x:v>G&amp;A</x:v>
      </x:c>
      <x:c r="C138" t="str">
        <x:v>COGS</x:v>
      </x:c>
      <x:c r="D138" s="28" t="n">
        <x:v>29676.36</x:v>
      </x:c>
      <x:c r="E138" s="28" t="n">
        <x:v>30626</x:v>
      </x:c>
      <x:c r="F138" s="28" t="n">
        <x:v>949.64</x:v>
      </x:c>
      <x:c r="G138" s="30" t="n">
        <x:v>0.032</x:v>
      </x:c>
    </x:row>
    <x:row r="139">
      <x:c r="A139" s="26" t="n">
        <x:v>45748</x:v>
      </x:c>
      <x:c r="B139" t="str">
        <x:v>G&amp;A</x:v>
      </x:c>
      <x:c r="C139" t="str">
        <x:v>Payroll</x:v>
      </x:c>
      <x:c r="D139" s="28" t="n">
        <x:v>53580.6</x:v>
      </x:c>
      <x:c r="E139" s="28" t="n">
        <x:v>54618.44</x:v>
      </x:c>
      <x:c r="F139" s="28" t="n">
        <x:v>1037.84</x:v>
      </x:c>
      <x:c r="G139" s="30" t="n">
        <x:v>0.01937</x:v>
      </x:c>
    </x:row>
    <x:row r="140">
      <x:c r="A140" s="26" t="n">
        <x:v>45748</x:v>
      </x:c>
      <x:c r="B140" t="str">
        <x:v>G&amp;A</x:v>
      </x:c>
      <x:c r="C140" t="str">
        <x:v>Software</x:v>
      </x:c>
      <x:c r="D140" s="28" t="n">
        <x:v>11031.3</x:v>
      </x:c>
      <x:c r="E140" s="28" t="n">
        <x:v>11125.23</x:v>
      </x:c>
      <x:c r="F140" s="28" t="n">
        <x:v>93.93</x:v>
      </x:c>
      <x:c r="G140" s="30" t="n">
        <x:v>0.008515</x:v>
      </x:c>
    </x:row>
    <x:row r="141">
      <x:c r="A141" s="26" t="n">
        <x:v>45748</x:v>
      </x:c>
      <x:c r="B141" t="str">
        <x:v>G&amp;A</x:v>
      </x:c>
      <x:c r="C141" t="str">
        <x:v>Travel</x:v>
      </x:c>
      <x:c r="D141" s="28" t="n">
        <x:v>4902.8</x:v>
      </x:c>
      <x:c r="E141" s="28" t="n">
        <x:v>4935.66</x:v>
      </x:c>
      <x:c r="F141" s="28" t="n">
        <x:v>32.86</x:v>
      </x:c>
      <x:c r="G141" s="30" t="n">
        <x:v>0.006702</x:v>
      </x:c>
    </x:row>
    <x:row r="142">
      <x:c r="A142" s="26" t="n">
        <x:v>45748</x:v>
      </x:c>
      <x:c r="B142" t="str">
        <x:v>G&amp;A</x:v>
      </x:c>
      <x:c r="C142" t="str">
        <x:v>Facilities</x:v>
      </x:c>
      <x:c r="D142" s="28" t="n">
        <x:v>6653.8</x:v>
      </x:c>
      <x:c r="E142" s="28" t="n">
        <x:v>6476.91</x:v>
      </x:c>
      <x:c r="F142" s="28" t="n">
        <x:v>-176.89</x:v>
      </x:c>
      <x:c r="G142" s="30" t="n">
        <x:v>-0.026584</x:v>
      </x:c>
    </x:row>
    <x:row r="143">
      <x:c r="A143" s="26" t="n">
        <x:v>45748</x:v>
      </x:c>
      <x:c r="B143" t="str">
        <x:v>G&amp;A</x:v>
      </x:c>
      <x:c r="C143" t="str">
        <x:v>Other OpEx</x:v>
      </x:c>
      <x:c r="D143" s="28" t="n">
        <x:v>9455.4</x:v>
      </x:c>
      <x:c r="E143" s="28" t="n">
        <x:v>9382.88</x:v>
      </x:c>
      <x:c r="F143" s="28" t="n">
        <x:v>-72.52</x:v>
      </x:c>
      <x:c r="G143" s="30" t="n">
        <x:v>-0.00767</x:v>
      </x:c>
    </x:row>
    <x:row r="144">
      <x:c r="A144" s="26" t="n">
        <x:v>45778</x:v>
      </x:c>
      <x:c r="B144" t="str">
        <x:v>Sales</x:v>
      </x:c>
      <x:c r="C144" t="str">
        <x:v>Revenue</x:v>
      </x:c>
      <x:c r="D144" s="28" t="n">
        <x:v>458640</x:v>
      </x:c>
      <x:c r="E144" s="28" t="n">
        <x:v>444893.77</x:v>
      </x:c>
      <x:c r="F144" s="28" t="n">
        <x:v>-13746.23</x:v>
      </x:c>
      <x:c r="G144" s="30" t="n">
        <x:v>-0.029972</x:v>
      </x:c>
    </x:row>
    <x:row r="145">
      <x:c r="A145" s="26" t="n">
        <x:v>45778</x:v>
      </x:c>
      <x:c r="B145" t="str">
        <x:v>Sales</x:v>
      </x:c>
      <x:c r="C145" t="str">
        <x:v>COGS</x:v>
      </x:c>
      <x:c r="D145" s="28" t="n">
        <x:v>192628.8</x:v>
      </x:c>
      <x:c r="E145" s="28" t="n">
        <x:v>200774.03</x:v>
      </x:c>
      <x:c r="F145" s="28" t="n">
        <x:v>8145.23</x:v>
      </x:c>
      <x:c r="G145" s="30" t="n">
        <x:v>0.042285</x:v>
      </x:c>
    </x:row>
    <x:row r="146">
      <x:c r="A146" s="26" t="n">
        <x:v>45778</x:v>
      </x:c>
      <x:c r="B146" t="str">
        <x:v>Sales</x:v>
      </x:c>
      <x:c r="C146" t="str">
        <x:v>Payroll</x:v>
      </x:c>
      <x:c r="D146" s="28" t="n">
        <x:v>54100.8</x:v>
      </x:c>
      <x:c r="E146" s="28" t="n">
        <x:v>57232</x:v>
      </x:c>
      <x:c r="F146" s="28" t="n">
        <x:v>3131.2</x:v>
      </x:c>
      <x:c r="G146" s="30" t="n">
        <x:v>0.057877</x:v>
      </x:c>
    </x:row>
    <x:row r="147">
      <x:c r="A147" s="26" t="n">
        <x:v>45778</x:v>
      </x:c>
      <x:c r="B147" t="str">
        <x:v>Sales</x:v>
      </x:c>
      <x:c r="C147" t="str">
        <x:v>Software</x:v>
      </x:c>
      <x:c r="D147" s="28" t="n">
        <x:v>11138.4</x:v>
      </x:c>
      <x:c r="E147" s="28" t="n">
        <x:v>11856.58</x:v>
      </x:c>
      <x:c r="F147" s="28" t="n">
        <x:v>718.18</x:v>
      </x:c>
      <x:c r="G147" s="30" t="n">
        <x:v>0.064478</x:v>
      </x:c>
    </x:row>
    <x:row r="148">
      <x:c r="A148" s="26" t="n">
        <x:v>45778</x:v>
      </x:c>
      <x:c r="B148" t="str">
        <x:v>Sales</x:v>
      </x:c>
      <x:c r="C148" t="str">
        <x:v>Travel</x:v>
      </x:c>
      <x:c r="D148" s="28" t="n">
        <x:v>5940.48</x:v>
      </x:c>
      <x:c r="E148" s="28" t="n">
        <x:v>6321.88</x:v>
      </x:c>
      <x:c r="F148" s="28" t="n">
        <x:v>381.4</x:v>
      </x:c>
      <x:c r="G148" s="30" t="n">
        <x:v>0.064204</x:v>
      </x:c>
    </x:row>
    <x:row r="149">
      <x:c r="A149" s="26" t="n">
        <x:v>45778</x:v>
      </x:c>
      <x:c r="B149" t="str">
        <x:v>Sales</x:v>
      </x:c>
      <x:c r="C149" t="str">
        <x:v>Facilities</x:v>
      </x:c>
      <x:c r="D149" s="28" t="n">
        <x:v>6718.4</x:v>
      </x:c>
      <x:c r="E149" s="28" t="n">
        <x:v>6826.47</x:v>
      </x:c>
      <x:c r="F149" s="28" t="n">
        <x:v>108.07</x:v>
      </x:c>
      <x:c r="G149" s="30" t="n">
        <x:v>0.016086</x:v>
      </x:c>
    </x:row>
    <x:row r="150">
      <x:c r="A150" s="26" t="n">
        <x:v>45778</x:v>
      </x:c>
      <x:c r="B150" t="str">
        <x:v>Sales</x:v>
      </x:c>
      <x:c r="C150" t="str">
        <x:v>Other OpEx</x:v>
      </x:c>
      <x:c r="D150" s="28" t="n">
        <x:v>9547.2</x:v>
      </x:c>
      <x:c r="E150" s="28" t="n">
        <x:v>9625.23</x:v>
      </x:c>
      <x:c r="F150" s="28" t="n">
        <x:v>78.03</x:v>
      </x:c>
      <x:c r="G150" s="30" t="n">
        <x:v>0.008173</x:v>
      </x:c>
    </x:row>
    <x:row r="151">
      <x:c r="A151" s="26" t="n">
        <x:v>45778</x:v>
      </x:c>
      <x:c r="B151" t="str">
        <x:v>Marketing</x:v>
      </x:c>
      <x:c r="C151" t="str">
        <x:v>Revenue</x:v>
      </x:c>
      <x:c r="D151" s="28" t="n">
        <x:v>163072</x:v>
      </x:c>
      <x:c r="E151" s="28" t="n">
        <x:v>159875.28</x:v>
      </x:c>
      <x:c r="F151" s="28" t="n">
        <x:v>-3196.72</x:v>
      </x:c>
      <x:c r="G151" s="30" t="n">
        <x:v>-0.019603</x:v>
      </x:c>
    </x:row>
    <x:row r="152">
      <x:c r="A152" s="26" t="n">
        <x:v>45778</x:v>
      </x:c>
      <x:c r="B152" t="str">
        <x:v>Marketing</x:v>
      </x:c>
      <x:c r="C152" t="str">
        <x:v>COGS</x:v>
      </x:c>
      <x:c r="D152" s="28" t="n">
        <x:v>68490.24</x:v>
      </x:c>
      <x:c r="E152" s="28" t="n">
        <x:v>73079.07</x:v>
      </x:c>
      <x:c r="F152" s="28" t="n">
        <x:v>4588.83</x:v>
      </x:c>
      <x:c r="G152" s="30" t="n">
        <x:v>0.067</x:v>
      </x:c>
    </x:row>
    <x:row r="153">
      <x:c r="A153" s="26" t="n">
        <x:v>45778</x:v>
      </x:c>
      <x:c r="B153" t="str">
        <x:v>Marketing</x:v>
      </x:c>
      <x:c r="C153" t="str">
        <x:v>Payroll</x:v>
      </x:c>
      <x:c r="D153" s="28" t="n">
        <x:v>54100.8</x:v>
      </x:c>
      <x:c r="E153" s="28" t="n">
        <x:v>57774.84</x:v>
      </x:c>
      <x:c r="F153" s="28" t="n">
        <x:v>3674.04</x:v>
      </x:c>
      <x:c r="G153" s="30" t="n">
        <x:v>0.067911</x:v>
      </x:c>
    </x:row>
    <x:row r="154">
      <x:c r="A154" s="26" t="n">
        <x:v>45778</x:v>
      </x:c>
      <x:c r="B154" t="str">
        <x:v>Marketing</x:v>
      </x:c>
      <x:c r="C154" t="str">
        <x:v>Software</x:v>
      </x:c>
      <x:c r="D154" s="28" t="n">
        <x:v>11138.4</x:v>
      </x:c>
      <x:c r="E154" s="28" t="n">
        <x:v>11817.84</x:v>
      </x:c>
      <x:c r="F154" s="28" t="n">
        <x:v>679.44</x:v>
      </x:c>
      <x:c r="G154" s="30" t="n">
        <x:v>0.061</x:v>
      </x:c>
    </x:row>
    <x:row r="155">
      <x:c r="A155" s="26" t="n">
        <x:v>45778</x:v>
      </x:c>
      <x:c r="B155" t="str">
        <x:v>Marketing</x:v>
      </x:c>
      <x:c r="C155" t="str">
        <x:v>Travel</x:v>
      </x:c>
      <x:c r="D155" s="28" t="n">
        <x:v>4950.4</x:v>
      </x:c>
      <x:c r="E155" s="28" t="n">
        <x:v>5333.41</x:v>
      </x:c>
      <x:c r="F155" s="28" t="n">
        <x:v>383.01</x:v>
      </x:c>
      <x:c r="G155" s="30" t="n">
        <x:v>0.07737</x:v>
      </x:c>
    </x:row>
    <x:row r="156">
      <x:c r="A156" s="26" t="n">
        <x:v>45778</x:v>
      </x:c>
      <x:c r="B156" t="str">
        <x:v>Marketing</x:v>
      </x:c>
      <x:c r="C156" t="str">
        <x:v>Facilities</x:v>
      </x:c>
      <x:c r="D156" s="28" t="n">
        <x:v>6718.4</x:v>
      </x:c>
      <x:c r="E156" s="28" t="n">
        <x:v>6742.01</x:v>
      </x:c>
      <x:c r="F156" s="28" t="n">
        <x:v>23.61</x:v>
      </x:c>
      <x:c r="G156" s="30" t="n">
        <x:v>0.003515</x:v>
      </x:c>
    </x:row>
    <x:row r="157">
      <x:c r="A157" s="26" t="n">
        <x:v>45778</x:v>
      </x:c>
      <x:c r="B157" t="str">
        <x:v>Marketing</x:v>
      </x:c>
      <x:c r="C157" t="str">
        <x:v>Other OpEx</x:v>
      </x:c>
      <x:c r="D157" s="28" t="n">
        <x:v>9547.2</x:v>
      </x:c>
      <x:c r="E157" s="28" t="n">
        <x:v>9811.69</x:v>
      </x:c>
      <x:c r="F157" s="28" t="n">
        <x:v>264.49</x:v>
      </x:c>
      <x:c r="G157" s="30" t="n">
        <x:v>0.027703</x:v>
      </x:c>
    </x:row>
    <x:row r="158">
      <x:c r="A158" s="26" t="n">
        <x:v>45778</x:v>
      </x:c>
      <x:c r="B158" t="str">
        <x:v>R&amp;D</x:v>
      </x:c>
      <x:c r="C158" t="str">
        <x:v>Revenue</x:v>
      </x:c>
      <x:c r="D158" s="28" t="n">
        <x:v>122304</x:v>
      </x:c>
      <x:c r="E158" s="28" t="n">
        <x:v>122877.4</x:v>
      </x:c>
      <x:c r="F158" s="28" t="n">
        <x:v>573.4</x:v>
      </x:c>
      <x:c r="G158" s="30" t="n">
        <x:v>0.004688</x:v>
      </x:c>
    </x:row>
    <x:row r="159">
      <x:c r="A159" s="26" t="n">
        <x:v>45778</x:v>
      </x:c>
      <x:c r="B159" t="str">
        <x:v>R&amp;D</x:v>
      </x:c>
      <x:c r="C159" t="str">
        <x:v>COGS</x:v>
      </x:c>
      <x:c r="D159" s="28" t="n">
        <x:v>51367.68</x:v>
      </x:c>
      <x:c r="E159" s="28" t="n">
        <x:v>54885.57</x:v>
      </x:c>
      <x:c r="F159" s="28" t="n">
        <x:v>3517.89</x:v>
      </x:c>
      <x:c r="G159" s="30" t="n">
        <x:v>0.068485</x:v>
      </x:c>
    </x:row>
    <x:row r="160">
      <x:c r="A160" s="26" t="n">
        <x:v>45778</x:v>
      </x:c>
      <x:c r="B160" t="str">
        <x:v>R&amp;D</x:v>
      </x:c>
      <x:c r="C160" t="str">
        <x:v>Payroll</x:v>
      </x:c>
      <x:c r="D160" s="28" t="n">
        <x:v>75741.12</x:v>
      </x:c>
      <x:c r="E160" s="28" t="n">
        <x:v>82769.98</x:v>
      </x:c>
      <x:c r="F160" s="28" t="n">
        <x:v>7028.86</x:v>
      </x:c>
      <x:c r="G160" s="30" t="n">
        <x:v>0.092801</x:v>
      </x:c>
    </x:row>
    <x:row r="161">
      <x:c r="A161" s="26" t="n">
        <x:v>45778</x:v>
      </x:c>
      <x:c r="B161" t="str">
        <x:v>R&amp;D</x:v>
      </x:c>
      <x:c r="C161" t="str">
        <x:v>Software</x:v>
      </x:c>
      <x:c r="D161" s="28" t="n">
        <x:v>15593.76</x:v>
      </x:c>
      <x:c r="E161" s="28" t="n">
        <x:v>16854</x:v>
      </x:c>
      <x:c r="F161" s="28" t="n">
        <x:v>1260.24</x:v>
      </x:c>
      <x:c r="G161" s="30" t="n">
        <x:v>0.080817</x:v>
      </x:c>
    </x:row>
    <x:row r="162">
      <x:c r="A162" s="26" t="n">
        <x:v>45778</x:v>
      </x:c>
      <x:c r="B162" t="str">
        <x:v>R&amp;D</x:v>
      </x:c>
      <x:c r="C162" t="str">
        <x:v>Travel</x:v>
      </x:c>
      <x:c r="D162" s="28" t="n">
        <x:v>4950.4</x:v>
      </x:c>
      <x:c r="E162" s="28" t="n">
        <x:v>5149.06</x:v>
      </x:c>
      <x:c r="F162" s="28" t="n">
        <x:v>198.66</x:v>
      </x:c>
      <x:c r="G162" s="30" t="n">
        <x:v>0.04013</x:v>
      </x:c>
    </x:row>
    <x:row r="163">
      <x:c r="A163" s="26" t="n">
        <x:v>45778</x:v>
      </x:c>
      <x:c r="B163" t="str">
        <x:v>R&amp;D</x:v>
      </x:c>
      <x:c r="C163" t="str">
        <x:v>Facilities</x:v>
      </x:c>
      <x:c r="D163" s="28" t="n">
        <x:v>6718.4</x:v>
      </x:c>
      <x:c r="E163" s="28" t="n">
        <x:v>6727.61</x:v>
      </x:c>
      <x:c r="F163" s="28" t="n">
        <x:v>9.21</x:v>
      </x:c>
      <x:c r="G163" s="30" t="n">
        <x:v>0.00137</x:v>
      </x:c>
    </x:row>
    <x:row r="164">
      <x:c r="A164" s="26" t="n">
        <x:v>45778</x:v>
      </x:c>
      <x:c r="B164" t="str">
        <x:v>R&amp;D</x:v>
      </x:c>
      <x:c r="C164" t="str">
        <x:v>Other OpEx</x:v>
      </x:c>
      <x:c r="D164" s="28" t="n">
        <x:v>9547.2</x:v>
      </x:c>
      <x:c r="E164" s="28" t="n">
        <x:v>9688.73</x:v>
      </x:c>
      <x:c r="F164" s="28" t="n">
        <x:v>141.53</x:v>
      </x:c>
      <x:c r="G164" s="30" t="n">
        <x:v>0.014824</x:v>
      </x:c>
    </x:row>
    <x:row r="165">
      <x:c r="A165" s="26" t="n">
        <x:v>45778</x:v>
      </x:c>
      <x:c r="B165" t="str">
        <x:v>Operations</x:v>
      </x:c>
      <x:c r="C165" t="str">
        <x:v>Revenue</x:v>
      </x:c>
      <x:c r="D165" s="28" t="n">
        <x:v>101920</x:v>
      </x:c>
      <x:c r="E165" s="28" t="n">
        <x:v>105128.23</x:v>
      </x:c>
      <x:c r="F165" s="28" t="n">
        <x:v>3208.23</x:v>
      </x:c>
      <x:c r="G165" s="30" t="n">
        <x:v>0.031478</x:v>
      </x:c>
    </x:row>
    <x:row r="166">
      <x:c r="A166" s="26" t="n">
        <x:v>45778</x:v>
      </x:c>
      <x:c r="B166" t="str">
        <x:v>Operations</x:v>
      </x:c>
      <x:c r="C166" t="str">
        <x:v>COGS</x:v>
      </x:c>
      <x:c r="D166" s="28" t="n">
        <x:v>42806.4</x:v>
      </x:c>
      <x:c r="E166" s="28" t="n">
        <x:v>43025.45</x:v>
      </x:c>
      <x:c r="F166" s="28" t="n">
        <x:v>219.05</x:v>
      </x:c>
      <x:c r="G166" s="30" t="n">
        <x:v>0.005117</x:v>
      </x:c>
    </x:row>
    <x:row r="167">
      <x:c r="A167" s="26" t="n">
        <x:v>45778</x:v>
      </x:c>
      <x:c r="B167" t="str">
        <x:v>Operations</x:v>
      </x:c>
      <x:c r="C167" t="str">
        <x:v>Payroll</x:v>
      </x:c>
      <x:c r="D167" s="28" t="n">
        <x:v>54100.8</x:v>
      </x:c>
      <x:c r="E167" s="28" t="n">
        <x:v>53719.89</x:v>
      </x:c>
      <x:c r="F167" s="28" t="n">
        <x:v>-380.91</x:v>
      </x:c>
      <x:c r="G167" s="30" t="n">
        <x:v>-0.007041</x:v>
      </x:c>
    </x:row>
    <x:row r="168">
      <x:c r="A168" s="26" t="n">
        <x:v>45778</x:v>
      </x:c>
      <x:c r="B168" t="str">
        <x:v>Operations</x:v>
      </x:c>
      <x:c r="C168" t="str">
        <x:v>Software</x:v>
      </x:c>
      <x:c r="D168" s="28" t="n">
        <x:v>11138.4</x:v>
      </x:c>
      <x:c r="E168" s="28" t="n">
        <x:v>10998.25</x:v>
      </x:c>
      <x:c r="F168" s="28" t="n">
        <x:v>-140.15</x:v>
      </x:c>
      <x:c r="G168" s="30" t="n">
        <x:v>-0.012582</x:v>
      </x:c>
    </x:row>
    <x:row r="169">
      <x:c r="A169" s="26" t="n">
        <x:v>45778</x:v>
      </x:c>
      <x:c r="B169" t="str">
        <x:v>Operations</x:v>
      </x:c>
      <x:c r="C169" t="str">
        <x:v>Travel</x:v>
      </x:c>
      <x:c r="D169" s="28" t="n">
        <x:v>4950.4</x:v>
      </x:c>
      <x:c r="E169" s="28" t="n">
        <x:v>4921.64</x:v>
      </x:c>
      <x:c r="F169" s="28" t="n">
        <x:v>-28.76</x:v>
      </x:c>
      <x:c r="G169" s="30" t="n">
        <x:v>-0.005809</x:v>
      </x:c>
    </x:row>
    <x:row r="170">
      <x:c r="A170" s="26" t="n">
        <x:v>45778</x:v>
      </x:c>
      <x:c r="B170" t="str">
        <x:v>Operations</x:v>
      </x:c>
      <x:c r="C170" t="str">
        <x:v>Facilities</x:v>
      </x:c>
      <x:c r="D170" s="28" t="n">
        <x:v>6718.4</x:v>
      </x:c>
      <x:c r="E170" s="28" t="n">
        <x:v>6518.4</x:v>
      </x:c>
      <x:c r="F170" s="28" t="n">
        <x:v>-200</x:v>
      </x:c>
      <x:c r="G170" s="30" t="n">
        <x:v>-0.029768</x:v>
      </x:c>
    </x:row>
    <x:row r="171">
      <x:c r="A171" s="26" t="n">
        <x:v>45778</x:v>
      </x:c>
      <x:c r="B171" t="str">
        <x:v>Operations</x:v>
      </x:c>
      <x:c r="C171" t="str">
        <x:v>Other OpEx</x:v>
      </x:c>
      <x:c r="D171" s="28" t="n">
        <x:v>9547.2</x:v>
      </x:c>
      <x:c r="E171" s="28" t="n">
        <x:v>9513.42</x:v>
      </x:c>
      <x:c r="F171" s="28" t="n">
        <x:v>-33.78</x:v>
      </x:c>
      <x:c r="G171" s="30" t="n">
        <x:v>-0.003538</x:v>
      </x:c>
    </x:row>
    <x:row r="172">
      <x:c r="A172" s="26" t="n">
        <x:v>45778</x:v>
      </x:c>
      <x:c r="B172" t="str">
        <x:v>G&amp;A</x:v>
      </x:c>
      <x:c r="C172" t="str">
        <x:v>Revenue</x:v>
      </x:c>
      <x:c r="D172" s="28" t="n">
        <x:v>71344</x:v>
      </x:c>
      <x:c r="E172" s="28" t="n">
        <x:v>74780.36</x:v>
      </x:c>
      <x:c r="F172" s="28" t="n">
        <x:v>3436.36</x:v>
      </x:c>
      <x:c r="G172" s="30" t="n">
        <x:v>0.048166</x:v>
      </x:c>
    </x:row>
    <x:row r="173">
      <x:c r="A173" s="26" t="n">
        <x:v>45778</x:v>
      </x:c>
      <x:c r="B173" t="str">
        <x:v>G&amp;A</x:v>
      </x:c>
      <x:c r="C173" t="str">
        <x:v>COGS</x:v>
      </x:c>
      <x:c r="D173" s="28" t="n">
        <x:v>29964.48</x:v>
      </x:c>
      <x:c r="E173" s="28" t="n">
        <x:v>29673.39</x:v>
      </x:c>
      <x:c r="F173" s="28" t="n">
        <x:v>-291.09</x:v>
      </x:c>
      <x:c r="G173" s="30" t="n">
        <x:v>-0.009715</x:v>
      </x:c>
    </x:row>
    <x:row r="174">
      <x:c r="A174" s="26" t="n">
        <x:v>45778</x:v>
      </x:c>
      <x:c r="B174" t="str">
        <x:v>G&amp;A</x:v>
      </x:c>
      <x:c r="C174" t="str">
        <x:v>Payroll</x:v>
      </x:c>
      <x:c r="D174" s="28" t="n">
        <x:v>54100.8</x:v>
      </x:c>
      <x:c r="E174" s="28" t="n">
        <x:v>53433.59</x:v>
      </x:c>
      <x:c r="F174" s="28" t="n">
        <x:v>-667.21</x:v>
      </x:c>
      <x:c r="G174" s="30" t="n">
        <x:v>-0.012333</x:v>
      </x:c>
    </x:row>
    <x:row r="175">
      <x:c r="A175" s="26" t="n">
        <x:v>45778</x:v>
      </x:c>
      <x:c r="B175" t="str">
        <x:v>G&amp;A</x:v>
      </x:c>
      <x:c r="C175" t="str">
        <x:v>Software</x:v>
      </x:c>
      <x:c r="D175" s="28" t="n">
        <x:v>11138.4</x:v>
      </x:c>
      <x:c r="E175" s="28" t="n">
        <x:v>11095.8</x:v>
      </x:c>
      <x:c r="F175" s="28" t="n">
        <x:v>-42.6</x:v>
      </x:c>
      <x:c r="G175" s="30" t="n">
        <x:v>-0.003825</x:v>
      </x:c>
    </x:row>
    <x:row r="176">
      <x:c r="A176" s="26" t="n">
        <x:v>45778</x:v>
      </x:c>
      <x:c r="B176" t="str">
        <x:v>G&amp;A</x:v>
      </x:c>
      <x:c r="C176" t="str">
        <x:v>Travel</x:v>
      </x:c>
      <x:c r="D176" s="28" t="n">
        <x:v>4950.4</x:v>
      </x:c>
      <x:c r="E176" s="28" t="n">
        <x:v>5036.37</x:v>
      </x:c>
      <x:c r="F176" s="28" t="n">
        <x:v>85.97</x:v>
      </x:c>
      <x:c r="G176" s="30" t="n">
        <x:v>0.017366</x:v>
      </x:c>
    </x:row>
    <x:row r="177">
      <x:c r="A177" s="26" t="n">
        <x:v>45778</x:v>
      </x:c>
      <x:c r="B177" t="str">
        <x:v>G&amp;A</x:v>
      </x:c>
      <x:c r="C177" t="str">
        <x:v>Facilities</x:v>
      </x:c>
      <x:c r="D177" s="28" t="n">
        <x:v>6718.4</x:v>
      </x:c>
      <x:c r="E177" s="28" t="n">
        <x:v>6744.84</x:v>
      </x:c>
      <x:c r="F177" s="28" t="n">
        <x:v>26.44</x:v>
      </x:c>
      <x:c r="G177" s="30" t="n">
        <x:v>0.003936</x:v>
      </x:c>
    </x:row>
    <x:row r="178">
      <x:c r="A178" s="26" t="n">
        <x:v>45778</x:v>
      </x:c>
      <x:c r="B178" t="str">
        <x:v>G&amp;A</x:v>
      </x:c>
      <x:c r="C178" t="str">
        <x:v>Other OpEx</x:v>
      </x:c>
      <x:c r="D178" s="28" t="n">
        <x:v>9547.2</x:v>
      </x:c>
      <x:c r="E178" s="28" t="n">
        <x:v>9868.99</x:v>
      </x:c>
      <x:c r="F178" s="28" t="n">
        <x:v>321.79</x:v>
      </x:c>
      <x:c r="G178" s="30" t="n">
        <x:v>0.033705</x:v>
      </x:c>
    </x:row>
    <x:row r="179">
      <x:c r="A179" s="26" t="n">
        <x:v>45809</x:v>
      </x:c>
      <x:c r="B179" t="str">
        <x:v>Sales</x:v>
      </x:c>
      <x:c r="C179" t="str">
        <x:v>Revenue</x:v>
      </x:c>
      <x:c r="D179" s="28" t="n">
        <x:v>463050</x:v>
      </x:c>
      <x:c r="E179" s="28" t="n">
        <x:v>457480.7</x:v>
      </x:c>
      <x:c r="F179" s="28" t="n">
        <x:v>-5569.3</x:v>
      </x:c>
      <x:c r="G179" s="30" t="n">
        <x:v>-0.012027</x:v>
      </x:c>
    </x:row>
    <x:row r="180">
      <x:c r="A180" s="26" t="n">
        <x:v>45809</x:v>
      </x:c>
      <x:c r="B180" t="str">
        <x:v>Sales</x:v>
      </x:c>
      <x:c r="C180" t="str">
        <x:v>COGS</x:v>
      </x:c>
      <x:c r="D180" s="28" t="n">
        <x:v>194481</x:v>
      </x:c>
      <x:c r="E180" s="28" t="n">
        <x:v>206885.38</x:v>
      </x:c>
      <x:c r="F180" s="28" t="n">
        <x:v>12404.38</x:v>
      </x:c>
      <x:c r="G180" s="30" t="n">
        <x:v>0.063782</x:v>
      </x:c>
    </x:row>
    <x:row r="181">
      <x:c r="A181" s="26" t="n">
        <x:v>45809</x:v>
      </x:c>
      <x:c r="B181" t="str">
        <x:v>Sales</x:v>
      </x:c>
      <x:c r="C181" t="str">
        <x:v>Payroll</x:v>
      </x:c>
      <x:c r="D181" s="28" t="n">
        <x:v>54621</x:v>
      </x:c>
      <x:c r="E181" s="28" t="n">
        <x:v>57709.04</x:v>
      </x:c>
      <x:c r="F181" s="28" t="n">
        <x:v>3088.04</x:v>
      </x:c>
      <x:c r="G181" s="30" t="n">
        <x:v>0.056536</x:v>
      </x:c>
    </x:row>
    <x:row r="182">
      <x:c r="A182" s="26" t="n">
        <x:v>45809</x:v>
      </x:c>
      <x:c r="B182" t="str">
        <x:v>Sales</x:v>
      </x:c>
      <x:c r="C182" t="str">
        <x:v>Software</x:v>
      </x:c>
      <x:c r="D182" s="28" t="n">
        <x:v>11245.5</x:v>
      </x:c>
      <x:c r="E182" s="28" t="n">
        <x:v>11752.86</x:v>
      </x:c>
      <x:c r="F182" s="28" t="n">
        <x:v>507.36</x:v>
      </x:c>
      <x:c r="G182" s="30" t="n">
        <x:v>0.045117</x:v>
      </x:c>
    </x:row>
    <x:row r="183">
      <x:c r="A183" s="26" t="n">
        <x:v>45809</x:v>
      </x:c>
      <x:c r="B183" t="str">
        <x:v>Sales</x:v>
      </x:c>
      <x:c r="C183" t="str">
        <x:v>Travel</x:v>
      </x:c>
      <x:c r="D183" s="28" t="n">
        <x:v>5997.6</x:v>
      </x:c>
      <x:c r="E183" s="28" t="n">
        <x:v>6219.26</x:v>
      </x:c>
      <x:c r="F183" s="28" t="n">
        <x:v>221.66</x:v>
      </x:c>
      <x:c r="G183" s="30" t="n">
        <x:v>0.036959</x:v>
      </x:c>
    </x:row>
    <x:row r="184">
      <x:c r="A184" s="26" t="n">
        <x:v>45809</x:v>
      </x:c>
      <x:c r="B184" t="str">
        <x:v>Sales</x:v>
      </x:c>
      <x:c r="C184" t="str">
        <x:v>Facilities</x:v>
      </x:c>
      <x:c r="D184" s="28" t="n">
        <x:v>6783</x:v>
      </x:c>
      <x:c r="E184" s="28" t="n">
        <x:v>6738.35</x:v>
      </x:c>
      <x:c r="F184" s="28" t="n">
        <x:v>-44.65</x:v>
      </x:c>
      <x:c r="G184" s="30" t="n">
        <x:v>-0.006583</x:v>
      </x:c>
    </x:row>
    <x:row r="185">
      <x:c r="A185" s="26" t="n">
        <x:v>45809</x:v>
      </x:c>
      <x:c r="B185" t="str">
        <x:v>Sales</x:v>
      </x:c>
      <x:c r="C185" t="str">
        <x:v>Other OpEx</x:v>
      </x:c>
      <x:c r="D185" s="28" t="n">
        <x:v>9639</x:v>
      </x:c>
      <x:c r="E185" s="28" t="n">
        <x:v>9650.48</x:v>
      </x:c>
      <x:c r="F185" s="28" t="n">
        <x:v>11.48</x:v>
      </x:c>
      <x:c r="G185" s="30" t="n">
        <x:v>0.00119</x:v>
      </x:c>
    </x:row>
    <x:row r="186">
      <x:c r="A186" s="26" t="n">
        <x:v>45809</x:v>
      </x:c>
      <x:c r="B186" t="str">
        <x:v>Marketing</x:v>
      </x:c>
      <x:c r="C186" t="str">
        <x:v>Revenue</x:v>
      </x:c>
      <x:c r="D186" s="28" t="n">
        <x:v>164640</x:v>
      </x:c>
      <x:c r="E186" s="28" t="n">
        <x:v>167053.95</x:v>
      </x:c>
      <x:c r="F186" s="28" t="n">
        <x:v>2413.95</x:v>
      </x:c>
      <x:c r="G186" s="30" t="n">
        <x:v>0.014662</x:v>
      </x:c>
    </x:row>
    <x:row r="187">
      <x:c r="A187" s="26" t="n">
        <x:v>45809</x:v>
      </x:c>
      <x:c r="B187" t="str">
        <x:v>Marketing</x:v>
      </x:c>
      <x:c r="C187" t="str">
        <x:v>COGS</x:v>
      </x:c>
      <x:c r="D187" s="28" t="n">
        <x:v>69148.8</x:v>
      </x:c>
      <x:c r="E187" s="28" t="n">
        <x:v>73055.48</x:v>
      </x:c>
      <x:c r="F187" s="28" t="n">
        <x:v>3906.68</x:v>
      </x:c>
      <x:c r="G187" s="30" t="n">
        <x:v>0.056497</x:v>
      </x:c>
    </x:row>
    <x:row r="188">
      <x:c r="A188" s="26" t="n">
        <x:v>45809</x:v>
      </x:c>
      <x:c r="B188" t="str">
        <x:v>Marketing</x:v>
      </x:c>
      <x:c r="C188" t="str">
        <x:v>Payroll</x:v>
      </x:c>
      <x:c r="D188" s="28" t="n">
        <x:v>54621</x:v>
      </x:c>
      <x:c r="E188" s="28" t="n">
        <x:v>56996.38</x:v>
      </x:c>
      <x:c r="F188" s="28" t="n">
        <x:v>2375.38</x:v>
      </x:c>
      <x:c r="G188" s="30" t="n">
        <x:v>0.043488</x:v>
      </x:c>
    </x:row>
    <x:row r="189">
      <x:c r="A189" s="26" t="n">
        <x:v>45809</x:v>
      </x:c>
      <x:c r="B189" t="str">
        <x:v>Marketing</x:v>
      </x:c>
      <x:c r="C189" t="str">
        <x:v>Software</x:v>
      </x:c>
      <x:c r="D189" s="28" t="n">
        <x:v>11245.5</x:v>
      </x:c>
      <x:c r="E189" s="28" t="n">
        <x:v>11631.06</x:v>
      </x:c>
      <x:c r="F189" s="28" t="n">
        <x:v>385.56</x:v>
      </x:c>
      <x:c r="G189" s="30" t="n">
        <x:v>0.034286</x:v>
      </x:c>
    </x:row>
    <x:row r="190">
      <x:c r="A190" s="26" t="n">
        <x:v>45809</x:v>
      </x:c>
      <x:c r="B190" t="str">
        <x:v>Marketing</x:v>
      </x:c>
      <x:c r="C190" t="str">
        <x:v>Travel</x:v>
      </x:c>
      <x:c r="D190" s="28" t="n">
        <x:v>4998</x:v>
      </x:c>
      <x:c r="E190" s="28" t="n">
        <x:v>5301.21</x:v>
      </x:c>
      <x:c r="F190" s="28" t="n">
        <x:v>303.21</x:v>
      </x:c>
      <x:c r="G190" s="30" t="n">
        <x:v>0.060667</x:v>
      </x:c>
    </x:row>
    <x:row r="191">
      <x:c r="A191" s="26" t="n">
        <x:v>45809</x:v>
      </x:c>
      <x:c r="B191" t="str">
        <x:v>Marketing</x:v>
      </x:c>
      <x:c r="C191" t="str">
        <x:v>Facilities</x:v>
      </x:c>
      <x:c r="D191" s="28" t="n">
        <x:v>6783</x:v>
      </x:c>
      <x:c r="E191" s="28" t="n">
        <x:v>6824.89</x:v>
      </x:c>
      <x:c r="F191" s="28" t="n">
        <x:v>41.89</x:v>
      </x:c>
      <x:c r="G191" s="30" t="n">
        <x:v>0.006175</x:v>
      </x:c>
    </x:row>
    <x:row r="192">
      <x:c r="A192" s="26" t="n">
        <x:v>45809</x:v>
      </x:c>
      <x:c r="B192" t="str">
        <x:v>Marketing</x:v>
      </x:c>
      <x:c r="C192" t="str">
        <x:v>Other OpEx</x:v>
      </x:c>
      <x:c r="D192" s="28" t="n">
        <x:v>9639</x:v>
      </x:c>
      <x:c r="E192" s="28" t="n">
        <x:v>10153.39</x:v>
      </x:c>
      <x:c r="F192" s="28" t="n">
        <x:v>514.39</x:v>
      </x:c>
      <x:c r="G192" s="30" t="n">
        <x:v>0.053365</x:v>
      </x:c>
    </x:row>
    <x:row r="193">
      <x:c r="A193" s="26" t="n">
        <x:v>45809</x:v>
      </x:c>
      <x:c r="B193" t="str">
        <x:v>R&amp;D</x:v>
      </x:c>
      <x:c r="C193" t="str">
        <x:v>Revenue</x:v>
      </x:c>
      <x:c r="D193" s="28" t="n">
        <x:v>123480</x:v>
      </x:c>
      <x:c r="E193" s="28" t="n">
        <x:v>128315.32</x:v>
      </x:c>
      <x:c r="F193" s="28" t="n">
        <x:v>4835.32</x:v>
      </x:c>
      <x:c r="G193" s="30" t="n">
        <x:v>0.039159</x:v>
      </x:c>
    </x:row>
    <x:row r="194">
      <x:c r="A194" s="26" t="n">
        <x:v>45809</x:v>
      </x:c>
      <x:c r="B194" t="str">
        <x:v>R&amp;D</x:v>
      </x:c>
      <x:c r="C194" t="str">
        <x:v>COGS</x:v>
      </x:c>
      <x:c r="D194" s="28" t="n">
        <x:v>51861.6</x:v>
      </x:c>
      <x:c r="E194" s="28" t="n">
        <x:v>54011.31</x:v>
      </x:c>
      <x:c r="F194" s="28" t="n">
        <x:v>2149.71</x:v>
      </x:c>
      <x:c r="G194" s="30" t="n">
        <x:v>0.041451</x:v>
      </x:c>
    </x:row>
    <x:row r="195">
      <x:c r="A195" s="26" t="n">
        <x:v>45809</x:v>
      </x:c>
      <x:c r="B195" t="str">
        <x:v>R&amp;D</x:v>
      </x:c>
      <x:c r="C195" t="str">
        <x:v>Payroll</x:v>
      </x:c>
      <x:c r="D195" s="28" t="n">
        <x:v>76469.4</x:v>
      </x:c>
      <x:c r="E195" s="28" t="n">
        <x:v>81761.9</x:v>
      </x:c>
      <x:c r="F195" s="28" t="n">
        <x:v>5292.5</x:v>
      </x:c>
      <x:c r="G195" s="30" t="n">
        <x:v>0.069211</x:v>
      </x:c>
    </x:row>
    <x:row r="196">
      <x:c r="A196" s="26" t="n">
        <x:v>45809</x:v>
      </x:c>
      <x:c r="B196" t="str">
        <x:v>R&amp;D</x:v>
      </x:c>
      <x:c r="C196" t="str">
        <x:v>Software</x:v>
      </x:c>
      <x:c r="D196" s="28" t="n">
        <x:v>15743.7</x:v>
      </x:c>
      <x:c r="E196" s="28" t="n">
        <x:v>16878.06</x:v>
      </x:c>
      <x:c r="F196" s="28" t="n">
        <x:v>1134.36</x:v>
      </x:c>
      <x:c r="G196" s="30" t="n">
        <x:v>0.072052</x:v>
      </x:c>
    </x:row>
    <x:row r="197">
      <x:c r="A197" s="26" t="n">
        <x:v>45809</x:v>
      </x:c>
      <x:c r="B197" t="str">
        <x:v>R&amp;D</x:v>
      </x:c>
      <x:c r="C197" t="str">
        <x:v>Travel</x:v>
      </x:c>
      <x:c r="D197" s="28" t="n">
        <x:v>4998</x:v>
      </x:c>
      <x:c r="E197" s="28" t="n">
        <x:v>5263.9</x:v>
      </x:c>
      <x:c r="F197" s="28" t="n">
        <x:v>265.9</x:v>
      </x:c>
      <x:c r="G197" s="30" t="n">
        <x:v>0.053201</x:v>
      </x:c>
    </x:row>
    <x:row r="198">
      <x:c r="A198" s="26" t="n">
        <x:v>45809</x:v>
      </x:c>
      <x:c r="B198" t="str">
        <x:v>R&amp;D</x:v>
      </x:c>
      <x:c r="C198" t="str">
        <x:v>Facilities</x:v>
      </x:c>
      <x:c r="D198" s="28" t="n">
        <x:v>6783</x:v>
      </x:c>
      <x:c r="E198" s="28" t="n">
        <x:v>7032.92</x:v>
      </x:c>
      <x:c r="F198" s="28" t="n">
        <x:v>249.92</x:v>
      </x:c>
      <x:c r="G198" s="30" t="n">
        <x:v>0.036845</x:v>
      </x:c>
    </x:row>
    <x:row r="199">
      <x:c r="A199" s="26" t="n">
        <x:v>45809</x:v>
      </x:c>
      <x:c r="B199" t="str">
        <x:v>R&amp;D</x:v>
      </x:c>
      <x:c r="C199" t="str">
        <x:v>Other OpEx</x:v>
      </x:c>
      <x:c r="D199" s="28" t="n">
        <x:v>9639</x:v>
      </x:c>
      <x:c r="E199" s="28" t="n">
        <x:v>10281.57</x:v>
      </x:c>
      <x:c r="F199" s="28" t="n">
        <x:v>642.57</x:v>
      </x:c>
      <x:c r="G199" s="30" t="n">
        <x:v>0.066663</x:v>
      </x:c>
    </x:row>
    <x:row r="200">
      <x:c r="A200" s="26" t="n">
        <x:v>45809</x:v>
      </x:c>
      <x:c r="B200" t="str">
        <x:v>Operations</x:v>
      </x:c>
      <x:c r="C200" t="str">
        <x:v>Revenue</x:v>
      </x:c>
      <x:c r="D200" s="28" t="n">
        <x:v>102900</x:v>
      </x:c>
      <x:c r="E200" s="28" t="n">
        <x:v>108039</x:v>
      </x:c>
      <x:c r="F200" s="28" t="n">
        <x:v>5139</x:v>
      </x:c>
      <x:c r="G200" s="30" t="n">
        <x:v>0.049942</x:v>
      </x:c>
    </x:row>
    <x:row r="201">
      <x:c r="A201" s="26" t="n">
        <x:v>45809</x:v>
      </x:c>
      <x:c r="B201" t="str">
        <x:v>Operations</x:v>
      </x:c>
      <x:c r="C201" t="str">
        <x:v>COGS</x:v>
      </x:c>
      <x:c r="D201" s="28" t="n">
        <x:v>43218</x:v>
      </x:c>
      <x:c r="E201" s="28" t="n">
        <x:v>42658.33</x:v>
      </x:c>
      <x:c r="F201" s="28" t="n">
        <x:v>-559.67</x:v>
      </x:c>
      <x:c r="G201" s="30" t="n">
        <x:v>-0.01295</x:v>
      </x:c>
    </x:row>
    <x:row r="202">
      <x:c r="A202" s="26" t="n">
        <x:v>45809</x:v>
      </x:c>
      <x:c r="B202" t="str">
        <x:v>Operations</x:v>
      </x:c>
      <x:c r="C202" t="str">
        <x:v>Payroll</x:v>
      </x:c>
      <x:c r="D202" s="28" t="n">
        <x:v>54621</x:v>
      </x:c>
      <x:c r="E202" s="28" t="n">
        <x:v>54271.93</x:v>
      </x:c>
      <x:c r="F202" s="28" t="n">
        <x:v>-349.07</x:v>
      </x:c>
      <x:c r="G202" s="30" t="n">
        <x:v>-0.006391</x:v>
      </x:c>
    </x:row>
    <x:row r="203">
      <x:c r="A203" s="26" t="n">
        <x:v>45809</x:v>
      </x:c>
      <x:c r="B203" t="str">
        <x:v>Operations</x:v>
      </x:c>
      <x:c r="C203" t="str">
        <x:v>Software</x:v>
      </x:c>
      <x:c r="D203" s="28" t="n">
        <x:v>11245.5</x:v>
      </x:c>
      <x:c r="E203" s="28" t="n">
        <x:v>11369.4</x:v>
      </x:c>
      <x:c r="F203" s="28" t="n">
        <x:v>123.9</x:v>
      </x:c>
      <x:c r="G203" s="30" t="n">
        <x:v>0.011017</x:v>
      </x:c>
    </x:row>
    <x:row r="204">
      <x:c r="A204" s="26" t="n">
        <x:v>45809</x:v>
      </x:c>
      <x:c r="B204" t="str">
        <x:v>Operations</x:v>
      </x:c>
      <x:c r="C204" t="str">
        <x:v>Travel</x:v>
      </x:c>
      <x:c r="D204" s="28" t="n">
        <x:v>4998</x:v>
      </x:c>
      <x:c r="E204" s="28" t="n">
        <x:v>5188.94</x:v>
      </x:c>
      <x:c r="F204" s="28" t="n">
        <x:v>190.94</x:v>
      </x:c>
      <x:c r="G204" s="30" t="n">
        <x:v>0.038204</x:v>
      </x:c>
    </x:row>
    <x:row r="205">
      <x:c r="A205" s="26" t="n">
        <x:v>45809</x:v>
      </x:c>
      <x:c r="B205" t="str">
        <x:v>Operations</x:v>
      </x:c>
      <x:c r="C205" t="str">
        <x:v>Facilities</x:v>
      </x:c>
      <x:c r="D205" s="28" t="n">
        <x:v>6783</x:v>
      </x:c>
      <x:c r="E205" s="28" t="n">
        <x:v>6960.04</x:v>
      </x:c>
      <x:c r="F205" s="28" t="n">
        <x:v>177.04</x:v>
      </x:c>
      <x:c r="G205" s="30" t="n">
        <x:v>0.0261</x:v>
      </x:c>
    </x:row>
    <x:row r="206">
      <x:c r="A206" s="26" t="n">
        <x:v>45809</x:v>
      </x:c>
      <x:c r="B206" t="str">
        <x:v>Operations</x:v>
      </x:c>
      <x:c r="C206" t="str">
        <x:v>Other OpEx</x:v>
      </x:c>
      <x:c r="D206" s="28" t="n">
        <x:v>9639</x:v>
      </x:c>
      <x:c r="E206" s="28" t="n">
        <x:v>10141.5</x:v>
      </x:c>
      <x:c r="F206" s="28" t="n">
        <x:v>502.5</x:v>
      </x:c>
      <x:c r="G206" s="30" t="n">
        <x:v>0.052132</x:v>
      </x:c>
    </x:row>
    <x:row r="207">
      <x:c r="A207" s="26" t="n">
        <x:v>45809</x:v>
      </x:c>
      <x:c r="B207" t="str">
        <x:v>G&amp;A</x:v>
      </x:c>
      <x:c r="C207" t="str">
        <x:v>Revenue</x:v>
      </x:c>
      <x:c r="D207" s="28" t="n">
        <x:v>72030</x:v>
      </x:c>
      <x:c r="E207" s="28" t="n">
        <x:v>75050.9</x:v>
      </x:c>
      <x:c r="F207" s="28" t="n">
        <x:v>3020.9</x:v>
      </x:c>
      <x:c r="G207" s="30" t="n">
        <x:v>0.041939</x:v>
      </x:c>
    </x:row>
    <x:row r="208">
      <x:c r="A208" s="26" t="n">
        <x:v>45809</x:v>
      </x:c>
      <x:c r="B208" t="str">
        <x:v>G&amp;A</x:v>
      </x:c>
      <x:c r="C208" t="str">
        <x:v>COGS</x:v>
      </x:c>
      <x:c r="D208" s="28" t="n">
        <x:v>30252.6</x:v>
      </x:c>
      <x:c r="E208" s="28" t="n">
        <x:v>30290.2</x:v>
      </x:c>
      <x:c r="F208" s="28" t="n">
        <x:v>37.6</x:v>
      </x:c>
      <x:c r="G208" s="30" t="n">
        <x:v>0.001243</x:v>
      </x:c>
    </x:row>
    <x:row r="209">
      <x:c r="A209" s="26" t="n">
        <x:v>45809</x:v>
      </x:c>
      <x:c r="B209" t="str">
        <x:v>G&amp;A</x:v>
      </x:c>
      <x:c r="C209" t="str">
        <x:v>Payroll</x:v>
      </x:c>
      <x:c r="D209" s="28" t="n">
        <x:v>54621</x:v>
      </x:c>
      <x:c r="E209" s="28" t="n">
        <x:v>55782.37</x:v>
      </x:c>
      <x:c r="F209" s="28" t="n">
        <x:v>1161.37</x:v>
      </x:c>
      <x:c r="G209" s="30" t="n">
        <x:v>0.021262</x:v>
      </x:c>
    </x:row>
    <x:row r="210">
      <x:c r="A210" s="26" t="n">
        <x:v>45809</x:v>
      </x:c>
      <x:c r="B210" t="str">
        <x:v>G&amp;A</x:v>
      </x:c>
      <x:c r="C210" t="str">
        <x:v>Software</x:v>
      </x:c>
      <x:c r="D210" s="28" t="n">
        <x:v>11245.5</x:v>
      </x:c>
      <x:c r="E210" s="28" t="n">
        <x:v>11773.18</x:v>
      </x:c>
      <x:c r="F210" s="28" t="n">
        <x:v>527.68</x:v>
      </x:c>
      <x:c r="G210" s="30" t="n">
        <x:v>0.046924</x:v>
      </x:c>
    </x:row>
    <x:row r="211">
      <x:c r="A211" s="26" t="n">
        <x:v>45809</x:v>
      </x:c>
      <x:c r="B211" t="str">
        <x:v>G&amp;A</x:v>
      </x:c>
      <x:c r="C211" t="str">
        <x:v>Travel</x:v>
      </x:c>
      <x:c r="D211" s="28" t="n">
        <x:v>4998</x:v>
      </x:c>
      <x:c r="E211" s="28" t="n">
        <x:v>5371.46</x:v>
      </x:c>
      <x:c r="F211" s="28" t="n">
        <x:v>373.46</x:v>
      </x:c>
      <x:c r="G211" s="30" t="n">
        <x:v>0.074723</x:v>
      </x:c>
    </x:row>
    <x:row r="212">
      <x:c r="A212" s="26" t="n">
        <x:v>45809</x:v>
      </x:c>
      <x:c r="B212" t="str">
        <x:v>G&amp;A</x:v>
      </x:c>
      <x:c r="C212" t="str">
        <x:v>Facilities</x:v>
      </x:c>
      <x:c r="D212" s="28" t="n">
        <x:v>6783</x:v>
      </x:c>
      <x:c r="E212" s="28" t="n">
        <x:v>7158.84</x:v>
      </x:c>
      <x:c r="F212" s="28" t="n">
        <x:v>375.84</x:v>
      </x:c>
      <x:c r="G212" s="30" t="n">
        <x:v>0.05541</x:v>
      </x:c>
    </x:row>
    <x:row r="213">
      <x:c r="A213" s="26" t="n">
        <x:v>45809</x:v>
      </x:c>
      <x:c r="B213" t="str">
        <x:v>G&amp;A</x:v>
      </x:c>
      <x:c r="C213" t="str">
        <x:v>Other OpEx</x:v>
      </x:c>
      <x:c r="D213" s="28" t="n">
        <x:v>9639</x:v>
      </x:c>
      <x:c r="E213" s="28" t="n">
        <x:v>10299.63</x:v>
      </x:c>
      <x:c r="F213" s="28" t="n">
        <x:v>660.63</x:v>
      </x:c>
      <x:c r="G213" s="30" t="n">
        <x:v>0.068537</x:v>
      </x:c>
    </x:row>
    <x:row r="214">
      <x:c r="A214" s="26" t="n">
        <x:v>45839</x:v>
      </x:c>
      <x:c r="B214" t="str">
        <x:v>Sales</x:v>
      </x:c>
      <x:c r="C214" t="str">
        <x:v>Revenue</x:v>
      </x:c>
      <x:c r="D214" s="28" t="n">
        <x:v>467460</x:v>
      </x:c>
      <x:c r="E214" s="28" t="n">
        <x:v>478840.67</x:v>
      </x:c>
      <x:c r="F214" s="28" t="n">
        <x:v>11380.67</x:v>
      </x:c>
      <x:c r="G214" s="30" t="n">
        <x:v>0.024346</x:v>
      </x:c>
    </x:row>
    <x:row r="215">
      <x:c r="A215" s="26" t="n">
        <x:v>45839</x:v>
      </x:c>
      <x:c r="B215" t="str">
        <x:v>Sales</x:v>
      </x:c>
      <x:c r="C215" t="str">
        <x:v>COGS</x:v>
      </x:c>
      <x:c r="D215" s="28" t="n">
        <x:v>196333.2</x:v>
      </x:c>
      <x:c r="E215" s="28" t="n">
        <x:v>198332.6</x:v>
      </x:c>
      <x:c r="F215" s="28" t="n">
        <x:v>1999.4</x:v>
      </x:c>
      <x:c r="G215" s="30" t="n">
        <x:v>0.010184</x:v>
      </x:c>
    </x:row>
    <x:row r="216">
      <x:c r="A216" s="26" t="n">
        <x:v>45839</x:v>
      </x:c>
      <x:c r="B216" t="str">
        <x:v>Sales</x:v>
      </x:c>
      <x:c r="C216" t="str">
        <x:v>Payroll</x:v>
      </x:c>
      <x:c r="D216" s="28" t="n">
        <x:v>55141.2</x:v>
      </x:c>
      <x:c r="E216" s="28" t="n">
        <x:v>55113.87</x:v>
      </x:c>
      <x:c r="F216" s="28" t="n">
        <x:v>-27.33</x:v>
      </x:c>
      <x:c r="G216" s="30" t="n">
        <x:v>-0.000496</x:v>
      </x:c>
    </x:row>
    <x:row r="217">
      <x:c r="A217" s="26" t="n">
        <x:v>45839</x:v>
      </x:c>
      <x:c r="B217" t="str">
        <x:v>Sales</x:v>
      </x:c>
      <x:c r="C217" t="str">
        <x:v>Software</x:v>
      </x:c>
      <x:c r="D217" s="28" t="n">
        <x:v>11352.6</x:v>
      </x:c>
      <x:c r="E217" s="28" t="n">
        <x:v>11319.11</x:v>
      </x:c>
      <x:c r="F217" s="28" t="n">
        <x:v>-33.49</x:v>
      </x:c>
      <x:c r="G217" s="30" t="n">
        <x:v>-0.00295</x:v>
      </x:c>
    </x:row>
    <x:row r="218">
      <x:c r="A218" s="26" t="n">
        <x:v>45839</x:v>
      </x:c>
      <x:c r="B218" t="str">
        <x:v>Sales</x:v>
      </x:c>
      <x:c r="C218" t="str">
        <x:v>Travel</x:v>
      </x:c>
      <x:c r="D218" s="28" t="n">
        <x:v>6054.72</x:v>
      </x:c>
      <x:c r="E218" s="28" t="n">
        <x:v>6100.79</x:v>
      </x:c>
      <x:c r="F218" s="28" t="n">
        <x:v>46.07</x:v>
      </x:c>
      <x:c r="G218" s="30" t="n">
        <x:v>0.007609</x:v>
      </x:c>
    </x:row>
    <x:row r="219">
      <x:c r="A219" s="26" t="n">
        <x:v>45839</x:v>
      </x:c>
      <x:c r="B219" t="str">
        <x:v>Sales</x:v>
      </x:c>
      <x:c r="C219" t="str">
        <x:v>Facilities</x:v>
      </x:c>
      <x:c r="D219" s="28" t="n">
        <x:v>6847.6</x:v>
      </x:c>
      <x:c r="E219" s="28" t="n">
        <x:v>6758.7</x:v>
      </x:c>
      <x:c r="F219" s="28" t="n">
        <x:v>-88.9</x:v>
      </x:c>
      <x:c r="G219" s="30" t="n">
        <x:v>-0.012983</x:v>
      </x:c>
    </x:row>
    <x:row r="220">
      <x:c r="A220" s="26" t="n">
        <x:v>45839</x:v>
      </x:c>
      <x:c r="B220" t="str">
        <x:v>Sales</x:v>
      </x:c>
      <x:c r="C220" t="str">
        <x:v>Other OpEx</x:v>
      </x:c>
      <x:c r="D220" s="28" t="n">
        <x:v>9730.8</x:v>
      </x:c>
      <x:c r="E220" s="28" t="n">
        <x:v>9878.75</x:v>
      </x:c>
      <x:c r="F220" s="28" t="n">
        <x:v>147.95</x:v>
      </x:c>
      <x:c r="G220" s="30" t="n">
        <x:v>0.015204</x:v>
      </x:c>
    </x:row>
    <x:row r="221">
      <x:c r="A221" s="26" t="n">
        <x:v>45839</x:v>
      </x:c>
      <x:c r="B221" t="str">
        <x:v>Marketing</x:v>
      </x:c>
      <x:c r="C221" t="str">
        <x:v>Revenue</x:v>
      </x:c>
      <x:c r="D221" s="28" t="n">
        <x:v>166208</x:v>
      </x:c>
      <x:c r="E221" s="28" t="n">
        <x:v>173691.79</x:v>
      </x:c>
      <x:c r="F221" s="28" t="n">
        <x:v>7483.79</x:v>
      </x:c>
      <x:c r="G221" s="30" t="n">
        <x:v>0.045027</x:v>
      </x:c>
    </x:row>
    <x:row r="222">
      <x:c r="A222" s="26" t="n">
        <x:v>45839</x:v>
      </x:c>
      <x:c r="B222" t="str">
        <x:v>Marketing</x:v>
      </x:c>
      <x:c r="C222" t="str">
        <x:v>COGS</x:v>
      </x:c>
      <x:c r="D222" s="28" t="n">
        <x:v>69807.36</x:v>
      </x:c>
      <x:c r="E222" s="28" t="n">
        <x:v>69952.63</x:v>
      </x:c>
      <x:c r="F222" s="28" t="n">
        <x:v>145.27</x:v>
      </x:c>
      <x:c r="G222" s="30" t="n">
        <x:v>0.002081</x:v>
      </x:c>
    </x:row>
    <x:row r="223">
      <x:c r="A223" s="26" t="n">
        <x:v>45839</x:v>
      </x:c>
      <x:c r="B223" t="str">
        <x:v>Marketing</x:v>
      </x:c>
      <x:c r="C223" t="str">
        <x:v>Payroll</x:v>
      </x:c>
      <x:c r="D223" s="28" t="n">
        <x:v>55141.2</x:v>
      </x:c>
      <x:c r="E223" s="28" t="n">
        <x:v>55306.64</x:v>
      </x:c>
      <x:c r="F223" s="28" t="n">
        <x:v>165.44</x:v>
      </x:c>
      <x:c r="G223" s="30" t="n">
        <x:v>0.003</x:v>
      </x:c>
    </x:row>
    <x:row r="224">
      <x:c r="A224" s="26" t="n">
        <x:v>45839</x:v>
      </x:c>
      <x:c r="B224" t="str">
        <x:v>Marketing</x:v>
      </x:c>
      <x:c r="C224" t="str">
        <x:v>Software</x:v>
      </x:c>
      <x:c r="D224" s="28" t="n">
        <x:v>11352.6</x:v>
      </x:c>
      <x:c r="E224" s="28" t="n">
        <x:v>11525.64</x:v>
      </x:c>
      <x:c r="F224" s="28" t="n">
        <x:v>173.04</x:v>
      </x:c>
      <x:c r="G224" s="30" t="n">
        <x:v>0.015243</x:v>
      </x:c>
    </x:row>
    <x:row r="225">
      <x:c r="A225" s="26" t="n">
        <x:v>45839</x:v>
      </x:c>
      <x:c r="B225" t="str">
        <x:v>Marketing</x:v>
      </x:c>
      <x:c r="C225" t="str">
        <x:v>Travel</x:v>
      </x:c>
      <x:c r="D225" s="28" t="n">
        <x:v>5045.6</x:v>
      </x:c>
      <x:c r="E225" s="28" t="n">
        <x:v>5369.84</x:v>
      </x:c>
      <x:c r="F225" s="28" t="n">
        <x:v>324.24</x:v>
      </x:c>
      <x:c r="G225" s="30" t="n">
        <x:v>0.064262</x:v>
      </x:c>
    </x:row>
    <x:row r="226">
      <x:c r="A226" s="26" t="n">
        <x:v>45839</x:v>
      </x:c>
      <x:c r="B226" t="str">
        <x:v>Marketing</x:v>
      </x:c>
      <x:c r="C226" t="str">
        <x:v>Facilities</x:v>
      </x:c>
      <x:c r="D226" s="28" t="n">
        <x:v>6847.6</x:v>
      </x:c>
      <x:c r="E226" s="28" t="n">
        <x:v>7031.96</x:v>
      </x:c>
      <x:c r="F226" s="28" t="n">
        <x:v>184.36</x:v>
      </x:c>
      <x:c r="G226" s="30" t="n">
        <x:v>0.026924</x:v>
      </x:c>
    </x:row>
    <x:row r="227">
      <x:c r="A227" s="26" t="n">
        <x:v>45839</x:v>
      </x:c>
      <x:c r="B227" t="str">
        <x:v>Marketing</x:v>
      </x:c>
      <x:c r="C227" t="str">
        <x:v>Other OpEx</x:v>
      </x:c>
      <x:c r="D227" s="28" t="n">
        <x:v>9730.8</x:v>
      </x:c>
      <x:c r="E227" s="28" t="n">
        <x:v>10516.29</x:v>
      </x:c>
      <x:c r="F227" s="28" t="n">
        <x:v>785.49</x:v>
      </x:c>
      <x:c r="G227" s="30" t="n">
        <x:v>0.080722</x:v>
      </x:c>
    </x:row>
    <x:row r="228">
      <x:c r="A228" s="26" t="n">
        <x:v>45839</x:v>
      </x:c>
      <x:c r="B228" t="str">
        <x:v>R&amp;D</x:v>
      </x:c>
      <x:c r="C228" t="str">
        <x:v>Revenue</x:v>
      </x:c>
      <x:c r="D228" s="28" t="n">
        <x:v>124656</x:v>
      </x:c>
      <x:c r="E228" s="28" t="n">
        <x:v>130793.31</x:v>
      </x:c>
      <x:c r="F228" s="28" t="n">
        <x:v>6137.31</x:v>
      </x:c>
      <x:c r="G228" s="30" t="n">
        <x:v>0.049234</x:v>
      </x:c>
    </x:row>
    <x:row r="229">
      <x:c r="A229" s="26" t="n">
        <x:v>45839</x:v>
      </x:c>
      <x:c r="B229" t="str">
        <x:v>R&amp;D</x:v>
      </x:c>
      <x:c r="C229" t="str">
        <x:v>COGS</x:v>
      </x:c>
      <x:c r="D229" s="28" t="n">
        <x:v>52355.52</x:v>
      </x:c>
      <x:c r="E229" s="28" t="n">
        <x:v>52885.71</x:v>
      </x:c>
      <x:c r="F229" s="28" t="n">
        <x:v>530.19</x:v>
      </x:c>
      <x:c r="G229" s="30" t="n">
        <x:v>0.010127</x:v>
      </x:c>
    </x:row>
    <x:row r="230">
      <x:c r="A230" s="26" t="n">
        <x:v>45839</x:v>
      </x:c>
      <x:c r="B230" t="str">
        <x:v>R&amp;D</x:v>
      </x:c>
      <x:c r="C230" t="str">
        <x:v>Payroll</x:v>
      </x:c>
      <x:c r="D230" s="28" t="n">
        <x:v>77197.68</x:v>
      </x:c>
      <x:c r="E230" s="28" t="n">
        <x:v>81885.63</x:v>
      </x:c>
      <x:c r="F230" s="28" t="n">
        <x:v>4687.95</x:v>
      </x:c>
      <x:c r="G230" s="30" t="n">
        <x:v>0.060727</x:v>
      </x:c>
    </x:row>
    <x:row r="231">
      <x:c r="A231" s="26" t="n">
        <x:v>45839</x:v>
      </x:c>
      <x:c r="B231" t="str">
        <x:v>R&amp;D</x:v>
      </x:c>
      <x:c r="C231" t="str">
        <x:v>Software</x:v>
      </x:c>
      <x:c r="D231" s="28" t="n">
        <x:v>15893.64</x:v>
      </x:c>
      <x:c r="E231" s="28" t="n">
        <x:v>17236.43</x:v>
      </x:c>
      <x:c r="F231" s="28" t="n">
        <x:v>1342.79</x:v>
      </x:c>
      <x:c r="G231" s="30" t="n">
        <x:v>0.084486</x:v>
      </x:c>
    </x:row>
    <x:row r="232">
      <x:c r="A232" s="26" t="n">
        <x:v>45839</x:v>
      </x:c>
      <x:c r="B232" t="str">
        <x:v>R&amp;D</x:v>
      </x:c>
      <x:c r="C232" t="str">
        <x:v>Travel</x:v>
      </x:c>
      <x:c r="D232" s="28" t="n">
        <x:v>5045.6</x:v>
      </x:c>
      <x:c r="E232" s="28" t="n">
        <x:v>5441.49</x:v>
      </x:c>
      <x:c r="F232" s="28" t="n">
        <x:v>395.89</x:v>
      </x:c>
      <x:c r="G232" s="30" t="n">
        <x:v>0.078462</x:v>
      </x:c>
    </x:row>
    <x:row r="233">
      <x:c r="A233" s="26" t="n">
        <x:v>45839</x:v>
      </x:c>
      <x:c r="B233" t="str">
        <x:v>R&amp;D</x:v>
      </x:c>
      <x:c r="C233" t="str">
        <x:v>Facilities</x:v>
      </x:c>
      <x:c r="D233" s="28" t="n">
        <x:v>6847.6</x:v>
      </x:c>
      <x:c r="E233" s="28" t="n">
        <x:v>7279.38</x:v>
      </x:c>
      <x:c r="F233" s="28" t="n">
        <x:v>431.78</x:v>
      </x:c>
      <x:c r="G233" s="30" t="n">
        <x:v>0.063056</x:v>
      </x:c>
    </x:row>
    <x:row r="234">
      <x:c r="A234" s="26" t="n">
        <x:v>45839</x:v>
      </x:c>
      <x:c r="B234" t="str">
        <x:v>R&amp;D</x:v>
      </x:c>
      <x:c r="C234" t="str">
        <x:v>Other OpEx</x:v>
      </x:c>
      <x:c r="D234" s="28" t="n">
        <x:v>9730.8</x:v>
      </x:c>
      <x:c r="E234" s="28" t="n">
        <x:v>10525.52</x:v>
      </x:c>
      <x:c r="F234" s="28" t="n">
        <x:v>794.72</x:v>
      </x:c>
      <x:c r="G234" s="30" t="n">
        <x:v>0.081671</x:v>
      </x:c>
    </x:row>
    <x:row r="235">
      <x:c r="A235" s="26" t="n">
        <x:v>45839</x:v>
      </x:c>
      <x:c r="B235" t="str">
        <x:v>Operations</x:v>
      </x:c>
      <x:c r="C235" t="str">
        <x:v>Revenue</x:v>
      </x:c>
      <x:c r="D235" s="28" t="n">
        <x:v>103880</x:v>
      </x:c>
      <x:c r="E235" s="28" t="n">
        <x:v>107514.65</x:v>
      </x:c>
      <x:c r="F235" s="28" t="n">
        <x:v>3634.65</x:v>
      </x:c>
      <x:c r="G235" s="30" t="n">
        <x:v>0.034989</x:v>
      </x:c>
    </x:row>
    <x:row r="236">
      <x:c r="A236" s="26" t="n">
        <x:v>45839</x:v>
      </x:c>
      <x:c r="B236" t="str">
        <x:v>Operations</x:v>
      </x:c>
      <x:c r="C236" t="str">
        <x:v>COGS</x:v>
      </x:c>
      <x:c r="D236" s="28" t="n">
        <x:v>43629.6</x:v>
      </x:c>
      <x:c r="E236" s="28" t="n">
        <x:v>43137.44</x:v>
      </x:c>
      <x:c r="F236" s="28" t="n">
        <x:v>-492.16</x:v>
      </x:c>
      <x:c r="G236" s="30" t="n">
        <x:v>-0.01128</x:v>
      </x:c>
    </x:row>
    <x:row r="237">
      <x:c r="A237" s="26" t="n">
        <x:v>45839</x:v>
      </x:c>
      <x:c r="B237" t="str">
        <x:v>Operations</x:v>
      </x:c>
      <x:c r="C237" t="str">
        <x:v>Payroll</x:v>
      </x:c>
      <x:c r="D237" s="28" t="n">
        <x:v>55141.2</x:v>
      </x:c>
      <x:c r="E237" s="28" t="n">
        <x:v>55867.78</x:v>
      </x:c>
      <x:c r="F237" s="28" t="n">
        <x:v>726.58</x:v>
      </x:c>
      <x:c r="G237" s="30" t="n">
        <x:v>0.013177</x:v>
      </x:c>
    </x:row>
    <x:row r="238">
      <x:c r="A238" s="26" t="n">
        <x:v>45839</x:v>
      </x:c>
      <x:c r="B238" t="str">
        <x:v>Operations</x:v>
      </x:c>
      <x:c r="C238" t="str">
        <x:v>Software</x:v>
      </x:c>
      <x:c r="D238" s="28" t="n">
        <x:v>11352.6</x:v>
      </x:c>
      <x:c r="E238" s="28" t="n">
        <x:v>11787.26</x:v>
      </x:c>
      <x:c r="F238" s="28" t="n">
        <x:v>434.66</x:v>
      </x:c>
      <x:c r="G238" s="30" t="n">
        <x:v>0.038287</x:v>
      </x:c>
    </x:row>
    <x:row r="239">
      <x:c r="A239" s="26" t="n">
        <x:v>45839</x:v>
      </x:c>
      <x:c r="B239" t="str">
        <x:v>Operations</x:v>
      </x:c>
      <x:c r="C239" t="str">
        <x:v>Travel</x:v>
      </x:c>
      <x:c r="D239" s="28" t="n">
        <x:v>5045.6</x:v>
      </x:c>
      <x:c r="E239" s="28" t="n">
        <x:v>5351.91</x:v>
      </x:c>
      <x:c r="F239" s="28" t="n">
        <x:v>306.31</x:v>
      </x:c>
      <x:c r="G239" s="30" t="n">
        <x:v>0.060708</x:v>
      </x:c>
    </x:row>
    <x:row r="240">
      <x:c r="A240" s="26" t="n">
        <x:v>45839</x:v>
      </x:c>
      <x:c r="B240" t="str">
        <x:v>Operations</x:v>
      </x:c>
      <x:c r="C240" t="str">
        <x:v>Facilities</x:v>
      </x:c>
      <x:c r="D240" s="28" t="n">
        <x:v>6847.6</x:v>
      </x:c>
      <x:c r="E240" s="28" t="n">
        <x:v>7072.05</x:v>
      </x:c>
      <x:c r="F240" s="28" t="n">
        <x:v>224.45</x:v>
      </x:c>
      <x:c r="G240" s="30" t="n">
        <x:v>0.032778</x:v>
      </x:c>
    </x:row>
    <x:row r="241">
      <x:c r="A241" s="26" t="n">
        <x:v>45839</x:v>
      </x:c>
      <x:c r="B241" t="str">
        <x:v>Operations</x:v>
      </x:c>
      <x:c r="C241" t="str">
        <x:v>Other OpEx</x:v>
      </x:c>
      <x:c r="D241" s="28" t="n">
        <x:v>9730.8</x:v>
      </x:c>
      <x:c r="E241" s="28" t="n">
        <x:v>10086.84</x:v>
      </x:c>
      <x:c r="F241" s="28" t="n">
        <x:v>356.04</x:v>
      </x:c>
      <x:c r="G241" s="30" t="n">
        <x:v>0.036589</x:v>
      </x:c>
    </x:row>
    <x:row r="242">
      <x:c r="A242" s="26" t="n">
        <x:v>45839</x:v>
      </x:c>
      <x:c r="B242" t="str">
        <x:v>G&amp;A</x:v>
      </x:c>
      <x:c r="C242" t="str">
        <x:v>Revenue</x:v>
      </x:c>
      <x:c r="D242" s="28" t="n">
        <x:v>72716</x:v>
      </x:c>
      <x:c r="E242" s="28" t="n">
        <x:v>73369.81</x:v>
      </x:c>
      <x:c r="F242" s="28" t="n">
        <x:v>653.81</x:v>
      </x:c>
      <x:c r="G242" s="30" t="n">
        <x:v>0.008991</x:v>
      </x:c>
    </x:row>
    <x:row r="243">
      <x:c r="A243" s="26" t="n">
        <x:v>45839</x:v>
      </x:c>
      <x:c r="B243" t="str">
        <x:v>G&amp;A</x:v>
      </x:c>
      <x:c r="C243" t="str">
        <x:v>COGS</x:v>
      </x:c>
      <x:c r="D243" s="28" t="n">
        <x:v>30540.72</x:v>
      </x:c>
      <x:c r="E243" s="28" t="n">
        <x:v>31328.5</x:v>
      </x:c>
      <x:c r="F243" s="28" t="n">
        <x:v>787.78</x:v>
      </x:c>
      <x:c r="G243" s="30" t="n">
        <x:v>0.025794</x:v>
      </x:c>
    </x:row>
    <x:row r="244">
      <x:c r="A244" s="26" t="n">
        <x:v>45839</x:v>
      </x:c>
      <x:c r="B244" t="str">
        <x:v>G&amp;A</x:v>
      </x:c>
      <x:c r="C244" t="str">
        <x:v>Payroll</x:v>
      </x:c>
      <x:c r="D244" s="28" t="n">
        <x:v>55141.2</x:v>
      </x:c>
      <x:c r="E244" s="28" t="n">
        <x:v>57783.19</x:v>
      </x:c>
      <x:c r="F244" s="28" t="n">
        <x:v>2641.99</x:v>
      </x:c>
      <x:c r="G244" s="30" t="n">
        <x:v>0.047913</x:v>
      </x:c>
    </x:row>
    <x:row r="245">
      <x:c r="A245" s="26" t="n">
        <x:v>45839</x:v>
      </x:c>
      <x:c r="B245" t="str">
        <x:v>G&amp;A</x:v>
      </x:c>
      <x:c r="C245" t="str">
        <x:v>Software</x:v>
      </x:c>
      <x:c r="D245" s="28" t="n">
        <x:v>11352.6</x:v>
      </x:c>
      <x:c r="E245" s="28" t="n">
        <x:v>12072.23</x:v>
      </x:c>
      <x:c r="F245" s="28" t="n">
        <x:v>719.63</x:v>
      </x:c>
      <x:c r="G245" s="30" t="n">
        <x:v>0.063389</x:v>
      </x:c>
    </x:row>
    <x:row r="246">
      <x:c r="A246" s="26" t="n">
        <x:v>45839</x:v>
      </x:c>
      <x:c r="B246" t="str">
        <x:v>G&amp;A</x:v>
      </x:c>
      <x:c r="C246" t="str">
        <x:v>Travel</x:v>
      </x:c>
      <x:c r="D246" s="28" t="n">
        <x:v>5045.6</x:v>
      </x:c>
      <x:c r="E246" s="28" t="n">
        <x:v>5407.48</x:v>
      </x:c>
      <x:c r="F246" s="28" t="n">
        <x:v>361.88</x:v>
      </x:c>
      <x:c r="G246" s="30" t="n">
        <x:v>0.071722</x:v>
      </x:c>
    </x:row>
    <x:row r="247">
      <x:c r="A247" s="26" t="n">
        <x:v>45839</x:v>
      </x:c>
      <x:c r="B247" t="str">
        <x:v>G&amp;A</x:v>
      </x:c>
      <x:c r="C247" t="str">
        <x:v>Facilities</x:v>
      </x:c>
      <x:c r="D247" s="28" t="n">
        <x:v>6847.6</x:v>
      </x:c>
      <x:c r="E247" s="28" t="n">
        <x:v>7048.94</x:v>
      </x:c>
      <x:c r="F247" s="28" t="n">
        <x:v>201.34</x:v>
      </x:c>
      <x:c r="G247" s="30" t="n">
        <x:v>0.029403</x:v>
      </x:c>
    </x:row>
    <x:row r="248">
      <x:c r="A248" s="26" t="n">
        <x:v>45839</x:v>
      </x:c>
      <x:c r="B248" t="str">
        <x:v>G&amp;A</x:v>
      </x:c>
      <x:c r="C248" t="str">
        <x:v>Other OpEx</x:v>
      </x:c>
      <x:c r="D248" s="28" t="n">
        <x:v>9730.8</x:v>
      </x:c>
      <x:c r="E248" s="28" t="n">
        <x:v>9952.38</x:v>
      </x:c>
      <x:c r="F248" s="28" t="n">
        <x:v>221.58</x:v>
      </x:c>
      <x:c r="G248" s="30" t="n">
        <x:v>0.022771</x:v>
      </x:c>
    </x:row>
    <x:row r="249">
      <x:c r="A249" s="26" t="n">
        <x:v>45870</x:v>
      </x:c>
      <x:c r="B249" t="str">
        <x:v>Sales</x:v>
      </x:c>
      <x:c r="C249" t="str">
        <x:v>Revenue</x:v>
      </x:c>
      <x:c r="D249" s="28" t="n">
        <x:v>471870</x:v>
      </x:c>
      <x:c r="E249" s="28" t="n">
        <x:v>494857.99</x:v>
      </x:c>
      <x:c r="F249" s="28" t="n">
        <x:v>22987.99</x:v>
      </x:c>
      <x:c r="G249" s="30" t="n">
        <x:v>0.048717</x:v>
      </x:c>
    </x:row>
    <x:row r="250">
      <x:c r="A250" s="26" t="n">
        <x:v>45870</x:v>
      </x:c>
      <x:c r="B250" t="str">
        <x:v>Sales</x:v>
      </x:c>
      <x:c r="C250" t="str">
        <x:v>COGS</x:v>
      </x:c>
      <x:c r="D250" s="28" t="n">
        <x:v>198185.4</x:v>
      </x:c>
      <x:c r="E250" s="28" t="n">
        <x:v>194823.45</x:v>
      </x:c>
      <x:c r="F250" s="28" t="n">
        <x:v>-3361.95</x:v>
      </x:c>
      <x:c r="G250" s="30" t="n">
        <x:v>-0.016964</x:v>
      </x:c>
    </x:row>
    <x:row r="251">
      <x:c r="A251" s="26" t="n">
        <x:v>45870</x:v>
      </x:c>
      <x:c r="B251" t="str">
        <x:v>Sales</x:v>
      </x:c>
      <x:c r="C251" t="str">
        <x:v>Payroll</x:v>
      </x:c>
      <x:c r="D251" s="28" t="n">
        <x:v>55661.4</x:v>
      </x:c>
      <x:c r="E251" s="28" t="n">
        <x:v>55291.76</x:v>
      </x:c>
      <x:c r="F251" s="28" t="n">
        <x:v>-369.64</x:v>
      </x:c>
      <x:c r="G251" s="30" t="n">
        <x:v>-0.006641</x:v>
      </x:c>
    </x:row>
    <x:row r="252">
      <x:c r="A252" s="26" t="n">
        <x:v>45870</x:v>
      </x:c>
      <x:c r="B252" t="str">
        <x:v>Sales</x:v>
      </x:c>
      <x:c r="C252" t="str">
        <x:v>Software</x:v>
      </x:c>
      <x:c r="D252" s="28" t="n">
        <x:v>11459.7</x:v>
      </x:c>
      <x:c r="E252" s="28" t="n">
        <x:v>11616.92</x:v>
      </x:c>
      <x:c r="F252" s="28" t="n">
        <x:v>157.22</x:v>
      </x:c>
      <x:c r="G252" s="30" t="n">
        <x:v>0.01372</x:v>
      </x:c>
    </x:row>
    <x:row r="253">
      <x:c r="A253" s="26" t="n">
        <x:v>45870</x:v>
      </x:c>
      <x:c r="B253" t="str">
        <x:v>Sales</x:v>
      </x:c>
      <x:c r="C253" t="str">
        <x:v>Travel</x:v>
      </x:c>
      <x:c r="D253" s="28" t="n">
        <x:v>6111.84</x:v>
      </x:c>
      <x:c r="E253" s="28" t="n">
        <x:v>6369.62</x:v>
      </x:c>
      <x:c r="F253" s="28" t="n">
        <x:v>257.78</x:v>
      </x:c>
      <x:c r="G253" s="30" t="n">
        <x:v>0.042177</x:v>
      </x:c>
    </x:row>
    <x:row r="254">
      <x:c r="A254" s="26" t="n">
        <x:v>45870</x:v>
      </x:c>
      <x:c r="B254" t="str">
        <x:v>Sales</x:v>
      </x:c>
      <x:c r="C254" t="str">
        <x:v>Facilities</x:v>
      </x:c>
      <x:c r="D254" s="28" t="n">
        <x:v>6912.2</x:v>
      </x:c>
      <x:c r="E254" s="28" t="n">
        <x:v>7114.64</x:v>
      </x:c>
      <x:c r="F254" s="28" t="n">
        <x:v>202.44</x:v>
      </x:c>
      <x:c r="G254" s="30" t="n">
        <x:v>0.029287</x:v>
      </x:c>
    </x:row>
    <x:row r="255">
      <x:c r="A255" s="26" t="n">
        <x:v>45870</x:v>
      </x:c>
      <x:c r="B255" t="str">
        <x:v>Sales</x:v>
      </x:c>
      <x:c r="C255" t="str">
        <x:v>Other OpEx</x:v>
      </x:c>
      <x:c r="D255" s="28" t="n">
        <x:v>9822.6</x:v>
      </x:c>
      <x:c r="E255" s="28" t="n">
        <x:v>10340.34</x:v>
      </x:c>
      <x:c r="F255" s="28" t="n">
        <x:v>517.74</x:v>
      </x:c>
      <x:c r="G255" s="30" t="n">
        <x:v>0.052709</x:v>
      </x:c>
    </x:row>
    <x:row r="256">
      <x:c r="A256" s="26" t="n">
        <x:v>45870</x:v>
      </x:c>
      <x:c r="B256" t="str">
        <x:v>Marketing</x:v>
      </x:c>
      <x:c r="C256" t="str">
        <x:v>Revenue</x:v>
      </x:c>
      <x:c r="D256" s="28" t="n">
        <x:v>167776</x:v>
      </x:c>
      <x:c r="E256" s="28" t="n">
        <x:v>175508.27</x:v>
      </x:c>
      <x:c r="F256" s="28" t="n">
        <x:v>7732.27</x:v>
      </x:c>
      <x:c r="G256" s="30" t="n">
        <x:v>0.046087</x:v>
      </x:c>
    </x:row>
    <x:row r="257">
      <x:c r="A257" s="26" t="n">
        <x:v>45870</x:v>
      </x:c>
      <x:c r="B257" t="str">
        <x:v>Marketing</x:v>
      </x:c>
      <x:c r="C257" t="str">
        <x:v>COGS</x:v>
      </x:c>
      <x:c r="D257" s="28" t="n">
        <x:v>70465.92</x:v>
      </x:c>
      <x:c r="E257" s="28" t="n">
        <x:v>70923.72</x:v>
      </x:c>
      <x:c r="F257" s="28" t="n">
        <x:v>457.8</x:v>
      </x:c>
      <x:c r="G257" s="30" t="n">
        <x:v>0.006497</x:v>
      </x:c>
    </x:row>
    <x:row r="258">
      <x:c r="A258" s="26" t="n">
        <x:v>45870</x:v>
      </x:c>
      <x:c r="B258" t="str">
        <x:v>Marketing</x:v>
      </x:c>
      <x:c r="C258" t="str">
        <x:v>Payroll</x:v>
      </x:c>
      <x:c r="D258" s="28" t="n">
        <x:v>55661.4</x:v>
      </x:c>
      <x:c r="E258" s="28" t="n">
        <x:v>57263.72</x:v>
      </x:c>
      <x:c r="F258" s="28" t="n">
        <x:v>1602.32</x:v>
      </x:c>
      <x:c r="G258" s="30" t="n">
        <x:v>0.028787</x:v>
      </x:c>
    </x:row>
    <x:row r="259">
      <x:c r="A259" s="26" t="n">
        <x:v>45870</x:v>
      </x:c>
      <x:c r="B259" t="str">
        <x:v>Marketing</x:v>
      </x:c>
      <x:c r="C259" t="str">
        <x:v>Software</x:v>
      </x:c>
      <x:c r="D259" s="28" t="n">
        <x:v>11459.7</x:v>
      </x:c>
      <x:c r="E259" s="28" t="n">
        <x:v>12087.63</x:v>
      </x:c>
      <x:c r="F259" s="28" t="n">
        <x:v>627.93</x:v>
      </x:c>
      <x:c r="G259" s="30" t="n">
        <x:v>0.054795</x:v>
      </x:c>
    </x:row>
    <x:row r="260">
      <x:c r="A260" s="26" t="n">
        <x:v>45870</x:v>
      </x:c>
      <x:c r="B260" t="str">
        <x:v>Marketing</x:v>
      </x:c>
      <x:c r="C260" t="str">
        <x:v>Travel</x:v>
      </x:c>
      <x:c r="D260" s="28" t="n">
        <x:v>5093.2</x:v>
      </x:c>
      <x:c r="E260" s="28" t="n">
        <x:v>5632.64</x:v>
      </x:c>
      <x:c r="F260" s="28" t="n">
        <x:v>539.44</x:v>
      </x:c>
      <x:c r="G260" s="30" t="n">
        <x:v>0.105913</x:v>
      </x:c>
    </x:row>
    <x:row r="261">
      <x:c r="A261" s="26" t="n">
        <x:v>45870</x:v>
      </x:c>
      <x:c r="B261" t="str">
        <x:v>Marketing</x:v>
      </x:c>
      <x:c r="C261" t="str">
        <x:v>Facilities</x:v>
      </x:c>
      <x:c r="D261" s="28" t="n">
        <x:v>6912.2</x:v>
      </x:c>
      <x:c r="E261" s="28" t="n">
        <x:v>7315.8</x:v>
      </x:c>
      <x:c r="F261" s="28" t="n">
        <x:v>403.6</x:v>
      </x:c>
      <x:c r="G261" s="30" t="n">
        <x:v>0.058389</x:v>
      </x:c>
    </x:row>
    <x:row r="262">
      <x:c r="A262" s="26" t="n">
        <x:v>45870</x:v>
      </x:c>
      <x:c r="B262" t="str">
        <x:v>Marketing</x:v>
      </x:c>
      <x:c r="C262" t="str">
        <x:v>Other OpEx</x:v>
      </x:c>
      <x:c r="D262" s="28" t="n">
        <x:v>9822.6</x:v>
      </x:c>
      <x:c r="E262" s="28" t="n">
        <x:v>10733.37</x:v>
      </x:c>
      <x:c r="F262" s="28" t="n">
        <x:v>910.77</x:v>
      </x:c>
      <x:c r="G262" s="30" t="n">
        <x:v>0.092722</x:v>
      </x:c>
    </x:row>
    <x:row r="263">
      <x:c r="A263" s="26" t="n">
        <x:v>45870</x:v>
      </x:c>
      <x:c r="B263" t="str">
        <x:v>R&amp;D</x:v>
      </x:c>
      <x:c r="C263" t="str">
        <x:v>Revenue</x:v>
      </x:c>
      <x:c r="D263" s="28" t="n">
        <x:v>125832</x:v>
      </x:c>
      <x:c r="E263" s="28" t="n">
        <x:v>129164.63</x:v>
      </x:c>
      <x:c r="F263" s="28" t="n">
        <x:v>3332.63</x:v>
      </x:c>
      <x:c r="G263" s="30" t="n">
        <x:v>0.026485</x:v>
      </x:c>
    </x:row>
    <x:row r="264">
      <x:c r="A264" s="26" t="n">
        <x:v>45870</x:v>
      </x:c>
      <x:c r="B264" t="str">
        <x:v>R&amp;D</x:v>
      </x:c>
      <x:c r="C264" t="str">
        <x:v>COGS</x:v>
      </x:c>
      <x:c r="D264" s="28" t="n">
        <x:v>52849.44</x:v>
      </x:c>
      <x:c r="E264" s="28" t="n">
        <x:v>55144.54</x:v>
      </x:c>
      <x:c r="F264" s="28" t="n">
        <x:v>2295.1</x:v>
      </x:c>
      <x:c r="G264" s="30" t="n">
        <x:v>0.043427</x:v>
      </x:c>
    </x:row>
    <x:row r="265">
      <x:c r="A265" s="26" t="n">
        <x:v>45870</x:v>
      </x:c>
      <x:c r="B265" t="str">
        <x:v>R&amp;D</x:v>
      </x:c>
      <x:c r="C265" t="str">
        <x:v>Payroll</x:v>
      </x:c>
      <x:c r="D265" s="28" t="n">
        <x:v>77925.96</x:v>
      </x:c>
      <x:c r="E265" s="28" t="n">
        <x:v>85937</x:v>
      </x:c>
      <x:c r="F265" s="28" t="n">
        <x:v>8011.04</x:v>
      </x:c>
      <x:c r="G265" s="30" t="n">
        <x:v>0.102803</x:v>
      </x:c>
    </x:row>
    <x:row r="266">
      <x:c r="A266" s="26" t="n">
        <x:v>45870</x:v>
      </x:c>
      <x:c r="B266" t="str">
        <x:v>R&amp;D</x:v>
      </x:c>
      <x:c r="C266" t="str">
        <x:v>Software</x:v>
      </x:c>
      <x:c r="D266" s="28" t="n">
        <x:v>16043.58</x:v>
      </x:c>
      <x:c r="E266" s="28" t="n">
        <x:v>18015.78</x:v>
      </x:c>
      <x:c r="F266" s="28" t="n">
        <x:v>1972.2</x:v>
      </x:c>
      <x:c r="G266" s="30" t="n">
        <x:v>0.122928</x:v>
      </x:c>
    </x:row>
    <x:row r="267">
      <x:c r="A267" s="26" t="n">
        <x:v>45870</x:v>
      </x:c>
      <x:c r="B267" t="str">
        <x:v>R&amp;D</x:v>
      </x:c>
      <x:c r="C267" t="str">
        <x:v>Travel</x:v>
      </x:c>
      <x:c r="D267" s="28" t="n">
        <x:v>5093.2</x:v>
      </x:c>
      <x:c r="E267" s="28" t="n">
        <x:v>5612.35</x:v>
      </x:c>
      <x:c r="F267" s="28" t="n">
        <x:v>519.15</x:v>
      </x:c>
      <x:c r="G267" s="30" t="n">
        <x:v>0.101931</x:v>
      </x:c>
    </x:row>
    <x:row r="268">
      <x:c r="A268" s="26" t="n">
        <x:v>45870</x:v>
      </x:c>
      <x:c r="B268" t="str">
        <x:v>R&amp;D</x:v>
      </x:c>
      <x:c r="C268" t="str">
        <x:v>Facilities</x:v>
      </x:c>
      <x:c r="D268" s="28" t="n">
        <x:v>6912.2</x:v>
      </x:c>
      <x:c r="E268" s="28" t="n">
        <x:v>7358.94</x:v>
      </x:c>
      <x:c r="F268" s="28" t="n">
        <x:v>446.74</x:v>
      </x:c>
      <x:c r="G268" s="30" t="n">
        <x:v>0.064631</x:v>
      </x:c>
    </x:row>
    <x:row r="269">
      <x:c r="A269" s="26" t="n">
        <x:v>45870</x:v>
      </x:c>
      <x:c r="B269" t="str">
        <x:v>R&amp;D</x:v>
      </x:c>
      <x:c r="C269" t="str">
        <x:v>Other OpEx</x:v>
      </x:c>
      <x:c r="D269" s="28" t="n">
        <x:v>9822.6</x:v>
      </x:c>
      <x:c r="E269" s="28" t="n">
        <x:v>10420.66</x:v>
      </x:c>
      <x:c r="F269" s="28" t="n">
        <x:v>598.06</x:v>
      </x:c>
      <x:c r="G269" s="30" t="n">
        <x:v>0.060886</x:v>
      </x:c>
    </x:row>
    <x:row r="270">
      <x:c r="A270" s="26" t="n">
        <x:v>45870</x:v>
      </x:c>
      <x:c r="B270" t="str">
        <x:v>Operations</x:v>
      </x:c>
      <x:c r="C270" t="str">
        <x:v>Revenue</x:v>
      </x:c>
      <x:c r="D270" s="28" t="n">
        <x:v>104860</x:v>
      </x:c>
      <x:c r="E270" s="28" t="n">
        <x:v>104768.73</x:v>
      </x:c>
      <x:c r="F270" s="28" t="n">
        <x:v>-91.27</x:v>
      </x:c>
      <x:c r="G270" s="30" t="n">
        <x:v>-0.00087</x:v>
      </x:c>
    </x:row>
    <x:row r="271">
      <x:c r="A271" s="26" t="n">
        <x:v>45870</x:v>
      </x:c>
      <x:c r="B271" t="str">
        <x:v>Operations</x:v>
      </x:c>
      <x:c r="C271" t="str">
        <x:v>COGS</x:v>
      </x:c>
      <x:c r="D271" s="28" t="n">
        <x:v>44041.2</x:v>
      </x:c>
      <x:c r="E271" s="28" t="n">
        <x:v>45393.48</x:v>
      </x:c>
      <x:c r="F271" s="28" t="n">
        <x:v>1352.28</x:v>
      </x:c>
      <x:c r="G271" s="30" t="n">
        <x:v>0.030705</x:v>
      </x:c>
    </x:row>
    <x:row r="272">
      <x:c r="A272" s="26" t="n">
        <x:v>45870</x:v>
      </x:c>
      <x:c r="B272" t="str">
        <x:v>Operations</x:v>
      </x:c>
      <x:c r="C272" t="str">
        <x:v>Payroll</x:v>
      </x:c>
      <x:c r="D272" s="28" t="n">
        <x:v>55661.4</x:v>
      </x:c>
      <x:c r="E272" s="28" t="n">
        <x:v>58222.95</x:v>
      </x:c>
      <x:c r="F272" s="28" t="n">
        <x:v>2561.55</x:v>
      </x:c>
      <x:c r="G272" s="30" t="n">
        <x:v>0.04602</x:v>
      </x:c>
    </x:row>
    <x:row r="273">
      <x:c r="A273" s="26" t="n">
        <x:v>45870</x:v>
      </x:c>
      <x:c r="B273" t="str">
        <x:v>Operations</x:v>
      </x:c>
      <x:c r="C273" t="str">
        <x:v>Software</x:v>
      </x:c>
      <x:c r="D273" s="28" t="n">
        <x:v>11459.7</x:v>
      </x:c>
      <x:c r="E273" s="28" t="n">
        <x:v>12059.06</x:v>
      </x:c>
      <x:c r="F273" s="28" t="n">
        <x:v>599.36</x:v>
      </x:c>
      <x:c r="G273" s="30" t="n">
        <x:v>0.052302</x:v>
      </x:c>
    </x:row>
    <x:row r="274">
      <x:c r="A274" s="26" t="n">
        <x:v>45870</x:v>
      </x:c>
      <x:c r="B274" t="str">
        <x:v>Operations</x:v>
      </x:c>
      <x:c r="C274" t="str">
        <x:v>Travel</x:v>
      </x:c>
      <x:c r="D274" s="28" t="n">
        <x:v>5093.2</x:v>
      </x:c>
      <x:c r="E274" s="28" t="n">
        <x:v>5356.83</x:v>
      </x:c>
      <x:c r="F274" s="28" t="n">
        <x:v>263.63</x:v>
      </x:c>
      <x:c r="G274" s="30" t="n">
        <x:v>0.051761</x:v>
      </x:c>
    </x:row>
    <x:row r="275">
      <x:c r="A275" s="26" t="n">
        <x:v>45870</x:v>
      </x:c>
      <x:c r="B275" t="str">
        <x:v>Operations</x:v>
      </x:c>
      <x:c r="C275" t="str">
        <x:v>Facilities</x:v>
      </x:c>
      <x:c r="D275" s="28" t="n">
        <x:v>6912.2</x:v>
      </x:c>
      <x:c r="E275" s="28" t="n">
        <x:v>6936.43</x:v>
      </x:c>
      <x:c r="F275" s="28" t="n">
        <x:v>24.23</x:v>
      </x:c>
      <x:c r="G275" s="30" t="n">
        <x:v>0.003506</x:v>
      </x:c>
    </x:row>
    <x:row r="276">
      <x:c r="A276" s="26" t="n">
        <x:v>45870</x:v>
      </x:c>
      <x:c r="B276" t="str">
        <x:v>Operations</x:v>
      </x:c>
      <x:c r="C276" t="str">
        <x:v>Other OpEx</x:v>
      </x:c>
      <x:c r="D276" s="28" t="n">
        <x:v>9822.6</x:v>
      </x:c>
      <x:c r="E276" s="28" t="n">
        <x:v>9779.65</x:v>
      </x:c>
      <x:c r="F276" s="28" t="n">
        <x:v>-42.95</x:v>
      </x:c>
      <x:c r="G276" s="30" t="n">
        <x:v>-0.004373</x:v>
      </x:c>
    </x:row>
    <x:row r="277">
      <x:c r="A277" s="26" t="n">
        <x:v>45870</x:v>
      </x:c>
      <x:c r="B277" t="str">
        <x:v>G&amp;A</x:v>
      </x:c>
      <x:c r="C277" t="str">
        <x:v>Revenue</x:v>
      </x:c>
      <x:c r="D277" s="28" t="n">
        <x:v>73402</x:v>
      </x:c>
      <x:c r="E277" s="28" t="n">
        <x:v>71705.46</x:v>
      </x:c>
      <x:c r="F277" s="28" t="n">
        <x:v>-1696.54</x:v>
      </x:c>
      <x:c r="G277" s="30" t="n">
        <x:v>-0.023113</x:v>
      </x:c>
    </x:row>
    <x:row r="278">
      <x:c r="A278" s="26" t="n">
        <x:v>45870</x:v>
      </x:c>
      <x:c r="B278" t="str">
        <x:v>G&amp;A</x:v>
      </x:c>
      <x:c r="C278" t="str">
        <x:v>COGS</x:v>
      </x:c>
      <x:c r="D278" s="28" t="n">
        <x:v>30828.84</x:v>
      </x:c>
      <x:c r="E278" s="28" t="n">
        <x:v>32401.02</x:v>
      </x:c>
      <x:c r="F278" s="28" t="n">
        <x:v>1572.18</x:v>
      </x:c>
      <x:c r="G278" s="30" t="n">
        <x:v>0.050997</x:v>
      </x:c>
    </x:row>
    <x:row r="279">
      <x:c r="A279" s="26" t="n">
        <x:v>45870</x:v>
      </x:c>
      <x:c r="B279" t="str">
        <x:v>G&amp;A</x:v>
      </x:c>
      <x:c r="C279" t="str">
        <x:v>Payroll</x:v>
      </x:c>
      <x:c r="D279" s="28" t="n">
        <x:v>55661.4</x:v>
      </x:c>
      <x:c r="E279" s="28" t="n">
        <x:v>58533.59</x:v>
      </x:c>
      <x:c r="F279" s="28" t="n">
        <x:v>2872.19</x:v>
      </x:c>
      <x:c r="G279" s="30" t="n">
        <x:v>0.051601</x:v>
      </x:c>
    </x:row>
    <x:row r="280">
      <x:c r="A280" s="26" t="n">
        <x:v>45870</x:v>
      </x:c>
      <x:c r="B280" t="str">
        <x:v>G&amp;A</x:v>
      </x:c>
      <x:c r="C280" t="str">
        <x:v>Software</x:v>
      </x:c>
      <x:c r="D280" s="28" t="n">
        <x:v>11459.7</x:v>
      </x:c>
      <x:c r="E280" s="28" t="n">
        <x:v>11969.36</x:v>
      </x:c>
      <x:c r="F280" s="28" t="n">
        <x:v>509.66</x:v>
      </x:c>
      <x:c r="G280" s="30" t="n">
        <x:v>0.044474</x:v>
      </x:c>
    </x:row>
    <x:row r="281">
      <x:c r="A281" s="26" t="n">
        <x:v>45870</x:v>
      </x:c>
      <x:c r="B281" t="str">
        <x:v>G&amp;A</x:v>
      </x:c>
      <x:c r="C281" t="str">
        <x:v>Travel</x:v>
      </x:c>
      <x:c r="D281" s="28" t="n">
        <x:v>5093.2</x:v>
      </x:c>
      <x:c r="E281" s="28" t="n">
        <x:v>5275.45</x:v>
      </x:c>
      <x:c r="F281" s="28" t="n">
        <x:v>182.25</x:v>
      </x:c>
      <x:c r="G281" s="30" t="n">
        <x:v>0.035783</x:v>
      </x:c>
    </x:row>
    <x:row r="282">
      <x:c r="A282" s="26" t="n">
        <x:v>45870</x:v>
      </x:c>
      <x:c r="B282" t="str">
        <x:v>G&amp;A</x:v>
      </x:c>
      <x:c r="C282" t="str">
        <x:v>Facilities</x:v>
      </x:c>
      <x:c r="D282" s="28" t="n">
        <x:v>6912.2</x:v>
      </x:c>
      <x:c r="E282" s="28" t="n">
        <x:v>6822.63</x:v>
      </x:c>
      <x:c r="F282" s="28" t="n">
        <x:v>-89.57</x:v>
      </x:c>
      <x:c r="G282" s="30" t="n">
        <x:v>-0.012959</x:v>
      </x:c>
    </x:row>
    <x:row r="283">
      <x:c r="A283" s="26" t="n">
        <x:v>45870</x:v>
      </x:c>
      <x:c r="B283" t="str">
        <x:v>G&amp;A</x:v>
      </x:c>
      <x:c r="C283" t="str">
        <x:v>Other OpEx</x:v>
      </x:c>
      <x:c r="D283" s="28" t="n">
        <x:v>9822.6</x:v>
      </x:c>
      <x:c r="E283" s="28" t="n">
        <x:v>9689.8</x:v>
      </x:c>
      <x:c r="F283" s="28" t="n">
        <x:v>-132.8</x:v>
      </x:c>
      <x:c r="G283" s="30" t="n">
        <x:v>-0.013519</x:v>
      </x:c>
    </x:row>
    <x:row r="284">
      <x:c r="A284" s="26" t="n">
        <x:v>45901</x:v>
      </x:c>
      <x:c r="B284" t="str">
        <x:v>Sales</x:v>
      </x:c>
      <x:c r="C284" t="str">
        <x:v>Revenue</x:v>
      </x:c>
      <x:c r="D284" s="28" t="n">
        <x:v>476280</x:v>
      </x:c>
      <x:c r="E284" s="28" t="n">
        <x:v>495662.71</x:v>
      </x:c>
      <x:c r="F284" s="28" t="n">
        <x:v>19382.71</x:v>
      </x:c>
      <x:c r="G284" s="30" t="n">
        <x:v>0.040696</x:v>
      </x:c>
    </x:row>
    <x:row r="285">
      <x:c r="A285" s="26" t="n">
        <x:v>45901</x:v>
      </x:c>
      <x:c r="B285" t="str">
        <x:v>Sales</x:v>
      </x:c>
      <x:c r="C285" t="str">
        <x:v>COGS</x:v>
      </x:c>
      <x:c r="D285" s="28" t="n">
        <x:v>200037.6</x:v>
      </x:c>
      <x:c r="E285" s="28" t="n">
        <x:v>204460.6</x:v>
      </x:c>
      <x:c r="F285" s="28" t="n">
        <x:v>4423</x:v>
      </x:c>
      <x:c r="G285" s="30" t="n">
        <x:v>0.022111</x:v>
      </x:c>
    </x:row>
    <x:row r="286">
      <x:c r="A286" s="26" t="n">
        <x:v>45901</x:v>
      </x:c>
      <x:c r="B286" t="str">
        <x:v>Sales</x:v>
      </x:c>
      <x:c r="C286" t="str">
        <x:v>Payroll</x:v>
      </x:c>
      <x:c r="D286" s="28" t="n">
        <x:v>56181.6</x:v>
      </x:c>
      <x:c r="E286" s="28" t="n">
        <x:v>58827.91</x:v>
      </x:c>
      <x:c r="F286" s="28" t="n">
        <x:v>2646.31</x:v>
      </x:c>
      <x:c r="G286" s="30" t="n">
        <x:v>0.047103</x:v>
      </x:c>
    </x:row>
    <x:row r="287">
      <x:c r="A287" s="26" t="n">
        <x:v>45901</x:v>
      </x:c>
      <x:c r="B287" t="str">
        <x:v>Sales</x:v>
      </x:c>
      <x:c r="C287" t="str">
        <x:v>Software</x:v>
      </x:c>
      <x:c r="D287" s="28" t="n">
        <x:v>11566.8</x:v>
      </x:c>
      <x:c r="E287" s="28" t="n">
        <x:v>12384.63</x:v>
      </x:c>
      <x:c r="F287" s="28" t="n">
        <x:v>817.83</x:v>
      </x:c>
      <x:c r="G287" s="30" t="n">
        <x:v>0.070705</x:v>
      </x:c>
    </x:row>
    <x:row r="288">
      <x:c r="A288" s="26" t="n">
        <x:v>45901</x:v>
      </x:c>
      <x:c r="B288" t="str">
        <x:v>Sales</x:v>
      </x:c>
      <x:c r="C288" t="str">
        <x:v>Travel</x:v>
      </x:c>
      <x:c r="D288" s="28" t="n">
        <x:v>6168.96</x:v>
      </x:c>
      <x:c r="E288" s="28" t="n">
        <x:v>6724.29</x:v>
      </x:c>
      <x:c r="F288" s="28" t="n">
        <x:v>555.33</x:v>
      </x:c>
      <x:c r="G288" s="30" t="n">
        <x:v>0.09002</x:v>
      </x:c>
    </x:row>
    <x:row r="289">
      <x:c r="A289" s="26" t="n">
        <x:v>45901</x:v>
      </x:c>
      <x:c r="B289" t="str">
        <x:v>Sales</x:v>
      </x:c>
      <x:c r="C289" t="str">
        <x:v>Facilities</x:v>
      </x:c>
      <x:c r="D289" s="28" t="n">
        <x:v>6976.8</x:v>
      </x:c>
      <x:c r="E289" s="28" t="n">
        <x:v>7383.56</x:v>
      </x:c>
      <x:c r="F289" s="28" t="n">
        <x:v>406.76</x:v>
      </x:c>
      <x:c r="G289" s="30" t="n">
        <x:v>0.058302</x:v>
      </x:c>
    </x:row>
    <x:row r="290">
      <x:c r="A290" s="26" t="n">
        <x:v>45901</x:v>
      </x:c>
      <x:c r="B290" t="str">
        <x:v>Sales</x:v>
      </x:c>
      <x:c r="C290" t="str">
        <x:v>Other OpEx</x:v>
      </x:c>
      <x:c r="D290" s="28" t="n">
        <x:v>9914.4</x:v>
      </x:c>
      <x:c r="E290" s="28" t="n">
        <x:v>10496.97</x:v>
      </x:c>
      <x:c r="F290" s="28" t="n">
        <x:v>582.57</x:v>
      </x:c>
      <x:c r="G290" s="30" t="n">
        <x:v>0.05876</x:v>
      </x:c>
    </x:row>
    <x:row r="291">
      <x:c r="A291" s="26" t="n">
        <x:v>45901</x:v>
      </x:c>
      <x:c r="B291" t="str">
        <x:v>Marketing</x:v>
      </x:c>
      <x:c r="C291" t="str">
        <x:v>Revenue</x:v>
      </x:c>
      <x:c r="D291" s="28" t="n">
        <x:v>169344</x:v>
      </x:c>
      <x:c r="E291" s="28" t="n">
        <x:v>172215.33</x:v>
      </x:c>
      <x:c r="F291" s="28" t="n">
        <x:v>2871.33</x:v>
      </x:c>
      <x:c r="G291" s="30" t="n">
        <x:v>0.016956</x:v>
      </x:c>
    </x:row>
    <x:row r="292">
      <x:c r="A292" s="26" t="n">
        <x:v>45901</x:v>
      </x:c>
      <x:c r="B292" t="str">
        <x:v>Marketing</x:v>
      </x:c>
      <x:c r="C292" t="str">
        <x:v>COGS</x:v>
      </x:c>
      <x:c r="D292" s="28" t="n">
        <x:v>71124.48</x:v>
      </x:c>
      <x:c r="E292" s="28" t="n">
        <x:v>75624.87</x:v>
      </x:c>
      <x:c r="F292" s="28" t="n">
        <x:v>4500.39</x:v>
      </x:c>
      <x:c r="G292" s="30" t="n">
        <x:v>0.063275</x:v>
      </x:c>
    </x:row>
    <x:row r="293">
      <x:c r="A293" s="26" t="n">
        <x:v>45901</x:v>
      </x:c>
      <x:c r="B293" t="str">
        <x:v>Marketing</x:v>
      </x:c>
      <x:c r="C293" t="str">
        <x:v>Payroll</x:v>
      </x:c>
      <x:c r="D293" s="28" t="n">
        <x:v>56181.6</x:v>
      </x:c>
      <x:c r="E293" s="28" t="n">
        <x:v>60848.64</x:v>
      </x:c>
      <x:c r="F293" s="28" t="n">
        <x:v>4667.04</x:v>
      </x:c>
      <x:c r="G293" s="30" t="n">
        <x:v>0.083071</x:v>
      </x:c>
    </x:row>
    <x:row r="294">
      <x:c r="A294" s="26" t="n">
        <x:v>45901</x:v>
      </x:c>
      <x:c r="B294" t="str">
        <x:v>Marketing</x:v>
      </x:c>
      <x:c r="C294" t="str">
        <x:v>Software</x:v>
      </x:c>
      <x:c r="D294" s="28" t="n">
        <x:v>11566.8</x:v>
      </x:c>
      <x:c r="E294" s="28" t="n">
        <x:v>12665.61</x:v>
      </x:c>
      <x:c r="F294" s="28" t="n">
        <x:v>1098.81</x:v>
      </x:c>
      <x:c r="G294" s="30" t="n">
        <x:v>0.094997</x:v>
      </x:c>
    </x:row>
    <x:row r="295">
      <x:c r="A295" s="26" t="n">
        <x:v>45901</x:v>
      </x:c>
      <x:c r="B295" t="str">
        <x:v>Marketing</x:v>
      </x:c>
      <x:c r="C295" t="str">
        <x:v>Travel</x:v>
      </x:c>
      <x:c r="D295" s="28" t="n">
        <x:v>5140.8</x:v>
      </x:c>
      <x:c r="E295" s="28" t="n">
        <x:v>5781.35</x:v>
      </x:c>
      <x:c r="F295" s="28" t="n">
        <x:v>640.55</x:v>
      </x:c>
      <x:c r="G295" s="30" t="n">
        <x:v>0.124602</x:v>
      </x:c>
    </x:row>
    <x:row r="296">
      <x:c r="A296" s="26" t="n">
        <x:v>45901</x:v>
      </x:c>
      <x:c r="B296" t="str">
        <x:v>Marketing</x:v>
      </x:c>
      <x:c r="C296" t="str">
        <x:v>Facilities</x:v>
      </x:c>
      <x:c r="D296" s="28" t="n">
        <x:v>6976.8</x:v>
      </x:c>
      <x:c r="E296" s="28" t="n">
        <x:v>7356.85</x:v>
      </x:c>
      <x:c r="F296" s="28" t="n">
        <x:v>380.05</x:v>
      </x:c>
      <x:c r="G296" s="30" t="n">
        <x:v>0.054474</x:v>
      </x:c>
    </x:row>
    <x:row r="297">
      <x:c r="A297" s="26" t="n">
        <x:v>45901</x:v>
      </x:c>
      <x:c r="B297" t="str">
        <x:v>Marketing</x:v>
      </x:c>
      <x:c r="C297" t="str">
        <x:v>Other OpEx</x:v>
      </x:c>
      <x:c r="D297" s="28" t="n">
        <x:v>9914.4</x:v>
      </x:c>
      <x:c r="E297" s="28" t="n">
        <x:v>10626.09</x:v>
      </x:c>
      <x:c r="F297" s="28" t="n">
        <x:v>711.69</x:v>
      </x:c>
      <x:c r="G297" s="30" t="n">
        <x:v>0.071783</x:v>
      </x:c>
    </x:row>
    <x:row r="298">
      <x:c r="A298" s="26" t="n">
        <x:v>45901</x:v>
      </x:c>
      <x:c r="B298" t="str">
        <x:v>R&amp;D</x:v>
      </x:c>
      <x:c r="C298" t="str">
        <x:v>Revenue</x:v>
      </x:c>
      <x:c r="D298" s="28" t="n">
        <x:v>127008</x:v>
      </x:c>
      <x:c r="E298" s="28" t="n">
        <x:v>125730.78</x:v>
      </x:c>
      <x:c r="F298" s="28" t="n">
        <x:v>-1277.22</x:v>
      </x:c>
      <x:c r="G298" s="30" t="n">
        <x:v>-0.010056</x:v>
      </x:c>
    </x:row>
    <x:row r="299">
      <x:c r="A299" s="26" t="n">
        <x:v>45901</x:v>
      </x:c>
      <x:c r="B299" t="str">
        <x:v>R&amp;D</x:v>
      </x:c>
      <x:c r="C299" t="str">
        <x:v>COGS</x:v>
      </x:c>
      <x:c r="D299" s="28" t="n">
        <x:v>53343.36</x:v>
      </x:c>
      <x:c r="E299" s="28" t="n">
        <x:v>58281.18</x:v>
      </x:c>
      <x:c r="F299" s="28" t="n">
        <x:v>4937.82</x:v>
      </x:c>
      <x:c r="G299" s="30" t="n">
        <x:v>0.092567</x:v>
      </x:c>
    </x:row>
    <x:row r="300">
      <x:c r="A300" s="26" t="n">
        <x:v>45901</x:v>
      </x:c>
      <x:c r="B300" t="str">
        <x:v>R&amp;D</x:v>
      </x:c>
      <x:c r="C300" t="str">
        <x:v>Payroll</x:v>
      </x:c>
      <x:c r="D300" s="28" t="n">
        <x:v>78654.24</x:v>
      </x:c>
      <x:c r="E300" s="28" t="n">
        <x:v>89178.02</x:v>
      </x:c>
      <x:c r="F300" s="28" t="n">
        <x:v>10523.78</x:v>
      </x:c>
      <x:c r="G300" s="30" t="n">
        <x:v>0.133798</x:v>
      </x:c>
    </x:row>
    <x:row r="301">
      <x:c r="A301" s="26" t="n">
        <x:v>45901</x:v>
      </x:c>
      <x:c r="B301" t="str">
        <x:v>R&amp;D</x:v>
      </x:c>
      <x:c r="C301" t="str">
        <x:v>Software</x:v>
      </x:c>
      <x:c r="D301" s="28" t="n">
        <x:v>16193.52</x:v>
      </x:c>
      <x:c r="E301" s="28" t="n">
        <x:v>18315.85</x:v>
      </x:c>
      <x:c r="F301" s="28" t="n">
        <x:v>2122.33</x:v>
      </x:c>
      <x:c r="G301" s="30" t="n">
        <x:v>0.131061</x:v>
      </x:c>
    </x:row>
    <x:row r="302">
      <x:c r="A302" s="26" t="n">
        <x:v>45901</x:v>
      </x:c>
      <x:c r="B302" t="str">
        <x:v>R&amp;D</x:v>
      </x:c>
      <x:c r="C302" t="str">
        <x:v>Travel</x:v>
      </x:c>
      <x:c r="D302" s="28" t="n">
        <x:v>5140.8</x:v>
      </x:c>
      <x:c r="E302" s="28" t="n">
        <x:v>5599.49</x:v>
      </x:c>
      <x:c r="F302" s="28" t="n">
        <x:v>458.69</x:v>
      </x:c>
      <x:c r="G302" s="30" t="n">
        <x:v>0.089226</x:v>
      </x:c>
    </x:row>
    <x:row r="303">
      <x:c r="A303" s="26" t="n">
        <x:v>45901</x:v>
      </x:c>
      <x:c r="B303" t="str">
        <x:v>R&amp;D</x:v>
      </x:c>
      <x:c r="C303" t="str">
        <x:v>Facilities</x:v>
      </x:c>
      <x:c r="D303" s="28" t="n">
        <x:v>6976.8</x:v>
      </x:c>
      <x:c r="E303" s="28" t="n">
        <x:v>7250.71</x:v>
      </x:c>
      <x:c r="F303" s="28" t="n">
        <x:v>273.91</x:v>
      </x:c>
      <x:c r="G303" s="30" t="n">
        <x:v>0.03926</x:v>
      </x:c>
    </x:row>
    <x:row r="304">
      <x:c r="A304" s="26" t="n">
        <x:v>45901</x:v>
      </x:c>
      <x:c r="B304" t="str">
        <x:v>R&amp;D</x:v>
      </x:c>
      <x:c r="C304" t="str">
        <x:v>Other OpEx</x:v>
      </x:c>
      <x:c r="D304" s="28" t="n">
        <x:v>9914.4</x:v>
      </x:c>
      <x:c r="E304" s="28" t="n">
        <x:v>10259</x:v>
      </x:c>
      <x:c r="F304" s="28" t="n">
        <x:v>344.6</x:v>
      </x:c>
      <x:c r="G304" s="30" t="n">
        <x:v>0.034757</x:v>
      </x:c>
    </x:row>
    <x:row r="305">
      <x:c r="A305" s="26" t="n">
        <x:v>45901</x:v>
      </x:c>
      <x:c r="B305" t="str">
        <x:v>Operations</x:v>
      </x:c>
      <x:c r="C305" t="str">
        <x:v>Revenue</x:v>
      </x:c>
      <x:c r="D305" s="28" t="n">
        <x:v>105840</x:v>
      </x:c>
      <x:c r="E305" s="28" t="n">
        <x:v>102915.09</x:v>
      </x:c>
      <x:c r="F305" s="28" t="n">
        <x:v>-2924.91</x:v>
      </x:c>
      <x:c r="G305" s="30" t="n">
        <x:v>-0.027635</x:v>
      </x:c>
    </x:row>
    <x:row r="306">
      <x:c r="A306" s="26" t="n">
        <x:v>45901</x:v>
      </x:c>
      <x:c r="B306" t="str">
        <x:v>Operations</x:v>
      </x:c>
      <x:c r="C306" t="str">
        <x:v>COGS</x:v>
      </x:c>
      <x:c r="D306" s="28" t="n">
        <x:v>44452.8</x:v>
      </x:c>
      <x:c r="E306" s="28" t="n">
        <x:v>46742.01</x:v>
      </x:c>
      <x:c r="F306" s="28" t="n">
        <x:v>2289.21</x:v>
      </x:c>
      <x:c r="G306" s="30" t="n">
        <x:v>0.051498</x:v>
      </x:c>
    </x:row>
    <x:row r="307">
      <x:c r="A307" s="26" t="n">
        <x:v>45901</x:v>
      </x:c>
      <x:c r="B307" t="str">
        <x:v>Operations</x:v>
      </x:c>
      <x:c r="C307" t="str">
        <x:v>Payroll</x:v>
      </x:c>
      <x:c r="D307" s="28" t="n">
        <x:v>56181.6</x:v>
      </x:c>
      <x:c r="E307" s="28" t="n">
        <x:v>58654.94</x:v>
      </x:c>
      <x:c r="F307" s="28" t="n">
        <x:v>2473.34</x:v>
      </x:c>
      <x:c r="G307" s="30" t="n">
        <x:v>0.044024</x:v>
      </x:c>
    </x:row>
    <x:row r="308">
      <x:c r="A308" s="26" t="n">
        <x:v>45901</x:v>
      </x:c>
      <x:c r="B308" t="str">
        <x:v>Operations</x:v>
      </x:c>
      <x:c r="C308" t="str">
        <x:v>Software</x:v>
      </x:c>
      <x:c r="D308" s="28" t="n">
        <x:v>11566.8</x:v>
      </x:c>
      <x:c r="E308" s="28" t="n">
        <x:v>11943.06</x:v>
      </x:c>
      <x:c r="F308" s="28" t="n">
        <x:v>376.26</x:v>
      </x:c>
      <x:c r="G308" s="30" t="n">
        <x:v>0.032529</x:v>
      </x:c>
    </x:row>
    <x:row r="309">
      <x:c r="A309" s="26" t="n">
        <x:v>45901</x:v>
      </x:c>
      <x:c r="B309" t="str">
        <x:v>Operations</x:v>
      </x:c>
      <x:c r="C309" t="str">
        <x:v>Travel</x:v>
      </x:c>
      <x:c r="D309" s="28" t="n">
        <x:v>5140.8</x:v>
      </x:c>
      <x:c r="E309" s="28" t="n">
        <x:v>5266.58</x:v>
      </x:c>
      <x:c r="F309" s="28" t="n">
        <x:v>125.78</x:v>
      </x:c>
      <x:c r="G309" s="30" t="n">
        <x:v>0.024468</x:v>
      </x:c>
    </x:row>
    <x:row r="310">
      <x:c r="A310" s="26" t="n">
        <x:v>45901</x:v>
      </x:c>
      <x:c r="B310" t="str">
        <x:v>Operations</x:v>
      </x:c>
      <x:c r="C310" t="str">
        <x:v>Facilities</x:v>
      </x:c>
      <x:c r="D310" s="28" t="n">
        <x:v>6976.8</x:v>
      </x:c>
      <x:c r="E310" s="28" t="n">
        <x:v>6845.42</x:v>
      </x:c>
      <x:c r="F310" s="28" t="n">
        <x:v>-131.38</x:v>
      </x:c>
      <x:c r="G310" s="30" t="n">
        <x:v>-0.018832</x:v>
      </x:c>
    </x:row>
    <x:row r="311">
      <x:c r="A311" s="26" t="n">
        <x:v>45901</x:v>
      </x:c>
      <x:c r="B311" t="str">
        <x:v>Operations</x:v>
      </x:c>
      <x:c r="C311" t="str">
        <x:v>Other OpEx</x:v>
      </x:c>
      <x:c r="D311" s="28" t="n">
        <x:v>9914.4</x:v>
      </x:c>
      <x:c r="E311" s="28" t="n">
        <x:v>9807.89</x:v>
      </x:c>
      <x:c r="F311" s="28" t="n">
        <x:v>-106.51</x:v>
      </x:c>
      <x:c r="G311" s="30" t="n">
        <x:v>-0.010743</x:v>
      </x:c>
    </x:row>
    <x:row r="312">
      <x:c r="A312" s="26" t="n">
        <x:v>45901</x:v>
      </x:c>
      <x:c r="B312" t="str">
        <x:v>G&amp;A</x:v>
      </x:c>
      <x:c r="C312" t="str">
        <x:v>Revenue</x:v>
      </x:c>
      <x:c r="D312" s="28" t="n">
        <x:v>74088</x:v>
      </x:c>
      <x:c r="E312" s="28" t="n">
        <x:v>72049.55</x:v>
      </x:c>
      <x:c r="F312" s="28" t="n">
        <x:v>-2038.45</x:v>
      </x:c>
      <x:c r="G312" s="30" t="n">
        <x:v>-0.027514</x:v>
      </x:c>
    </x:row>
    <x:row r="313">
      <x:c r="A313" s="26" t="n">
        <x:v>45901</x:v>
      </x:c>
      <x:c r="B313" t="str">
        <x:v>G&amp;A</x:v>
      </x:c>
      <x:c r="C313" t="str">
        <x:v>COGS</x:v>
      </x:c>
      <x:c r="D313" s="28" t="n">
        <x:v>31116.96</x:v>
      </x:c>
      <x:c r="E313" s="28" t="n">
        <x:v>32359.43</x:v>
      </x:c>
      <x:c r="F313" s="28" t="n">
        <x:v>1242.47</x:v>
      </x:c>
      <x:c r="G313" s="30" t="n">
        <x:v>0.039929</x:v>
      </x:c>
    </x:row>
    <x:row r="314">
      <x:c r="A314" s="26" t="n">
        <x:v>45901</x:v>
      </x:c>
      <x:c r="B314" t="str">
        <x:v>G&amp;A</x:v>
      </x:c>
      <x:c r="C314" t="str">
        <x:v>Payroll</x:v>
      </x:c>
      <x:c r="D314" s="28" t="n">
        <x:v>56181.6</x:v>
      </x:c>
      <x:c r="E314" s="28" t="n">
        <x:v>57694.2</x:v>
      </x:c>
      <x:c r="F314" s="28" t="n">
        <x:v>1512.6</x:v>
      </x:c>
      <x:c r="G314" s="30" t="n">
        <x:v>0.026923</x:v>
      </x:c>
    </x:row>
    <x:row r="315">
      <x:c r="A315" s="26" t="n">
        <x:v>45901</x:v>
      </x:c>
      <x:c r="B315" t="str">
        <x:v>G&amp;A</x:v>
      </x:c>
      <x:c r="C315" t="str">
        <x:v>Software</x:v>
      </x:c>
      <x:c r="D315" s="28" t="n">
        <x:v>11566.8</x:v>
      </x:c>
      <x:c r="E315" s="28" t="n">
        <x:v>11773.73</x:v>
      </x:c>
      <x:c r="F315" s="28" t="n">
        <x:v>206.93</x:v>
      </x:c>
      <x:c r="G315" s="30" t="n">
        <x:v>0.01789</x:v>
      </x:c>
    </x:row>
    <x:row r="316">
      <x:c r="A316" s="26" t="n">
        <x:v>45901</x:v>
      </x:c>
      <x:c r="B316" t="str">
        <x:v>G&amp;A</x:v>
      </x:c>
      <x:c r="C316" t="str">
        <x:v>Travel</x:v>
      </x:c>
      <x:c r="D316" s="28" t="n">
        <x:v>5140.8</x:v>
      </x:c>
      <x:c r="E316" s="28" t="n">
        <x:v>5241.34</x:v>
      </x:c>
      <x:c r="F316" s="28" t="n">
        <x:v>100.54</x:v>
      </x:c>
      <x:c r="G316" s="30" t="n">
        <x:v>0.019557</x:v>
      </x:c>
    </x:row>
    <x:row r="317">
      <x:c r="A317" s="26" t="n">
        <x:v>45901</x:v>
      </x:c>
      <x:c r="B317" t="str">
        <x:v>G&amp;A</x:v>
      </x:c>
      <x:c r="C317" t="str">
        <x:v>Facilities</x:v>
      </x:c>
      <x:c r="D317" s="28" t="n">
        <x:v>6976.8</x:v>
      </x:c>
      <x:c r="E317" s="28" t="n">
        <x:v>6909.72</x:v>
      </x:c>
      <x:c r="F317" s="28" t="n">
        <x:v>-67.08</x:v>
      </x:c>
      <x:c r="G317" s="30" t="n">
        <x:v>-0.009615</x:v>
      </x:c>
    </x:row>
    <x:row r="318">
      <x:c r="A318" s="26" t="n">
        <x:v>45901</x:v>
      </x:c>
      <x:c r="B318" t="str">
        <x:v>G&amp;A</x:v>
      </x:c>
      <x:c r="C318" t="str">
        <x:v>Other OpEx</x:v>
      </x:c>
      <x:c r="D318" s="28" t="n">
        <x:v>9914.4</x:v>
      </x:c>
      <x:c r="E318" s="28" t="n">
        <x:v>10041.61</x:v>
      </x:c>
      <x:c r="F318" s="28" t="n">
        <x:v>127.21</x:v>
      </x:c>
      <x:c r="G318" s="30" t="n">
        <x:v>0.012831</x:v>
      </x:c>
    </x:row>
    <x:row r="319">
      <x:c r="A319" s="26" t="n">
        <x:v>45931</x:v>
      </x:c>
      <x:c r="B319" t="str">
        <x:v>Sales</x:v>
      </x:c>
      <x:c r="C319" t="str">
        <x:v>Revenue</x:v>
      </x:c>
      <x:c r="D319" s="28" t="n">
        <x:v>480690</x:v>
      </x:c>
      <x:c r="E319" s="28" t="n">
        <x:v>484051.92</x:v>
      </x:c>
      <x:c r="F319" s="28" t="n">
        <x:v>3361.92</x:v>
      </x:c>
      <x:c r="G319" s="30" t="n">
        <x:v>0.006994</x:v>
      </x:c>
    </x:row>
    <x:row r="320">
      <x:c r="A320" s="26" t="n">
        <x:v>45931</x:v>
      </x:c>
      <x:c r="B320" t="str">
        <x:v>Sales</x:v>
      </x:c>
      <x:c r="C320" t="str">
        <x:v>COGS</x:v>
      </x:c>
      <x:c r="D320" s="28" t="n">
        <x:v>201889.8</x:v>
      </x:c>
      <x:c r="E320" s="28" t="n">
        <x:v>211406.48</x:v>
      </x:c>
      <x:c r="F320" s="28" t="n">
        <x:v>9516.68</x:v>
      </x:c>
      <x:c r="G320" s="30" t="n">
        <x:v>0.047138</x:v>
      </x:c>
    </x:row>
    <x:row r="321">
      <x:c r="A321" s="26" t="n">
        <x:v>45931</x:v>
      </x:c>
      <x:c r="B321" t="str">
        <x:v>Sales</x:v>
      </x:c>
      <x:c r="C321" t="str">
        <x:v>Payroll</x:v>
      </x:c>
      <x:c r="D321" s="28" t="n">
        <x:v>56701.8</x:v>
      </x:c>
      <x:c r="E321" s="28" t="n">
        <x:v>60045.84</x:v>
      </x:c>
      <x:c r="F321" s="28" t="n">
        <x:v>3344.04</x:v>
      </x:c>
      <x:c r="G321" s="30" t="n">
        <x:v>0.058976</x:v>
      </x:c>
    </x:row>
    <x:row r="322">
      <x:c r="A322" s="26" t="n">
        <x:v>45931</x:v>
      </x:c>
      <x:c r="B322" t="str">
        <x:v>Sales</x:v>
      </x:c>
      <x:c r="C322" t="str">
        <x:v>Software</x:v>
      </x:c>
      <x:c r="D322" s="28" t="n">
        <x:v>11673.9</x:v>
      </x:c>
      <x:c r="E322" s="28" t="n">
        <x:v>12391.82</x:v>
      </x:c>
      <x:c r="F322" s="28" t="n">
        <x:v>717.92</x:v>
      </x:c>
      <x:c r="G322" s="30" t="n">
        <x:v>0.061498</x:v>
      </x:c>
    </x:row>
    <x:row r="323">
      <x:c r="A323" s="26" t="n">
        <x:v>45931</x:v>
      </x:c>
      <x:c r="B323" t="str">
        <x:v>Sales</x:v>
      </x:c>
      <x:c r="C323" t="str">
        <x:v>Travel</x:v>
      </x:c>
      <x:c r="D323" s="28" t="n">
        <x:v>6226.08</x:v>
      </x:c>
      <x:c r="E323" s="28" t="n">
        <x:v>6587.34</x:v>
      </x:c>
      <x:c r="F323" s="28" t="n">
        <x:v>361.26</x:v>
      </x:c>
      <x:c r="G323" s="30" t="n">
        <x:v>0.058023</x:v>
      </x:c>
    </x:row>
    <x:row r="324">
      <x:c r="A324" s="26" t="n">
        <x:v>45931</x:v>
      </x:c>
      <x:c r="B324" t="str">
        <x:v>Sales</x:v>
      </x:c>
      <x:c r="C324" t="str">
        <x:v>Facilities</x:v>
      </x:c>
      <x:c r="D324" s="28" t="n">
        <x:v>7041.4</x:v>
      </x:c>
      <x:c r="E324" s="28" t="n">
        <x:v>7101.46</x:v>
      </x:c>
      <x:c r="F324" s="28" t="n">
        <x:v>60.06</x:v>
      </x:c>
      <x:c r="G324" s="30" t="n">
        <x:v>0.00853</x:v>
      </x:c>
    </x:row>
    <x:row r="325">
      <x:c r="A325" s="26" t="n">
        <x:v>45931</x:v>
      </x:c>
      <x:c r="B325" t="str">
        <x:v>Sales</x:v>
      </x:c>
      <x:c r="C325" t="str">
        <x:v>Other OpEx</x:v>
      </x:c>
      <x:c r="D325" s="28" t="n">
        <x:v>10006.2</x:v>
      </x:c>
      <x:c r="E325" s="28" t="n">
        <x:v>10020.89</x:v>
      </x:c>
      <x:c r="F325" s="28" t="n">
        <x:v>14.69</x:v>
      </x:c>
      <x:c r="G325" s="30" t="n">
        <x:v>0.001468</x:v>
      </x:c>
    </x:row>
    <x:row r="326">
      <x:c r="A326" s="26" t="n">
        <x:v>45931</x:v>
      </x:c>
      <x:c r="B326" t="str">
        <x:v>Marketing</x:v>
      </x:c>
      <x:c r="C326" t="str">
        <x:v>Revenue</x:v>
      </x:c>
      <x:c r="D326" s="28" t="n">
        <x:v>170912</x:v>
      </x:c>
      <x:c r="E326" s="28" t="n">
        <x:v>167836.44</x:v>
      </x:c>
      <x:c r="F326" s="28" t="n">
        <x:v>-3075.56</x:v>
      </x:c>
      <x:c r="G326" s="30" t="n">
        <x:v>-0.017995</x:v>
      </x:c>
    </x:row>
    <x:row r="327">
      <x:c r="A327" s="26" t="n">
        <x:v>45931</x:v>
      </x:c>
      <x:c r="B327" t="str">
        <x:v>Marketing</x:v>
      </x:c>
      <x:c r="C327" t="str">
        <x:v>COGS</x:v>
      </x:c>
      <x:c r="D327" s="28" t="n">
        <x:v>71783.04</x:v>
      </x:c>
      <x:c r="E327" s="28" t="n">
        <x:v>76535.81</x:v>
      </x:c>
      <x:c r="F327" s="28" t="n">
        <x:v>4752.77</x:v>
      </x:c>
      <x:c r="G327" s="30" t="n">
        <x:v>0.06621</x:v>
      </x:c>
    </x:row>
    <x:row r="328">
      <x:c r="A328" s="26" t="n">
        <x:v>45931</x:v>
      </x:c>
      <x:c r="B328" t="str">
        <x:v>Marketing</x:v>
      </x:c>
      <x:c r="C328" t="str">
        <x:v>Payroll</x:v>
      </x:c>
      <x:c r="D328" s="28" t="n">
        <x:v>56701.8</x:v>
      </x:c>
      <x:c r="E328" s="28" t="n">
        <x:v>60291.07</x:v>
      </x:c>
      <x:c r="F328" s="28" t="n">
        <x:v>3589.27</x:v>
      </x:c>
      <x:c r="G328" s="30" t="n">
        <x:v>0.063301</x:v>
      </x:c>
    </x:row>
    <x:row r="329">
      <x:c r="A329" s="26" t="n">
        <x:v>45931</x:v>
      </x:c>
      <x:c r="B329" t="str">
        <x:v>Marketing</x:v>
      </x:c>
      <x:c r="C329" t="str">
        <x:v>Software</x:v>
      </x:c>
      <x:c r="D329" s="28" t="n">
        <x:v>11673.9</x:v>
      </x:c>
      <x:c r="E329" s="28" t="n">
        <x:v>12303.46</x:v>
      </x:c>
      <x:c r="F329" s="28" t="n">
        <x:v>629.56</x:v>
      </x:c>
      <x:c r="G329" s="30" t="n">
        <x:v>0.053929</x:v>
      </x:c>
    </x:row>
    <x:row r="330">
      <x:c r="A330" s="26" t="n">
        <x:v>45931</x:v>
      </x:c>
      <x:c r="B330" t="str">
        <x:v>Marketing</x:v>
      </x:c>
      <x:c r="C330" t="str">
        <x:v>Travel</x:v>
      </x:c>
      <x:c r="D330" s="28" t="n">
        <x:v>5188.4</x:v>
      </x:c>
      <x:c r="E330" s="28" t="n">
        <x:v>5551.19</x:v>
      </x:c>
      <x:c r="F330" s="28" t="n">
        <x:v>362.79</x:v>
      </x:c>
      <x:c r="G330" s="30" t="n">
        <x:v>0.069923</x:v>
      </x:c>
    </x:row>
    <x:row r="331">
      <x:c r="A331" s="26" t="n">
        <x:v>45931</x:v>
      </x:c>
      <x:c r="B331" t="str">
        <x:v>Marketing</x:v>
      </x:c>
      <x:c r="C331" t="str">
        <x:v>Facilities</x:v>
      </x:c>
      <x:c r="D331" s="28" t="n">
        <x:v>7041.4</x:v>
      </x:c>
      <x:c r="E331" s="28" t="n">
        <x:v>7026.54</x:v>
      </x:c>
      <x:c r="F331" s="28" t="n">
        <x:v>-14.86</x:v>
      </x:c>
      <x:c r="G331" s="30" t="n">
        <x:v>-0.00211</x:v>
      </x:c>
    </x:row>
    <x:row r="332">
      <x:c r="A332" s="26" t="n">
        <x:v>45931</x:v>
      </x:c>
      <x:c r="B332" t="str">
        <x:v>Marketing</x:v>
      </x:c>
      <x:c r="C332" t="str">
        <x:v>Other OpEx</x:v>
      </x:c>
      <x:c r="D332" s="28" t="n">
        <x:v>10006.2</x:v>
      </x:c>
      <x:c r="E332" s="28" t="n">
        <x:v>10261.94</x:v>
      </x:c>
      <x:c r="F332" s="28" t="n">
        <x:v>255.74</x:v>
      </x:c>
      <x:c r="G332" s="30" t="n">
        <x:v>0.025558</x:v>
      </x:c>
    </x:row>
    <x:row r="333">
      <x:c r="A333" s="26" t="n">
        <x:v>45931</x:v>
      </x:c>
      <x:c r="B333" t="str">
        <x:v>R&amp;D</x:v>
      </x:c>
      <x:c r="C333" t="str">
        <x:v>Revenue</x:v>
      </x:c>
      <x:c r="D333" s="28" t="n">
        <x:v>128184</x:v>
      </x:c>
      <x:c r="E333" s="28" t="n">
        <x:v>124361.88</x:v>
      </x:c>
      <x:c r="F333" s="28" t="n">
        <x:v>-3822.12</x:v>
      </x:c>
      <x:c r="G333" s="30" t="n">
        <x:v>-0.029817</x:v>
      </x:c>
    </x:row>
    <x:row r="334">
      <x:c r="A334" s="26" t="n">
        <x:v>45931</x:v>
      </x:c>
      <x:c r="B334" t="str">
        <x:v>R&amp;D</x:v>
      </x:c>
      <x:c r="C334" t="str">
        <x:v>COGS</x:v>
      </x:c>
      <x:c r="D334" s="28" t="n">
        <x:v>53837.28</x:v>
      </x:c>
      <x:c r="E334" s="28" t="n">
        <x:v>57203.78</x:v>
      </x:c>
      <x:c r="F334" s="28" t="n">
        <x:v>3366.5</x:v>
      </x:c>
      <x:c r="G334" s="30" t="n">
        <x:v>0.062531</x:v>
      </x:c>
    </x:row>
    <x:row r="335">
      <x:c r="A335" s="26" t="n">
        <x:v>45931</x:v>
      </x:c>
      <x:c r="B335" t="str">
        <x:v>R&amp;D</x:v>
      </x:c>
      <x:c r="C335" t="str">
        <x:v>Payroll</x:v>
      </x:c>
      <x:c r="D335" s="28" t="n">
        <x:v>79382.52</x:v>
      </x:c>
      <x:c r="E335" s="28" t="n">
        <x:v>86152.16</x:v>
      </x:c>
      <x:c r="F335" s="28" t="n">
        <x:v>6769.64</x:v>
      </x:c>
      <x:c r="G335" s="30" t="n">
        <x:v>0.085279</x:v>
      </x:c>
    </x:row>
    <x:row r="336">
      <x:c r="A336" s="26" t="n">
        <x:v>45931</x:v>
      </x:c>
      <x:c r="B336" t="str">
        <x:v>R&amp;D</x:v>
      </x:c>
      <x:c r="C336" t="str">
        <x:v>Software</x:v>
      </x:c>
      <x:c r="D336" s="28" t="n">
        <x:v>16343.46</x:v>
      </x:c>
      <x:c r="E336" s="28" t="n">
        <x:v>17551.96</x:v>
      </x:c>
      <x:c r="F336" s="28" t="n">
        <x:v>1208.5</x:v>
      </x:c>
      <x:c r="G336" s="30" t="n">
        <x:v>0.073944</x:v>
      </x:c>
    </x:row>
    <x:row r="337">
      <x:c r="A337" s="26" t="n">
        <x:v>45931</x:v>
      </x:c>
      <x:c r="B337" t="str">
        <x:v>R&amp;D</x:v>
      </x:c>
      <x:c r="C337" t="str">
        <x:v>Travel</x:v>
      </x:c>
      <x:c r="D337" s="28" t="n">
        <x:v>5188.4</x:v>
      </x:c>
      <x:c r="E337" s="28" t="n">
        <x:v>5374.85</x:v>
      </x:c>
      <x:c r="F337" s="28" t="n">
        <x:v>186.45</x:v>
      </x:c>
      <x:c r="G337" s="30" t="n">
        <x:v>0.035935</x:v>
      </x:c>
    </x:row>
    <x:row r="338">
      <x:c r="A338" s="26" t="n">
        <x:v>45931</x:v>
      </x:c>
      <x:c r="B338" t="str">
        <x:v>R&amp;D</x:v>
      </x:c>
      <x:c r="C338" t="str">
        <x:v>Facilities</x:v>
      </x:c>
      <x:c r="D338" s="28" t="n">
        <x:v>7041.4</x:v>
      </x:c>
      <x:c r="E338" s="28" t="n">
        <x:v>7049.07</x:v>
      </x:c>
      <x:c r="F338" s="28" t="n">
        <x:v>7.67</x:v>
      </x:c>
      <x:c r="G338" s="30" t="n">
        <x:v>0.001089</x:v>
      </x:c>
    </x:row>
    <x:row r="339">
      <x:c r="A339" s="26" t="n">
        <x:v>45931</x:v>
      </x:c>
      <x:c r="B339" t="str">
        <x:v>R&amp;D</x:v>
      </x:c>
      <x:c r="C339" t="str">
        <x:v>Other OpEx</x:v>
      </x:c>
      <x:c r="D339" s="28" t="n">
        <x:v>10006.2</x:v>
      </x:c>
      <x:c r="E339" s="28" t="n">
        <x:v>10191.71</x:v>
      </x:c>
      <x:c r="F339" s="28" t="n">
        <x:v>185.51</x:v>
      </x:c>
      <x:c r="G339" s="30" t="n">
        <x:v>0.01854</x:v>
      </x:c>
    </x:row>
    <x:row r="340">
      <x:c r="A340" s="26" t="n">
        <x:v>45931</x:v>
      </x:c>
      <x:c r="B340" t="str">
        <x:v>Operations</x:v>
      </x:c>
      <x:c r="C340" t="str">
        <x:v>Revenue</x:v>
      </x:c>
      <x:c r="D340" s="28" t="n">
        <x:v>106820</x:v>
      </x:c>
      <x:c r="E340" s="28" t="n">
        <x:v>104372.42</x:v>
      </x:c>
      <x:c r="F340" s="28" t="n">
        <x:v>-2447.58</x:v>
      </x:c>
      <x:c r="G340" s="30" t="n">
        <x:v>-0.022913</x:v>
      </x:c>
    </x:row>
    <x:row r="341">
      <x:c r="A341" s="26" t="n">
        <x:v>45931</x:v>
      </x:c>
      <x:c r="B341" t="str">
        <x:v>Operations</x:v>
      </x:c>
      <x:c r="C341" t="str">
        <x:v>COGS</x:v>
      </x:c>
      <x:c r="D341" s="28" t="n">
        <x:v>44864.4</x:v>
      </x:c>
      <x:c r="E341" s="28" t="n">
        <x:v>44757.23</x:v>
      </x:c>
      <x:c r="F341" s="28" t="n">
        <x:v>-107.17</x:v>
      </x:c>
      <x:c r="G341" s="30" t="n">
        <x:v>-0.002389</x:v>
      </x:c>
    </x:row>
    <x:row r="342">
      <x:c r="A342" s="26" t="n">
        <x:v>45931</x:v>
      </x:c>
      <x:c r="B342" t="str">
        <x:v>Operations</x:v>
      </x:c>
      <x:c r="C342" t="str">
        <x:v>Payroll</x:v>
      </x:c>
      <x:c r="D342" s="28" t="n">
        <x:v>56701.8</x:v>
      </x:c>
      <x:c r="E342" s="28" t="n">
        <x:v>55969.64</x:v>
      </x:c>
      <x:c r="F342" s="28" t="n">
        <x:v>-732.16</x:v>
      </x:c>
      <x:c r="G342" s="30" t="n">
        <x:v>-0.012913</x:v>
      </x:c>
    </x:row>
    <x:row r="343">
      <x:c r="A343" s="26" t="n">
        <x:v>45931</x:v>
      </x:c>
      <x:c r="B343" t="str">
        <x:v>Operations</x:v>
      </x:c>
      <x:c r="C343" t="str">
        <x:v>Software</x:v>
      </x:c>
      <x:c r="D343" s="28" t="n">
        <x:v>11673.9</x:v>
      </x:c>
      <x:c r="E343" s="28" t="n">
        <x:v>11497.76</x:v>
      </x:c>
      <x:c r="F343" s="28" t="n">
        <x:v>-176.14</x:v>
      </x:c>
      <x:c r="G343" s="30" t="n">
        <x:v>-0.015088</x:v>
      </x:c>
    </x:row>
    <x:row r="344">
      <x:c r="A344" s="26" t="n">
        <x:v>45931</x:v>
      </x:c>
      <x:c r="B344" t="str">
        <x:v>Operations</x:v>
      </x:c>
      <x:c r="C344" t="str">
        <x:v>Travel</x:v>
      </x:c>
      <x:c r="D344" s="28" t="n">
        <x:v>5188.4</x:v>
      </x:c>
      <x:c r="E344" s="28" t="n">
        <x:v>5166.56</x:v>
      </x:c>
      <x:c r="F344" s="28" t="n">
        <x:v>-21.84</x:v>
      </x:c>
      <x:c r="G344" s="30" t="n">
        <x:v>-0.00421</x:v>
      </x:c>
    </x:row>
    <x:row r="345">
      <x:c r="A345" s="26" t="n">
        <x:v>45931</x:v>
      </x:c>
      <x:c r="B345" t="str">
        <x:v>Operations</x:v>
      </x:c>
      <x:c r="C345" t="str">
        <x:v>Facilities</x:v>
      </x:c>
      <x:c r="D345" s="28" t="n">
        <x:v>7041.4</x:v>
      </x:c>
      <x:c r="E345" s="28" t="n">
        <x:v>6868.64</x:v>
      </x:c>
      <x:c r="F345" s="28" t="n">
        <x:v>-172.76</x:v>
      </x:c>
      <x:c r="G345" s="30" t="n">
        <x:v>-0.024535</x:v>
      </x:c>
    </x:row>
    <x:row r="346">
      <x:c r="A346" s="26" t="n">
        <x:v>45931</x:v>
      </x:c>
      <x:c r="B346" t="str">
        <x:v>Operations</x:v>
      </x:c>
      <x:c r="C346" t="str">
        <x:v>Other OpEx</x:v>
      </x:c>
      <x:c r="D346" s="28" t="n">
        <x:v>10006.2</x:v>
      </x:c>
      <x:c r="E346" s="28" t="n">
        <x:v>10044.08</x:v>
      </x:c>
      <x:c r="F346" s="28" t="n">
        <x:v>37.88</x:v>
      </x:c>
      <x:c r="G346" s="30" t="n">
        <x:v>0.003785</x:v>
      </x:c>
    </x:row>
    <x:row r="347">
      <x:c r="A347" s="26" t="n">
        <x:v>45931</x:v>
      </x:c>
      <x:c r="B347" t="str">
        <x:v>G&amp;A</x:v>
      </x:c>
      <x:c r="C347" t="str">
        <x:v>Revenue</x:v>
      </x:c>
      <x:c r="D347" s="28" t="n">
        <x:v>74774</x:v>
      </x:c>
      <x:c r="E347" s="28" t="n">
        <x:v>74734.42</x:v>
      </x:c>
      <x:c r="F347" s="28" t="n">
        <x:v>-39.58</x:v>
      </x:c>
      <x:c r="G347" s="30" t="n">
        <x:v>-0.000529</x:v>
      </x:c>
    </x:row>
    <x:row r="348">
      <x:c r="A348" s="26" t="n">
        <x:v>45931</x:v>
      </x:c>
      <x:c r="B348" t="str">
        <x:v>G&amp;A</x:v>
      </x:c>
      <x:c r="C348" t="str">
        <x:v>COGS</x:v>
      </x:c>
      <x:c r="D348" s="28" t="n">
        <x:v>31405.08</x:v>
      </x:c>
      <x:c r="E348" s="28" t="n">
        <x:v>30958.49</x:v>
      </x:c>
      <x:c r="F348" s="28" t="n">
        <x:v>-446.59</x:v>
      </x:c>
      <x:c r="G348" s="30" t="n">
        <x:v>-0.01422</x:v>
      </x:c>
    </x:row>
    <x:row r="349">
      <x:c r="A349" s="26" t="n">
        <x:v>45931</x:v>
      </x:c>
      <x:c r="B349" t="str">
        <x:v>G&amp;A</x:v>
      </x:c>
      <x:c r="C349" t="str">
        <x:v>Payroll</x:v>
      </x:c>
      <x:c r="D349" s="28" t="n">
        <x:v>56701.8</x:v>
      </x:c>
      <x:c r="E349" s="28" t="n">
        <x:v>55965.12</x:v>
      </x:c>
      <x:c r="F349" s="28" t="n">
        <x:v>-736.68</x:v>
      </x:c>
      <x:c r="G349" s="30" t="n">
        <x:v>-0.012992</x:v>
      </x:c>
    </x:row>
    <x:row r="350">
      <x:c r="A350" s="26" t="n">
        <x:v>45931</x:v>
      </x:c>
      <x:c r="B350" t="str">
        <x:v>G&amp;A</x:v>
      </x:c>
      <x:c r="C350" t="str">
        <x:v>Software</x:v>
      </x:c>
      <x:c r="D350" s="28" t="n">
        <x:v>11673.9</x:v>
      </x:c>
      <x:c r="E350" s="28" t="n">
        <x:v>11668.73</x:v>
      </x:c>
      <x:c r="F350" s="28" t="n">
        <x:v>-5.17</x:v>
      </x:c>
      <x:c r="G350" s="30" t="n">
        <x:v>-0.000443</x:v>
      </x:c>
    </x:row>
    <x:row r="351">
      <x:c r="A351" s="26" t="n">
        <x:v>45931</x:v>
      </x:c>
      <x:c r="B351" t="str">
        <x:v>G&amp;A</x:v>
      </x:c>
      <x:c r="C351" t="str">
        <x:v>Travel</x:v>
      </x:c>
      <x:c r="D351" s="28" t="n">
        <x:v>5188.4</x:v>
      </x:c>
      <x:c r="E351" s="28" t="n">
        <x:v>5311.84</x:v>
      </x:c>
      <x:c r="F351" s="28" t="n">
        <x:v>123.44</x:v>
      </x:c>
      <x:c r="G351" s="30" t="n">
        <x:v>0.023791</x:v>
      </x:c>
    </x:row>
    <x:row r="352">
      <x:c r="A352" s="26" t="n">
        <x:v>45931</x:v>
      </x:c>
      <x:c r="B352" t="str">
        <x:v>G&amp;A</x:v>
      </x:c>
      <x:c r="C352" t="str">
        <x:v>Facilities</x:v>
      </x:c>
      <x:c r="D352" s="28" t="n">
        <x:v>7041.4</x:v>
      </x:c>
      <x:c r="E352" s="28" t="n">
        <x:v>7122.44</x:v>
      </x:c>
      <x:c r="F352" s="28" t="n">
        <x:v>81.04</x:v>
      </x:c>
      <x:c r="G352" s="30" t="n">
        <x:v>0.011509</x:v>
      </x:c>
    </x:row>
    <x:row r="353">
      <x:c r="A353" s="26" t="n">
        <x:v>45931</x:v>
      </x:c>
      <x:c r="B353" t="str">
        <x:v>G&amp;A</x:v>
      </x:c>
      <x:c r="C353" t="str">
        <x:v>Other OpEx</x:v>
      </x:c>
      <x:c r="D353" s="28" t="n">
        <x:v>10006.2</x:v>
      </x:c>
      <x:c r="E353" s="28" t="n">
        <x:v>10408.39</x:v>
      </x:c>
      <x:c r="F353" s="28" t="n">
        <x:v>402.19</x:v>
      </x:c>
      <x:c r="G353" s="30" t="n">
        <x:v>0.040194</x:v>
      </x:c>
    </x:row>
    <x:row r="354">
      <x:c r="A354" s="26" t="n">
        <x:v>45962</x:v>
      </x:c>
      <x:c r="B354" t="str">
        <x:v>Sales</x:v>
      </x:c>
      <x:c r="C354" t="str">
        <x:v>Revenue</x:v>
      </x:c>
      <x:c r="D354" s="28" t="n">
        <x:v>485100</x:v>
      </x:c>
      <x:c r="E354" s="28" t="n">
        <x:v>473363.89</x:v>
      </x:c>
      <x:c r="F354" s="28" t="n">
        <x:v>-11736.11</x:v>
      </x:c>
      <x:c r="G354" s="30" t="n">
        <x:v>-0.024193</x:v>
      </x:c>
    </x:row>
    <x:row r="355">
      <x:c r="A355" s="26" t="n">
        <x:v>45962</x:v>
      </x:c>
      <x:c r="B355" t="str">
        <x:v>Sales</x:v>
      </x:c>
      <x:c r="C355" t="str">
        <x:v>COGS</x:v>
      </x:c>
      <x:c r="D355" s="28" t="n">
        <x:v>203742</x:v>
      </x:c>
      <x:c r="E355" s="28" t="n">
        <x:v>212804.02</x:v>
      </x:c>
      <x:c r="F355" s="28" t="n">
        <x:v>9062.02</x:v>
      </x:c>
      <x:c r="G355" s="30" t="n">
        <x:v>0.044478</x:v>
      </x:c>
    </x:row>
    <x:row r="356">
      <x:c r="A356" s="26" t="n">
        <x:v>45962</x:v>
      </x:c>
      <x:c r="B356" t="str">
        <x:v>Sales</x:v>
      </x:c>
      <x:c r="C356" t="str">
        <x:v>Payroll</x:v>
      </x:c>
      <x:c r="D356" s="28" t="n">
        <x:v>57222</x:v>
      </x:c>
      <x:c r="E356" s="28" t="n">
        <x:v>59202.41</x:v>
      </x:c>
      <x:c r="F356" s="28" t="n">
        <x:v>1980.41</x:v>
      </x:c>
      <x:c r="G356" s="30" t="n">
        <x:v>0.034609</x:v>
      </x:c>
    </x:row>
    <x:row r="357">
      <x:c r="A357" s="26" t="n">
        <x:v>45962</x:v>
      </x:c>
      <x:c r="B357" t="str">
        <x:v>Sales</x:v>
      </x:c>
      <x:c r="C357" t="str">
        <x:v>Software</x:v>
      </x:c>
      <x:c r="D357" s="28" t="n">
        <x:v>11781</x:v>
      </x:c>
      <x:c r="E357" s="28" t="n">
        <x:v>12047.38</x:v>
      </x:c>
      <x:c r="F357" s="28" t="n">
        <x:v>266.38</x:v>
      </x:c>
      <x:c r="G357" s="30" t="n">
        <x:v>0.022611</x:v>
      </x:c>
    </x:row>
    <x:row r="358">
      <x:c r="A358" s="26" t="n">
        <x:v>45962</x:v>
      </x:c>
      <x:c r="B358" t="str">
        <x:v>Sales</x:v>
      </x:c>
      <x:c r="C358" t="str">
        <x:v>Travel</x:v>
      </x:c>
      <x:c r="D358" s="28" t="n">
        <x:v>6283.2</x:v>
      </x:c>
      <x:c r="E358" s="28" t="n">
        <x:v>6384.28</x:v>
      </x:c>
      <x:c r="F358" s="28" t="n">
        <x:v>101.08</x:v>
      </x:c>
      <x:c r="G358" s="30" t="n">
        <x:v>0.016088</x:v>
      </x:c>
    </x:row>
    <x:row r="359">
      <x:c r="A359" s="26" t="n">
        <x:v>45962</x:v>
      </x:c>
      <x:c r="B359" t="str">
        <x:v>Sales</x:v>
      </x:c>
      <x:c r="C359" t="str">
        <x:v>Facilities</x:v>
      </x:c>
      <x:c r="D359" s="28" t="n">
        <x:v>7106</x:v>
      </x:c>
      <x:c r="E359" s="28" t="n">
        <x:v>6934.83</x:v>
      </x:c>
      <x:c r="F359" s="28" t="n">
        <x:v>-171.17</x:v>
      </x:c>
      <x:c r="G359" s="30" t="n">
        <x:v>-0.024089</x:v>
      </x:c>
    </x:row>
    <x:row r="360">
      <x:c r="A360" s="26" t="n">
        <x:v>45962</x:v>
      </x:c>
      <x:c r="B360" t="str">
        <x:v>Sales</x:v>
      </x:c>
      <x:c r="C360" t="str">
        <x:v>Other OpEx</x:v>
      </x:c>
      <x:c r="D360" s="28" t="n">
        <x:v>10098</x:v>
      </x:c>
      <x:c r="E360" s="28" t="n">
        <x:v>9974.71</x:v>
      </x:c>
      <x:c r="F360" s="28" t="n">
        <x:v>-123.29</x:v>
      </x:c>
      <x:c r="G360" s="30" t="n">
        <x:v>-0.01221</x:v>
      </x:c>
    </x:row>
    <x:row r="361">
      <x:c r="A361" s="26" t="n">
        <x:v>45962</x:v>
      </x:c>
      <x:c r="B361" t="str">
        <x:v>Marketing</x:v>
      </x:c>
      <x:c r="C361" t="str">
        <x:v>Revenue</x:v>
      </x:c>
      <x:c r="D361" s="28" t="n">
        <x:v>172480</x:v>
      </x:c>
      <x:c r="E361" s="28" t="n">
        <x:v>167387.7</x:v>
      </x:c>
      <x:c r="F361" s="28" t="n">
        <x:v>-5092.3</x:v>
      </x:c>
      <x:c r="G361" s="30" t="n">
        <x:v>-0.029524</x:v>
      </x:c>
    </x:row>
    <x:row r="362">
      <x:c r="A362" s="26" t="n">
        <x:v>45962</x:v>
      </x:c>
      <x:c r="B362" t="str">
        <x:v>Marketing</x:v>
      </x:c>
      <x:c r="C362" t="str">
        <x:v>COGS</x:v>
      </x:c>
      <x:c r="D362" s="28" t="n">
        <x:v>72441.6</x:v>
      </x:c>
      <x:c r="E362" s="28" t="n">
        <x:v>74906.61</x:v>
      </x:c>
      <x:c r="F362" s="28" t="n">
        <x:v>2465.01</x:v>
      </x:c>
      <x:c r="G362" s="30" t="n">
        <x:v>0.034028</x:v>
      </x:c>
    </x:row>
    <x:row r="363">
      <x:c r="A363" s="26" t="n">
        <x:v>45962</x:v>
      </x:c>
      <x:c r="B363" t="str">
        <x:v>Marketing</x:v>
      </x:c>
      <x:c r="C363" t="str">
        <x:v>Payroll</x:v>
      </x:c>
      <x:c r="D363" s="28" t="n">
        <x:v>57222</x:v>
      </x:c>
      <x:c r="E363" s="28" t="n">
        <x:v>58450.28</x:v>
      </x:c>
      <x:c r="F363" s="28" t="n">
        <x:v>1228.28</x:v>
      </x:c>
      <x:c r="G363" s="30" t="n">
        <x:v>0.021465</x:v>
      </x:c>
    </x:row>
    <x:row r="364">
      <x:c r="A364" s="26" t="n">
        <x:v>45962</x:v>
      </x:c>
      <x:c r="B364" t="str">
        <x:v>Marketing</x:v>
      </x:c>
      <x:c r="C364" t="str">
        <x:v>Software</x:v>
      </x:c>
      <x:c r="D364" s="28" t="n">
        <x:v>11781</x:v>
      </x:c>
      <x:c r="E364" s="28" t="n">
        <x:v>11955.12</x:v>
      </x:c>
      <x:c r="F364" s="28" t="n">
        <x:v>174.12</x:v>
      </x:c>
      <x:c r="G364" s="30" t="n">
        <x:v>0.01478</x:v>
      </x:c>
    </x:row>
    <x:row r="365">
      <x:c r="A365" s="26" t="n">
        <x:v>45962</x:v>
      </x:c>
      <x:c r="B365" t="str">
        <x:v>Marketing</x:v>
      </x:c>
      <x:c r="C365" t="str">
        <x:v>Travel</x:v>
      </x:c>
      <x:c r="D365" s="28" t="n">
        <x:v>5236</x:v>
      </x:c>
      <x:c r="E365" s="28" t="n">
        <x:v>5471.66</x:v>
      </x:c>
      <x:c r="F365" s="28" t="n">
        <x:v>235.66</x:v>
      </x:c>
      <x:c r="G365" s="30" t="n">
        <x:v>0.045008</x:v>
      </x:c>
    </x:row>
    <x:row r="366">
      <x:c r="A366" s="26" t="n">
        <x:v>45962</x:v>
      </x:c>
      <x:c r="B366" t="str">
        <x:v>Marketing</x:v>
      </x:c>
      <x:c r="C366" t="str">
        <x:v>Facilities</x:v>
      </x:c>
      <x:c r="D366" s="28" t="n">
        <x:v>7106</x:v>
      </x:c>
      <x:c r="E366" s="28" t="n">
        <x:v>7067.32</x:v>
      </x:c>
      <x:c r="F366" s="28" t="n">
        <x:v>-38.68</x:v>
      </x:c>
      <x:c r="G366" s="30" t="n">
        <x:v>-0.005443</x:v>
      </x:c>
    </x:row>
    <x:row r="367">
      <x:c r="A367" s="26" t="n">
        <x:v>45962</x:v>
      </x:c>
      <x:c r="B367" t="str">
        <x:v>Marketing</x:v>
      </x:c>
      <x:c r="C367" t="str">
        <x:v>Other OpEx</x:v>
      </x:c>
      <x:c r="D367" s="28" t="n">
        <x:v>10098</x:v>
      </x:c>
      <x:c r="E367" s="28" t="n">
        <x:v>10550.29</x:v>
      </x:c>
      <x:c r="F367" s="28" t="n">
        <x:v>452.29</x:v>
      </x:c>
      <x:c r="G367" s="30" t="n">
        <x:v>0.04479</x:v>
      </x:c>
    </x:row>
    <x:row r="368">
      <x:c r="A368" s="26" t="n">
        <x:v>45962</x:v>
      </x:c>
      <x:c r="B368" t="str">
        <x:v>R&amp;D</x:v>
      </x:c>
      <x:c r="C368" t="str">
        <x:v>Revenue</x:v>
      </x:c>
      <x:c r="D368" s="28" t="n">
        <x:v>129360</x:v>
      </x:c>
      <x:c r="E368" s="28" t="n">
        <x:v>127255.82</x:v>
      </x:c>
      <x:c r="F368" s="28" t="n">
        <x:v>-2104.18</x:v>
      </x:c>
      <x:c r="G368" s="30" t="n">
        <x:v>-0.016266</x:v>
      </x:c>
    </x:row>
    <x:row r="369">
      <x:c r="A369" s="26" t="n">
        <x:v>45962</x:v>
      </x:c>
      <x:c r="B369" t="str">
        <x:v>R&amp;D</x:v>
      </x:c>
      <x:c r="C369" t="str">
        <x:v>COGS</x:v>
      </x:c>
      <x:c r="D369" s="28" t="n">
        <x:v>54331.2</x:v>
      </x:c>
      <x:c r="E369" s="28" t="n">
        <x:v>55436.69</x:v>
      </x:c>
      <x:c r="F369" s="28" t="n">
        <x:v>1105.49</x:v>
      </x:c>
      <x:c r="G369" s="30" t="n">
        <x:v>0.020347</x:v>
      </x:c>
    </x:row>
    <x:row r="370">
      <x:c r="A370" s="26" t="n">
        <x:v>45962</x:v>
      </x:c>
      <x:c r="B370" t="str">
        <x:v>R&amp;D</x:v>
      </x:c>
      <x:c r="C370" t="str">
        <x:v>Payroll</x:v>
      </x:c>
      <x:c r="D370" s="28" t="n">
        <x:v>80110.8</x:v>
      </x:c>
      <x:c r="E370" s="28" t="n">
        <x:v>84224.58</x:v>
      </x:c>
      <x:c r="F370" s="28" t="n">
        <x:v>4113.78</x:v>
      </x:c>
      <x:c r="G370" s="30" t="n">
        <x:v>0.051351</x:v>
      </x:c>
    </x:row>
    <x:row r="371">
      <x:c r="A371" s="26" t="n">
        <x:v>45962</x:v>
      </x:c>
      <x:c r="B371" t="str">
        <x:v>R&amp;D</x:v>
      </x:c>
      <x:c r="C371" t="str">
        <x:v>Software</x:v>
      </x:c>
      <x:c r="D371" s="28" t="n">
        <x:v>16493.4</x:v>
      </x:c>
      <x:c r="E371" s="28" t="n">
        <x:v>17454.63</x:v>
      </x:c>
      <x:c r="F371" s="28" t="n">
        <x:v>961.23</x:v>
      </x:c>
      <x:c r="G371" s="30" t="n">
        <x:v>0.05828</x:v>
      </x:c>
    </x:row>
    <x:row r="372">
      <x:c r="A372" s="26" t="n">
        <x:v>45962</x:v>
      </x:c>
      <x:c r="B372" t="str">
        <x:v>R&amp;D</x:v>
      </x:c>
      <x:c r="C372" t="str">
        <x:v>Travel</x:v>
      </x:c>
      <x:c r="D372" s="28" t="n">
        <x:v>5236</x:v>
      </x:c>
      <x:c r="E372" s="28" t="n">
        <x:v>5461.96</x:v>
      </x:c>
      <x:c r="F372" s="28" t="n">
        <x:v>225.96</x:v>
      </x:c>
      <x:c r="G372" s="30" t="n">
        <x:v>0.043154</x:v>
      </x:c>
    </x:row>
    <x:row r="373">
      <x:c r="A373" s="26" t="n">
        <x:v>45962</x:v>
      </x:c>
      <x:c r="B373" t="str">
        <x:v>R&amp;D</x:v>
      </x:c>
      <x:c r="C373" t="str">
        <x:v>Facilities</x:v>
      </x:c>
      <x:c r="D373" s="28" t="n">
        <x:v>7106</x:v>
      </x:c>
      <x:c r="E373" s="28" t="n">
        <x:v>7312.52</x:v>
      </x:c>
      <x:c r="F373" s="28" t="n">
        <x:v>206.52</x:v>
      </x:c>
      <x:c r="G373" s="30" t="n">
        <x:v>0.029062</x:v>
      </x:c>
    </x:row>
    <x:row r="374">
      <x:c r="A374" s="26" t="n">
        <x:v>45962</x:v>
      </x:c>
      <x:c r="B374" t="str">
        <x:v>R&amp;D</x:v>
      </x:c>
      <x:c r="C374" t="str">
        <x:v>Other OpEx</x:v>
      </x:c>
      <x:c r="D374" s="28" t="n">
        <x:v>10098</x:v>
      </x:c>
      <x:c r="E374" s="28" t="n">
        <x:v>10693.94</x:v>
      </x:c>
      <x:c r="F374" s="28" t="n">
        <x:v>595.94</x:v>
      </x:c>
      <x:c r="G374" s="30" t="n">
        <x:v>0.059016</x:v>
      </x:c>
    </x:row>
    <x:row r="375">
      <x:c r="A375" s="26" t="n">
        <x:v>45962</x:v>
      </x:c>
      <x:c r="B375" t="str">
        <x:v>Operations</x:v>
      </x:c>
      <x:c r="C375" t="str">
        <x:v>Revenue</x:v>
      </x:c>
      <x:c r="D375" s="28" t="n">
        <x:v>107800</x:v>
      </x:c>
      <x:c r="E375" s="28" t="n">
        <x:v>108807.41</x:v>
      </x:c>
      <x:c r="F375" s="28" t="n">
        <x:v>1007.41</x:v>
      </x:c>
      <x:c r="G375" s="30" t="n">
        <x:v>0.009345</x:v>
      </x:c>
    </x:row>
    <x:row r="376">
      <x:c r="A376" s="26" t="n">
        <x:v>45962</x:v>
      </x:c>
      <x:c r="B376" t="str">
        <x:v>Operations</x:v>
      </x:c>
      <x:c r="C376" t="str">
        <x:v>COGS</x:v>
      </x:c>
      <x:c r="D376" s="28" t="n">
        <x:v>45276</x:v>
      </x:c>
      <x:c r="E376" s="28" t="n">
        <x:v>43963.65</x:v>
      </x:c>
      <x:c r="F376" s="28" t="n">
        <x:v>-1312.35</x:v>
      </x:c>
      <x:c r="G376" s="30" t="n">
        <x:v>-0.028986</x:v>
      </x:c>
    </x:row>
    <x:row r="377">
      <x:c r="A377" s="26" t="n">
        <x:v>45962</x:v>
      </x:c>
      <x:c r="B377" t="str">
        <x:v>Operations</x:v>
      </x:c>
      <x:c r="C377" t="str">
        <x:v>Payroll</x:v>
      </x:c>
      <x:c r="D377" s="28" t="n">
        <x:v>57222</x:v>
      </x:c>
      <x:c r="E377" s="28" t="n">
        <x:v>56171.86</x:v>
      </x:c>
      <x:c r="F377" s="28" t="n">
        <x:v>-1050.14</x:v>
      </x:c>
      <x:c r="G377" s="30" t="n">
        <x:v>-0.018352</x:v>
      </x:c>
    </x:row>
    <x:row r="378">
      <x:c r="A378" s="26" t="n">
        <x:v>45962</x:v>
      </x:c>
      <x:c r="B378" t="str">
        <x:v>Operations</x:v>
      </x:c>
      <x:c r="C378" t="str">
        <x:v>Software</x:v>
      </x:c>
      <x:c r="D378" s="28" t="n">
        <x:v>11781</x:v>
      </x:c>
      <x:c r="E378" s="28" t="n">
        <x:v>11807.32</x:v>
      </x:c>
      <x:c r="F378" s="28" t="n">
        <x:v>26.32</x:v>
      </x:c>
      <x:c r="G378" s="30" t="n">
        <x:v>0.002234</x:v>
      </x:c>
    </x:row>
    <x:row r="379">
      <x:c r="A379" s="26" t="n">
        <x:v>45962</x:v>
      </x:c>
      <x:c r="B379" t="str">
        <x:v>Operations</x:v>
      </x:c>
      <x:c r="C379" t="str">
        <x:v>Travel</x:v>
      </x:c>
      <x:c r="D379" s="28" t="n">
        <x:v>5236</x:v>
      </x:c>
      <x:c r="E379" s="28" t="n">
        <x:v>5397.08</x:v>
      </x:c>
      <x:c r="F379" s="28" t="n">
        <x:v>161.08</x:v>
      </x:c>
      <x:c r="G379" s="30" t="n">
        <x:v>0.030765</x:v>
      </x:c>
    </x:row>
    <x:row r="380">
      <x:c r="A380" s="26" t="n">
        <x:v>45962</x:v>
      </x:c>
      <x:c r="B380" t="str">
        <x:v>Operations</x:v>
      </x:c>
      <x:c r="C380" t="str">
        <x:v>Facilities</x:v>
      </x:c>
      <x:c r="D380" s="28" t="n">
        <x:v>7106</x:v>
      </x:c>
      <x:c r="E380" s="28" t="n">
        <x:v>7232.31</x:v>
      </x:c>
      <x:c r="F380" s="28" t="n">
        <x:v>126.31</x:v>
      </x:c>
      <x:c r="G380" s="30" t="n">
        <x:v>0.017775</x:v>
      </x:c>
    </x:row>
    <x:row r="381">
      <x:c r="A381" s="26" t="n">
        <x:v>45962</x:v>
      </x:c>
      <x:c r="B381" t="str">
        <x:v>Operations</x:v>
      </x:c>
      <x:c r="C381" t="str">
        <x:v>Other OpEx</x:v>
      </x:c>
      <x:c r="D381" s="28" t="n">
        <x:v>10098</x:v>
      </x:c>
      <x:c r="E381" s="28" t="n">
        <x:v>10511.54</x:v>
      </x:c>
      <x:c r="F381" s="28" t="n">
        <x:v>413.54</x:v>
      </x:c>
      <x:c r="G381" s="30" t="n">
        <x:v>0.040953</x:v>
      </x:c>
    </x:row>
    <x:row r="382">
      <x:c r="A382" s="26" t="n">
        <x:v>45962</x:v>
      </x:c>
      <x:c r="B382" t="str">
        <x:v>G&amp;A</x:v>
      </x:c>
      <x:c r="C382" t="str">
        <x:v>Revenue</x:v>
      </x:c>
      <x:c r="D382" s="28" t="n">
        <x:v>75460</x:v>
      </x:c>
      <x:c r="E382" s="28" t="n">
        <x:v>78121.05</x:v>
      </x:c>
      <x:c r="F382" s="28" t="n">
        <x:v>2661.05</x:v>
      </x:c>
      <x:c r="G382" s="30" t="n">
        <x:v>0.035264</x:v>
      </x:c>
    </x:row>
    <x:row r="383">
      <x:c r="A383" s="26" t="n">
        <x:v>45962</x:v>
      </x:c>
      <x:c r="B383" t="str">
        <x:v>G&amp;A</x:v>
      </x:c>
      <x:c r="C383" t="str">
        <x:v>COGS</x:v>
      </x:c>
      <x:c r="D383" s="28" t="n">
        <x:v>31693.2</x:v>
      </x:c>
      <x:c r="E383" s="28" t="n">
        <x:v>31404.9</x:v>
      </x:c>
      <x:c r="F383" s="28" t="n">
        <x:v>-288.3</x:v>
      </x:c>
      <x:c r="G383" s="30" t="n">
        <x:v>-0.009097</x:v>
      </x:c>
    </x:row>
    <x:row r="384">
      <x:c r="A384" s="26" t="n">
        <x:v>45962</x:v>
      </x:c>
      <x:c r="B384" t="str">
        <x:v>G&amp;A</x:v>
      </x:c>
      <x:c r="C384" t="str">
        <x:v>Payroll</x:v>
      </x:c>
      <x:c r="D384" s="28" t="n">
        <x:v>57222</x:v>
      </x:c>
      <x:c r="E384" s="28" t="n">
        <x:v>57986.25</x:v>
      </x:c>
      <x:c r="F384" s="28" t="n">
        <x:v>764.25</x:v>
      </x:c>
      <x:c r="G384" s="30" t="n">
        <x:v>0.013356</x:v>
      </x:c>
    </x:row>
    <x:row r="385">
      <x:c r="A385" s="26" t="n">
        <x:v>45962</x:v>
      </x:c>
      <x:c r="B385" t="str">
        <x:v>G&amp;A</x:v>
      </x:c>
      <x:c r="C385" t="str">
        <x:v>Software</x:v>
      </x:c>
      <x:c r="D385" s="28" t="n">
        <x:v>11781</x:v>
      </x:c>
      <x:c r="E385" s="28" t="n">
        <x:v>12244.67</x:v>
      </x:c>
      <x:c r="F385" s="28" t="n">
        <x:v>463.67</x:v>
      </x:c>
      <x:c r="G385" s="30" t="n">
        <x:v>0.039358</x:v>
      </x:c>
    </x:row>
    <x:row r="386">
      <x:c r="A386" s="26" t="n">
        <x:v>45962</x:v>
      </x:c>
      <x:c r="B386" t="str">
        <x:v>G&amp;A</x:v>
      </x:c>
      <x:c r="C386" t="str">
        <x:v>Travel</x:v>
      </x:c>
      <x:c r="D386" s="28" t="n">
        <x:v>5236</x:v>
      </x:c>
      <x:c r="E386" s="28" t="n">
        <x:v>5577.94</x:v>
      </x:c>
      <x:c r="F386" s="28" t="n">
        <x:v>341.94</x:v>
      </x:c>
      <x:c r="G386" s="30" t="n">
        <x:v>0.065305</x:v>
      </x:c>
    </x:row>
    <x:row r="387">
      <x:c r="A387" s="26" t="n">
        <x:v>45962</x:v>
      </x:c>
      <x:c r="B387" t="str">
        <x:v>G&amp;A</x:v>
      </x:c>
      <x:c r="C387" t="str">
        <x:v>Facilities</x:v>
      </x:c>
      <x:c r="D387" s="28" t="n">
        <x:v>7106</x:v>
      </x:c>
      <x:c r="E387" s="28" t="n">
        <x:v>7407.95</x:v>
      </x:c>
      <x:c r="F387" s="28" t="n">
        <x:v>301.95</x:v>
      </x:c>
      <x:c r="G387" s="30" t="n">
        <x:v>0.042493</x:v>
      </x:c>
    </x:row>
    <x:row r="388">
      <x:c r="A388" s="26" t="n">
        <x:v>45962</x:v>
      </x:c>
      <x:c r="B388" t="str">
        <x:v>G&amp;A</x:v>
      </x:c>
      <x:c r="C388" t="str">
        <x:v>Other OpEx</x:v>
      </x:c>
      <x:c r="D388" s="28" t="n">
        <x:v>10098</x:v>
      </x:c>
      <x:c r="E388" s="28" t="n">
        <x:v>10618.12</x:v>
      </x:c>
      <x:c r="F388" s="28" t="n">
        <x:v>520.12</x:v>
      </x:c>
      <x:c r="G388" s="30" t="n">
        <x:v>0.051508</x:v>
      </x:c>
    </x:row>
    <x:row r="389">
      <x:c r="A389" s="26" t="n">
        <x:v>45992</x:v>
      </x:c>
      <x:c r="B389" t="str">
        <x:v>Sales</x:v>
      </x:c>
      <x:c r="C389" t="str">
        <x:v>Revenue</x:v>
      </x:c>
      <x:c r="D389" s="28" t="n">
        <x:v>489510</x:v>
      </x:c>
      <x:c r="E389" s="28" t="n">
        <x:v>476404.28</x:v>
      </x:c>
      <x:c r="F389" s="28" t="n">
        <x:v>-13105.72</x:v>
      </x:c>
      <x:c r="G389" s="30" t="n">
        <x:v>-0.026773</x:v>
      </x:c>
    </x:row>
    <x:row r="390">
      <x:c r="A390" s="26" t="n">
        <x:v>45992</x:v>
      </x:c>
      <x:c r="B390" t="str">
        <x:v>Sales</x:v>
      </x:c>
      <x:c r="C390" t="str">
        <x:v>COGS</x:v>
      </x:c>
      <x:c r="D390" s="28" t="n">
        <x:v>205594.2</x:v>
      </x:c>
      <x:c r="E390" s="28" t="n">
        <x:v>209300.58</x:v>
      </x:c>
      <x:c r="F390" s="28" t="n">
        <x:v>3706.38</x:v>
      </x:c>
      <x:c r="G390" s="30" t="n">
        <x:v>0.018028</x:v>
      </x:c>
    </x:row>
    <x:row r="391">
      <x:c r="A391" s="26" t="n">
        <x:v>45992</x:v>
      </x:c>
      <x:c r="B391" t="str">
        <x:v>Sales</x:v>
      </x:c>
      <x:c r="C391" t="str">
        <x:v>Payroll</x:v>
      </x:c>
      <x:c r="D391" s="28" t="n">
        <x:v>57742.2</x:v>
      </x:c>
      <x:c r="E391" s="28" t="n">
        <x:v>58302.3</x:v>
      </x:c>
      <x:c r="F391" s="28" t="n">
        <x:v>560.1</x:v>
      </x:c>
      <x:c r="G391" s="30" t="n">
        <x:v>0.0097</x:v>
      </x:c>
    </x:row>
    <x:row r="392">
      <x:c r="A392" s="26" t="n">
        <x:v>45992</x:v>
      </x:c>
      <x:c r="B392" t="str">
        <x:v>Sales</x:v>
      </x:c>
      <x:c r="C392" t="str">
        <x:v>Software</x:v>
      </x:c>
      <x:c r="D392" s="28" t="n">
        <x:v>11888.1</x:v>
      </x:c>
      <x:c r="E392" s="28" t="n">
        <x:v>12019.04</x:v>
      </x:c>
      <x:c r="F392" s="28" t="n">
        <x:v>130.94</x:v>
      </x:c>
      <x:c r="G392" s="30" t="n">
        <x:v>0.011015</x:v>
      </x:c>
    </x:row>
    <x:row r="393">
      <x:c r="A393" s="26" t="n">
        <x:v>45992</x:v>
      </x:c>
      <x:c r="B393" t="str">
        <x:v>Sales</x:v>
      </x:c>
      <x:c r="C393" t="str">
        <x:v>Travel</x:v>
      </x:c>
      <x:c r="D393" s="28" t="n">
        <x:v>6340.32</x:v>
      </x:c>
      <x:c r="E393" s="28" t="n">
        <x:v>6502.93</x:v>
      </x:c>
      <x:c r="F393" s="28" t="n">
        <x:v>162.61</x:v>
      </x:c>
      <x:c r="G393" s="30" t="n">
        <x:v>0.025648</x:v>
      </x:c>
    </x:row>
    <x:row r="394">
      <x:c r="A394" s="26" t="n">
        <x:v>45992</x:v>
      </x:c>
      <x:c r="B394" t="str">
        <x:v>Sales</x:v>
      </x:c>
      <x:c r="C394" t="str">
        <x:v>Facilities</x:v>
      </x:c>
      <x:c r="D394" s="28" t="n">
        <x:v>7170.6</x:v>
      </x:c>
      <x:c r="E394" s="28" t="n">
        <x:v>7229.64</x:v>
      </x:c>
      <x:c r="F394" s="28" t="n">
        <x:v>59.04</x:v>
      </x:c>
      <x:c r="G394" s="30" t="n">
        <x:v>0.008234</x:v>
      </x:c>
    </x:row>
    <x:row r="395">
      <x:c r="A395" s="26" t="n">
        <x:v>45992</x:v>
      </x:c>
      <x:c r="B395" t="str">
        <x:v>Sales</x:v>
      </x:c>
      <x:c r="C395" t="str">
        <x:v>Other OpEx</x:v>
      </x:c>
      <x:c r="D395" s="28" t="n">
        <x:v>10189.8</x:v>
      </x:c>
      <x:c r="E395" s="28" t="n">
        <x:v>10574.61</x:v>
      </x:c>
      <x:c r="F395" s="28" t="n">
        <x:v>384.81</x:v>
      </x:c>
      <x:c r="G395" s="30" t="n">
        <x:v>0.037764</x:v>
      </x:c>
    </x:row>
    <x:row r="396">
      <x:c r="A396" s="26" t="n">
        <x:v>45992</x:v>
      </x:c>
      <x:c r="B396" t="str">
        <x:v>Marketing</x:v>
      </x:c>
      <x:c r="C396" t="str">
        <x:v>Revenue</x:v>
      </x:c>
      <x:c r="D396" s="28" t="n">
        <x:v>174048</x:v>
      </x:c>
      <x:c r="E396" s="28" t="n">
        <x:v>172658.07</x:v>
      </x:c>
      <x:c r="F396" s="28" t="n">
        <x:v>-1389.93</x:v>
      </x:c>
      <x:c r="G396" s="30" t="n">
        <x:v>-0.007986</x:v>
      </x:c>
    </x:row>
    <x:row r="397">
      <x:c r="A397" s="26" t="n">
        <x:v>45992</x:v>
      </x:c>
      <x:c r="B397" t="str">
        <x:v>Marketing</x:v>
      </x:c>
      <x:c r="C397" t="str">
        <x:v>COGS</x:v>
      </x:c>
      <x:c r="D397" s="28" t="n">
        <x:v>73100.16</x:v>
      </x:c>
      <x:c r="E397" s="28" t="n">
        <x:v>74114.39</x:v>
      </x:c>
      <x:c r="F397" s="28" t="n">
        <x:v>1014.23</x:v>
      </x:c>
      <x:c r="G397" s="30" t="n">
        <x:v>0.013875</x:v>
      </x:c>
    </x:row>
    <x:row r="398">
      <x:c r="A398" s="26" t="n">
        <x:v>45992</x:v>
      </x:c>
      <x:c r="B398" t="str">
        <x:v>Marketing</x:v>
      </x:c>
      <x:c r="C398" t="str">
        <x:v>Payroll</x:v>
      </x:c>
      <x:c r="D398" s="28" t="n">
        <x:v>57742.2</x:v>
      </x:c>
      <x:c r="E398" s="28" t="n">
        <x:v>58830.82</x:v>
      </x:c>
      <x:c r="F398" s="28" t="n">
        <x:v>1088.62</x:v>
      </x:c>
      <x:c r="G398" s="30" t="n">
        <x:v>0.018853</x:v>
      </x:c>
    </x:row>
    <x:row r="399">
      <x:c r="A399" s="26" t="n">
        <x:v>45992</x:v>
      </x:c>
      <x:c r="B399" t="str">
        <x:v>Marketing</x:v>
      </x:c>
      <x:c r="C399" t="str">
        <x:v>Software</x:v>
      </x:c>
      <x:c r="D399" s="28" t="n">
        <x:v>11888.1</x:v>
      </x:c>
      <x:c r="E399" s="28" t="n">
        <x:v>12303.04</x:v>
      </x:c>
      <x:c r="F399" s="28" t="n">
        <x:v>414.94</x:v>
      </x:c>
      <x:c r="G399" s="30" t="n">
        <x:v>0.034903</x:v>
      </x:c>
    </x:row>
    <x:row r="400">
      <x:c r="A400" s="26" t="n">
        <x:v>45992</x:v>
      </x:c>
      <x:c r="B400" t="str">
        <x:v>Marketing</x:v>
      </x:c>
      <x:c r="C400" t="str">
        <x:v>Travel</x:v>
      </x:c>
      <x:c r="D400" s="28" t="n">
        <x:v>5283.6</x:v>
      </x:c>
      <x:c r="E400" s="28" t="n">
        <x:v>5739.87</x:v>
      </x:c>
      <x:c r="F400" s="28" t="n">
        <x:v>456.27</x:v>
      </x:c>
      <x:c r="G400" s="30" t="n">
        <x:v>0.086356</x:v>
      </x:c>
    </x:row>
    <x:row r="401">
      <x:c r="A401" s="26" t="n">
        <x:v>45992</x:v>
      </x:c>
      <x:c r="B401" t="str">
        <x:v>Marketing</x:v>
      </x:c>
      <x:c r="C401" t="str">
        <x:v>Facilities</x:v>
      </x:c>
      <x:c r="D401" s="28" t="n">
        <x:v>7170.6</x:v>
      </x:c>
      <x:c r="E401" s="28" t="n">
        <x:v>7524.52</x:v>
      </x:c>
      <x:c r="F401" s="28" t="n">
        <x:v>353.92</x:v>
      </x:c>
      <x:c r="G401" s="30" t="n">
        <x:v>0.049358</x:v>
      </x:c>
    </x:row>
    <x:row r="402">
      <x:c r="A402" s="26" t="n">
        <x:v>45992</x:v>
      </x:c>
      <x:c r="B402" t="str">
        <x:v>Marketing</x:v>
      </x:c>
      <x:c r="C402" t="str">
        <x:v>Other OpEx</x:v>
      </x:c>
      <x:c r="D402" s="28" t="n">
        <x:v>10189.8</x:v>
      </x:c>
      <x:c r="E402" s="28" t="n">
        <x:v>11222.08</x:v>
      </x:c>
      <x:c r="F402" s="28" t="n">
        <x:v>1032.28</x:v>
      </x:c>
      <x:c r="G402" s="30" t="n">
        <x:v>0.101305</x:v>
      </x:c>
    </x:row>
    <x:row r="403">
      <x:c r="A403" s="26" t="n">
        <x:v>45992</x:v>
      </x:c>
      <x:c r="B403" t="str">
        <x:v>R&amp;D</x:v>
      </x:c>
      <x:c r="C403" t="str">
        <x:v>Revenue</x:v>
      </x:c>
      <x:c r="D403" s="28" t="n">
        <x:v>130536</x:v>
      </x:c>
      <x:c r="E403" s="28" t="n">
        <x:v>133050.17</x:v>
      </x:c>
      <x:c r="F403" s="28" t="n">
        <x:v>2514.17</x:v>
      </x:c>
      <x:c r="G403" s="30" t="n">
        <x:v>0.01926</x:v>
      </x:c>
    </x:row>
    <x:row r="404">
      <x:c r="A404" s="26" t="n">
        <x:v>45992</x:v>
      </x:c>
      <x:c r="B404" t="str">
        <x:v>R&amp;D</x:v>
      </x:c>
      <x:c r="C404" t="str">
        <x:v>COGS</x:v>
      </x:c>
      <x:c r="D404" s="28" t="n">
        <x:v>54825.12</x:v>
      </x:c>
      <x:c r="E404" s="28" t="n">
        <x:v>56350.07</x:v>
      </x:c>
      <x:c r="F404" s="28" t="n">
        <x:v>1524.95</x:v>
      </x:c>
      <x:c r="G404" s="30" t="n">
        <x:v>0.027815</x:v>
      </x:c>
    </x:row>
    <x:row r="405">
      <x:c r="A405" s="26" t="n">
        <x:v>45992</x:v>
      </x:c>
      <x:c r="B405" t="str">
        <x:v>R&amp;D</x:v>
      </x:c>
      <x:c r="C405" t="str">
        <x:v>Payroll</x:v>
      </x:c>
      <x:c r="D405" s="28" t="n">
        <x:v>80839.08</x:v>
      </x:c>
      <x:c r="E405" s="28" t="n">
        <x:v>87445.19</x:v>
      </x:c>
      <x:c r="F405" s="28" t="n">
        <x:v>6606.11</x:v>
      </x:c>
      <x:c r="G405" s="30" t="n">
        <x:v>0.081719</x:v>
      </x:c>
    </x:row>
    <x:row r="406">
      <x:c r="A406" s="26" t="n">
        <x:v>45992</x:v>
      </x:c>
      <x:c r="B406" t="str">
        <x:v>R&amp;D</x:v>
      </x:c>
      <x:c r="C406" t="str">
        <x:v>Software</x:v>
      </x:c>
      <x:c r="D406" s="28" t="n">
        <x:v>16643.34</x:v>
      </x:c>
      <x:c r="E406" s="28" t="n">
        <x:v>18424.44</x:v>
      </x:c>
      <x:c r="F406" s="28" t="n">
        <x:v>1781.1</x:v>
      </x:c>
      <x:c r="G406" s="30" t="n">
        <x:v>0.107016</x:v>
      </x:c>
    </x:row>
    <x:row r="407">
      <x:c r="A407" s="26" t="n">
        <x:v>45992</x:v>
      </x:c>
      <x:c r="B407" t="str">
        <x:v>R&amp;D</x:v>
      </x:c>
      <x:c r="C407" t="str">
        <x:v>Travel</x:v>
      </x:c>
      <x:c r="D407" s="28" t="n">
        <x:v>5283.6</x:v>
      </x:c>
      <x:c r="E407" s="28" t="n">
        <x:v>5813.58</x:v>
      </x:c>
      <x:c r="F407" s="28" t="n">
        <x:v>529.98</x:v>
      </x:c>
      <x:c r="G407" s="30" t="n">
        <x:v>0.100307</x:v>
      </x:c>
    </x:row>
    <x:row r="408">
      <x:c r="A408" s="26" t="n">
        <x:v>45992</x:v>
      </x:c>
      <x:c r="B408" t="str">
        <x:v>R&amp;D</x:v>
      </x:c>
      <x:c r="C408" t="str">
        <x:v>Facilities</x:v>
      </x:c>
      <x:c r="D408" s="28" t="n">
        <x:v>7170.6</x:v>
      </x:c>
      <x:c r="E408" s="28" t="n">
        <x:v>7760.02</x:v>
      </x:c>
      <x:c r="F408" s="28" t="n">
        <x:v>589.42</x:v>
      </x:c>
      <x:c r="G408" s="30" t="n">
        <x:v>0.082199</x:v>
      </x:c>
    </x:row>
    <x:row r="409">
      <x:c r="A409" s="26" t="n">
        <x:v>45992</x:v>
      </x:c>
      <x:c r="B409" t="str">
        <x:v>R&amp;D</x:v>
      </x:c>
      <x:c r="C409" t="str">
        <x:v>Other OpEx</x:v>
      </x:c>
      <x:c r="D409" s="28" t="n">
        <x:v>10189.8</x:v>
      </x:c>
      <x:c r="E409" s="28" t="n">
        <x:v>11177.07</x:v>
      </x:c>
      <x:c r="F409" s="28" t="n">
        <x:v>987.27</x:v>
      </x:c>
      <x:c r="G409" s="30" t="n">
        <x:v>0.096889</x:v>
      </x:c>
    </x:row>
    <x:row r="410">
      <x:c r="A410" s="26" t="n">
        <x:v>45992</x:v>
      </x:c>
      <x:c r="B410" t="str">
        <x:v>Operations</x:v>
      </x:c>
      <x:c r="C410" t="str">
        <x:v>Revenue</x:v>
      </x:c>
      <x:c r="D410" s="28" t="n">
        <x:v>108780</x:v>
      </x:c>
      <x:c r="E410" s="28" t="n">
        <x:v>113365.23</x:v>
      </x:c>
      <x:c r="F410" s="28" t="n">
        <x:v>4585.23</x:v>
      </x:c>
      <x:c r="G410" s="30" t="n">
        <x:v>0.042151</x:v>
      </x:c>
    </x:row>
    <x:row r="411">
      <x:c r="A411" s="26" t="n">
        <x:v>45992</x:v>
      </x:c>
      <x:c r="B411" t="str">
        <x:v>Operations</x:v>
      </x:c>
      <x:c r="C411" t="str">
        <x:v>COGS</x:v>
      </x:c>
      <x:c r="D411" s="28" t="n">
        <x:v>45687.6</x:v>
      </x:c>
      <x:c r="E411" s="28" t="n">
        <x:v>46175.16</x:v>
      </x:c>
      <x:c r="F411" s="28" t="n">
        <x:v>487.56</x:v>
      </x:c>
      <x:c r="G411" s="30" t="n">
        <x:v>0.010672</x:v>
      </x:c>
    </x:row>
    <x:row r="412">
      <x:c r="A412" s="26" t="n">
        <x:v>45992</x:v>
      </x:c>
      <x:c r="B412" t="str">
        <x:v>Operations</x:v>
      </x:c>
      <x:c r="C412" t="str">
        <x:v>Payroll</x:v>
      </x:c>
      <x:c r="D412" s="28" t="n">
        <x:v>57742.2</x:v>
      </x:c>
      <x:c r="E412" s="28" t="n">
        <x:v>59802.11</x:v>
      </x:c>
      <x:c r="F412" s="28" t="n">
        <x:v>2059.91</x:v>
      </x:c>
      <x:c r="G412" s="30" t="n">
        <x:v>0.035674</x:v>
      </x:c>
    </x:row>
    <x:row r="413">
      <x:c r="A413" s="26" t="n">
        <x:v>45992</x:v>
      </x:c>
      <x:c r="B413" t="str">
        <x:v>Operations</x:v>
      </x:c>
      <x:c r="C413" t="str">
        <x:v>Software</x:v>
      </x:c>
      <x:c r="D413" s="28" t="n">
        <x:v>11888.1</x:v>
      </x:c>
      <x:c r="E413" s="28" t="n">
        <x:v>12590.91</x:v>
      </x:c>
      <x:c r="F413" s="28" t="n">
        <x:v>702.81</x:v>
      </x:c>
      <x:c r="G413" s="30" t="n">
        <x:v>0.059118</x:v>
      </x:c>
    </x:row>
    <x:row r="414">
      <x:c r="A414" s="26" t="n">
        <x:v>45992</x:v>
      </x:c>
      <x:c r="B414" t="str">
        <x:v>Operations</x:v>
      </x:c>
      <x:c r="C414" t="str">
        <x:v>Travel</x:v>
      </x:c>
      <x:c r="D414" s="28" t="n">
        <x:v>5283.6</x:v>
      </x:c>
      <x:c r="E414" s="28" t="n">
        <x:v>5696.53</x:v>
      </x:c>
      <x:c r="F414" s="28" t="n">
        <x:v>412.93</x:v>
      </x:c>
      <x:c r="G414" s="30" t="n">
        <x:v>0.078153</x:v>
      </x:c>
    </x:row>
    <x:row r="415">
      <x:c r="A415" s="26" t="n">
        <x:v>45992</x:v>
      </x:c>
      <x:c r="B415" t="str">
        <x:v>Operations</x:v>
      </x:c>
      <x:c r="C415" t="str">
        <x:v>Facilities</x:v>
      </x:c>
      <x:c r="D415" s="28" t="n">
        <x:v>7170.6</x:v>
      </x:c>
      <x:c r="E415" s="28" t="n">
        <x:v>7501.28</x:v>
      </x:c>
      <x:c r="F415" s="28" t="n">
        <x:v>330.68</x:v>
      </x:c>
      <x:c r="G415" s="30" t="n">
        <x:v>0.046115</x:v>
      </x:c>
    </x:row>
    <x:row r="416">
      <x:c r="A416" s="26" t="n">
        <x:v>45992</x:v>
      </x:c>
      <x:c r="B416" t="str">
        <x:v>Operations</x:v>
      </x:c>
      <x:c r="C416" t="str">
        <x:v>Other OpEx</x:v>
      </x:c>
      <x:c r="D416" s="28" t="n">
        <x:v>10189.8</x:v>
      </x:c>
      <x:c r="E416" s="28" t="n">
        <x:v>10661.69</x:v>
      </x:c>
      <x:c r="F416" s="28" t="n">
        <x:v>471.89</x:v>
      </x:c>
      <x:c r="G416" s="30" t="n">
        <x:v>0.04631</x:v>
      </x:c>
    </x:row>
    <x:row r="417">
      <x:c r="A417" s="26" t="n">
        <x:v>45992</x:v>
      </x:c>
      <x:c r="B417" t="str">
        <x:v>G&amp;A</x:v>
      </x:c>
      <x:c r="C417" t="str">
        <x:v>Revenue</x:v>
      </x:c>
      <x:c r="D417" s="28" t="n">
        <x:v>76146</x:v>
      </x:c>
      <x:c r="E417" s="28" t="n">
        <x:v>79947.29</x:v>
      </x:c>
      <x:c r="F417" s="28" t="n">
        <x:v>3801.29</x:v>
      </x:c>
      <x:c r="G417" s="30" t="n">
        <x:v>0.049921</x:v>
      </x:c>
    </x:row>
    <x:row r="418">
      <x:c r="A418" s="26" t="n">
        <x:v>45992</x:v>
      </x:c>
      <x:c r="B418" t="str">
        <x:v>G&amp;A</x:v>
      </x:c>
      <x:c r="C418" t="str">
        <x:v>COGS</x:v>
      </x:c>
      <x:c r="D418" s="28" t="n">
        <x:v>31981.32</x:v>
      </x:c>
      <x:c r="E418" s="28" t="n">
        <x:v>33509.82</x:v>
      </x:c>
      <x:c r="F418" s="28" t="n">
        <x:v>1528.5</x:v>
      </x:c>
      <x:c r="G418" s="30" t="n">
        <x:v>0.047794</x:v>
      </x:c>
    </x:row>
    <x:row r="419">
      <x:c r="A419" s="26" t="n">
        <x:v>45992</x:v>
      </x:c>
      <x:c r="B419" t="str">
        <x:v>G&amp;A</x:v>
      </x:c>
      <x:c r="C419" t="str">
        <x:v>Payroll</x:v>
      </x:c>
      <x:c r="D419" s="28" t="n">
        <x:v>57742.2</x:v>
      </x:c>
      <x:c r="E419" s="28" t="n">
        <x:v>61632.15</x:v>
      </x:c>
      <x:c r="F419" s="28" t="n">
        <x:v>3889.95</x:v>
      </x:c>
      <x:c r="G419" s="30" t="n">
        <x:v>0.067368</x:v>
      </x:c>
    </x:row>
    <x:row r="420">
      <x:c r="A420" s="26" t="n">
        <x:v>45992</x:v>
      </x:c>
      <x:c r="B420" t="str">
        <x:v>G&amp;A</x:v>
      </x:c>
      <x:c r="C420" t="str">
        <x:v>Software</x:v>
      </x:c>
      <x:c r="D420" s="28" t="n">
        <x:v>11888.1</x:v>
      </x:c>
      <x:c r="E420" s="28" t="n">
        <x:v>12827.08</x:v>
      </x:c>
      <x:c r="F420" s="28" t="n">
        <x:v>938.98</x:v>
      </x:c>
      <x:c r="G420" s="30" t="n">
        <x:v>0.078985</x:v>
      </x:c>
    </x:row>
    <x:row r="421">
      <x:c r="A421" s="26" t="n">
        <x:v>45992</x:v>
      </x:c>
      <x:c r="B421" t="str">
        <x:v>G&amp;A</x:v>
      </x:c>
      <x:c r="C421" t="str">
        <x:v>Travel</x:v>
      </x:c>
      <x:c r="D421" s="28" t="n">
        <x:v>5283.6</x:v>
      </x:c>
      <x:c r="E421" s="28" t="n">
        <x:v>5723.64</x:v>
      </x:c>
      <x:c r="F421" s="28" t="n">
        <x:v>440.04</x:v>
      </x:c>
      <x:c r="G421" s="30" t="n">
        <x:v>0.083283</x:v>
      </x:c>
    </x:row>
    <x:row r="422">
      <x:c r="A422" s="26" t="n">
        <x:v>45992</x:v>
      </x:c>
      <x:c r="B422" t="str">
        <x:v>G&amp;A</x:v>
      </x:c>
      <x:c r="C422" t="str">
        <x:v>Facilities</x:v>
      </x:c>
      <x:c r="D422" s="28" t="n">
        <x:v>7170.6</x:v>
      </x:c>
      <x:c r="E422" s="28" t="n">
        <x:v>7442.69</x:v>
      </x:c>
      <x:c r="F422" s="28" t="n">
        <x:v>272.09</x:v>
      </x:c>
      <x:c r="G422" s="30" t="n">
        <x:v>0.037945</x:v>
      </x:c>
    </x:row>
    <x:row r="423">
      <x:c r="A423" s="26" t="n">
        <x:v>45992</x:v>
      </x:c>
      <x:c r="B423" t="str">
        <x:v>G&amp;A</x:v>
      </x:c>
      <x:c r="C423" t="str">
        <x:v>Other OpEx</x:v>
      </x:c>
      <x:c r="D423" s="28" t="n">
        <x:v>10189.8</x:v>
      </x:c>
      <x:c r="E423" s="28" t="n">
        <x:v>10497.51</x:v>
      </x:c>
      <x:c r="F423" s="28" t="n">
        <x:v>307.71</x:v>
      </x:c>
      <x:c r="G423" s="30" t="n">
        <x:v>0.030198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88aadb3cdfb4de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8" customHeight="1">
      <x:c r="A1" s="5" t="str">
        <x:v>Monthly P&amp;L | Actual Performance &amp; FY Variance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3">
      <x:c r="A3" s="13" t="str">
        <x:v>Metric</x:v>
      </x:c>
      <x:c r="B3" s="13" t="str">
        <x:v>Jan</x:v>
      </x:c>
      <x:c r="C3" s="13" t="str">
        <x:v>Feb</x:v>
      </x:c>
      <x:c r="D3" s="13" t="str">
        <x:v>Mar</x:v>
      </x:c>
      <x:c r="E3" s="13" t="str">
        <x:v>Apr</x:v>
      </x:c>
      <x:c r="F3" s="13" t="str">
        <x:v>May</x:v>
      </x:c>
      <x:c r="G3" s="13" t="str">
        <x:v>Jun</x:v>
      </x:c>
      <x:c r="H3" s="13" t="str">
        <x:v>Jul</x:v>
      </x:c>
      <x:c r="I3" s="13" t="str">
        <x:v>Aug</x:v>
      </x:c>
      <x:c r="J3" s="13" t="str">
        <x:v>Sep</x:v>
      </x:c>
      <x:c r="K3" s="13" t="str">
        <x:v>Oct</x:v>
      </x:c>
      <x:c r="L3" s="13" t="str">
        <x:v>Nov</x:v>
      </x:c>
      <x:c r="M3" s="13" t="str">
        <x:v>Dec</x:v>
      </x:c>
      <x:c r="N3" s="13" t="str">
        <x:v>FY Total</x:v>
      </x:c>
      <x:c r="O3" s="13" t="str">
        <x:v>FY Var</x:v>
      </x:c>
    </x:row>
    <x:row r="4">
      <x:c r="A4" t="str">
        <x:v>Revenue</x:v>
      </x:c>
      <x:c r="B4" s="28" t="n">
        <x:f>SUMIFS('Raw Data'!$E:$E,'Raw Data'!$A:$A,DATE(2025,1,1),'Raw Data'!$C:$C,"Revenue")</x:f>
        <x:v>913557.94</x:v>
      </x:c>
      <x:c r="C4" s="28" t="n">
        <x:f>SUMIFS('Raw Data'!$E:$E,'Raw Data'!$A:$A,DATE(2025,2,1),'Raw Data'!$C:$C,"Revenue")</x:f>
        <x:v>913336.4</x:v>
      </x:c>
      <x:c r="D4" s="28" t="n">
        <x:f>SUMIFS('Raw Data'!$E:$E,'Raw Data'!$A:$A,DATE(2025,3,1),'Raw Data'!$C:$C,"Revenue")</x:f>
        <x:v>901431.77</x:v>
      </x:c>
      <x:c r="E4" s="28" t="n">
        <x:f>SUMIFS('Raw Data'!$E:$E,'Raw Data'!$A:$A,DATE(2025,4,1),'Raw Data'!$C:$C,"Revenue")</x:f>
        <x:v>895203.1499999884</x:v>
      </x:c>
      <x:c r="F4" s="28" t="n">
        <x:f>SUMIFS('Raw Data'!$E:$E,'Raw Data'!$A:$A,DATE(2025,5,1),'Raw Data'!$C:$C,"Revenue")</x:f>
        <x:v>907555.04</x:v>
      </x:c>
      <x:c r="G4" s="28" t="n">
        <x:f>SUMIFS('Raw Data'!$E:$E,'Raw Data'!$A:$A,DATE(2025,6,1),'Raw Data'!$C:$C,"Revenue")</x:f>
        <x:v>935939.87</x:v>
      </x:c>
      <x:c r="H4" s="28" t="n">
        <x:f>SUMIFS('Raw Data'!$E:$E,'Raw Data'!$A:$A,DATE(2025,7,1),'Raw Data'!$C:$C,"Revenue")</x:f>
        <x:v>964210.23</x:v>
      </x:c>
      <x:c r="I4" s="28" t="n">
        <x:f>SUMIFS('Raw Data'!$E:$E,'Raw Data'!$A:$A,DATE(2025,8,1),'Raw Data'!$C:$C,"Revenue")</x:f>
        <x:v>976005.08</x:v>
      </x:c>
      <x:c r="J4" s="28" t="n">
        <x:f>SUMIFS('Raw Data'!$E:$E,'Raw Data'!$A:$A,DATE(2025,9,1),'Raw Data'!$C:$C,"Revenue")</x:f>
        <x:v>968573.46</x:v>
      </x:c>
      <x:c r="K4" s="28" t="n">
        <x:f>SUMIFS('Raw Data'!$E:$E,'Raw Data'!$A:$A,DATE(2025,10,1),'Raw Data'!$C:$C,"Revenue")</x:f>
        <x:v>955357.08</x:v>
      </x:c>
      <x:c r="L4" s="28" t="n">
        <x:f>SUMIFS('Raw Data'!$E:$E,'Raw Data'!$A:$A,DATE(2025,11,1),'Raw Data'!$C:$C,"Revenue")</x:f>
        <x:v>954935.87</x:v>
      </x:c>
      <x:c r="M4" s="28" t="n">
        <x:f>SUMIFS('Raw Data'!$E:$E,'Raw Data'!$A:$A,DATE(2025,12,1),'Raw Data'!$C:$C,"Revenue")</x:f>
        <x:v>975425.04</x:v>
      </x:c>
      <x:c r="N4" s="28" t="n">
        <x:f>SUM(B4:M4)</x:f>
        <x:v>11261530.930000002</x:v>
      </x:c>
      <x:c r="O4" s="28" t="n">
        <x:f>N4-SUMIFS('Raw Data'!$D:$D,'Raw Data'!$C:$C,"Revenue")</x:f>
        <x:v>95410.93000000156</x:v>
      </x:c>
    </x:row>
    <x:row r="5">
      <x:c r="A5" t="str">
        <x:v>COGS</x:v>
      </x:c>
      <x:c r="B5" s="28" t="n">
        <x:f>SUMIFS('Raw Data'!$E:$E,'Raw Data'!$A:$A,DATE(2025,1,1),'Raw Data'!$C:$C,"COGS")</x:f>
        <x:v>383316.67</x:v>
      </x:c>
      <x:c r="C5" s="28" t="n">
        <x:f>SUMIFS('Raw Data'!$E:$E,'Raw Data'!$A:$A,DATE(2025,2,1),'Raw Data'!$C:$C,"COGS")</x:f>
        <x:v>378161.02</x:v>
      </x:c>
      <x:c r="D5" s="28" t="n">
        <x:f>SUMIFS('Raw Data'!$E:$E,'Raw Data'!$A:$A,DATE(2025,3,1),'Raw Data'!$C:$C,"COGS")</x:f>
        <x:v>384988.88999998843</x:v>
      </x:c>
      <x:c r="E5" s="28" t="n">
        <x:f>SUMIFS('Raw Data'!$E:$E,'Raw Data'!$A:$A,DATE(2025,4,1),'Raw Data'!$C:$C,"COGS")</x:f>
        <x:v>390810.81</x:v>
      </x:c>
      <x:c r="F5" s="28" t="n">
        <x:f>SUMIFS('Raw Data'!$E:$E,'Raw Data'!$A:$A,DATE(2025,5,1),'Raw Data'!$C:$C,"COGS")</x:f>
        <x:v>401437.51</x:v>
      </x:c>
      <x:c r="G5" s="28" t="n">
        <x:f>SUMIFS('Raw Data'!$E:$E,'Raw Data'!$A:$A,DATE(2025,6,1),'Raw Data'!$C:$C,"COGS")</x:f>
        <x:v>406900.7</x:v>
      </x:c>
      <x:c r="H5" s="28" t="n">
        <x:f>SUMIFS('Raw Data'!$E:$E,'Raw Data'!$A:$A,DATE(2025,7,1),'Raw Data'!$C:$C,"COGS")</x:f>
        <x:v>395636.88</x:v>
      </x:c>
      <x:c r="I5" s="28" t="n">
        <x:f>SUMIFS('Raw Data'!$E:$E,'Raw Data'!$A:$A,DATE(2025,8,1),'Raw Data'!$C:$C,"COGS")</x:f>
        <x:v>398686.21</x:v>
      </x:c>
      <x:c r="J5" s="28" t="n">
        <x:f>SUMIFS('Raw Data'!$E:$E,'Raw Data'!$A:$A,DATE(2025,9,1),'Raw Data'!$C:$C,"COGS")</x:f>
        <x:v>417468.09</x:v>
      </x:c>
      <x:c r="K5" s="28" t="n">
        <x:f>SUMIFS('Raw Data'!$E:$E,'Raw Data'!$A:$A,DATE(2025,10,1),'Raw Data'!$C:$C,"COGS")</x:f>
        <x:v>420861.79</x:v>
      </x:c>
      <x:c r="L5" s="28" t="n">
        <x:f>SUMIFS('Raw Data'!$E:$E,'Raw Data'!$A:$A,DATE(2025,11,1),'Raw Data'!$C:$C,"COGS")</x:f>
        <x:v>418515.87</x:v>
      </x:c>
      <x:c r="M5" s="28" t="n">
        <x:f>SUMIFS('Raw Data'!$E:$E,'Raw Data'!$A:$A,DATE(2025,12,1),'Raw Data'!$C:$C,"COGS")</x:f>
        <x:v>419450.02</x:v>
      </x:c>
      <x:c r="N5" s="28" t="n">
        <x:f>SUM(B5:M5)</x:f>
        <x:v>4816234.459999999</x:v>
      </x:c>
      <x:c r="O5" s="28" t="n">
        <x:f>N5-SUMIFS('Raw Data'!$D:$D,'Raw Data'!$C:$C,"COGS")</x:f>
        <x:v>126464.05999999866</x:v>
      </x:c>
    </x:row>
    <x:row r="6">
      <x:c r="A6" s="32" t="str">
        <x:v>Gross Profit</x:v>
      </x:c>
      <x:c r="B6" s="33" t="n">
        <x:f>B4-B5</x:f>
        <x:v>530241.27</x:v>
      </x:c>
      <x:c r="C6" s="33" t="n">
        <x:f>C4-C5</x:f>
        <x:v>535175.38</x:v>
      </x:c>
      <x:c r="D6" s="33" t="n">
        <x:f>D4-D5</x:f>
        <x:v>516442.88000000006</x:v>
      </x:c>
      <x:c r="E6" s="33" t="n">
        <x:f>E4-E5</x:f>
        <x:v>504392.3399999999</x:v>
      </x:c>
      <x:c r="F6" s="33" t="n">
        <x:f>F4-F5</x:f>
        <x:v>506117.53</x:v>
      </x:c>
      <x:c r="G6" s="33" t="n">
        <x:f>G4-G5</x:f>
        <x:v>529039.1699999999</x:v>
      </x:c>
      <x:c r="H6" s="33" t="n">
        <x:f>H4-H5</x:f>
        <x:v>568573.35</x:v>
      </x:c>
      <x:c r="I6" s="33" t="n">
        <x:f>I4-I5</x:f>
        <x:v>577318.8699999999</x:v>
      </x:c>
      <x:c r="J6" s="33" t="n">
        <x:f>J4-J5</x:f>
        <x:v>551105.3700000001</x:v>
      </x:c>
      <x:c r="K6" s="33" t="n">
        <x:f>K4-K5</x:f>
        <x:v>534495.29</x:v>
      </x:c>
      <x:c r="L6" s="33" t="n">
        <x:f>L4-L5</x:f>
        <x:v>536420.0000000002</x:v>
      </x:c>
      <x:c r="M6" s="33" t="n">
        <x:f>M4-M5</x:f>
        <x:v>555975.0200000003</x:v>
      </x:c>
      <x:c r="N6" s="33" t="n">
        <x:f>SUM(B6:M6)</x:f>
        <x:v>6445296.470000001</x:v>
      </x:c>
      <x:c r="O6" s="33" t="n">
        <x:f>O4-O5</x:f>
        <x:v>-31053.129999997094</x:v>
      </x:c>
    </x:row>
    <x:row r="7">
      <x:c r="A7" t="str">
        <x:v>Gross Margin %</x:v>
      </x:c>
      <x:c r="B7" s="30" t="n">
        <x:f>IFERROR(B6/B4,0)</x:f>
        <x:v>0.5804133999426462</x:v>
      </x:c>
      <x:c r="C7" s="30" t="n">
        <x:f>IFERROR(C6/C4,0)</x:f>
        <x:v>0.5859564778103664</x:v>
      </x:c>
      <x:c r="D7" s="30" t="n">
        <x:f>IFERROR(D6/D4,0)</x:f>
        <x:v>0.5729139988043688</x:v>
      </x:c>
      <x:c r="E7" s="30" t="n">
        <x:f>IFERROR(E6/E4,0)</x:f>
        <x:v>0.5634389691323136</x:v>
      </x:c>
      <x:c r="F7" s="30" t="n">
        <x:f>IFERROR(F6/F4,0)</x:f>
        <x:v>0.5576714443677158</x:v>
      </x:c>
      <x:c r="G7" s="30" t="n">
        <x:f>IFERROR(G6/G4,0)</x:f>
        <x:v>0.5652491008850814</x:v>
      </x:c>
      <x:c r="H7" s="30" t="n">
        <x:f>IFERROR(H6/H4,0)</x:f>
        <x:v>0.5896777821990128</x:v>
      </x:c>
      <x:c r="I7" s="30" t="n">
        <x:f>IFERROR(I6/I4,0)</x:f>
        <x:v>0.5915121568834456</x:v>
      </x:c>
      <x:c r="J7" s="30" t="n">
        <x:f>IFERROR(J6/J4,0)</x:f>
        <x:v>0.5689866517713588</x:v>
      </x:c>
      <x:c r="K7" s="30" t="n">
        <x:f>IFERROR(K6/K4,0)</x:f>
        <x:v>0.5594717422306642</x:v>
      </x:c>
      <x:c r="L7" s="30" t="n">
        <x:f>IFERROR(L6/L4,0)</x:f>
        <x:v>0.561734056549787</x:v>
      </x:c>
      <x:c r="M7" s="30" t="n">
        <x:f>IFERROR(M6/M4,0)</x:f>
        <x:v>0.5699823125311609</x:v>
      </x:c>
      <x:c r="N7" s="30" t="n">
        <x:f>IFERROR(N6/N4,0)</x:f>
        <x:v>0.5723286212205964</x:v>
      </x:c>
      <x:c r="O7" s="30" t="n">
        <x:f>N7-((SUMIFS('Raw Data'!$D:$D,'Raw Data'!$C:$C,"Revenue")-SUMIFS('Raw Data'!$D:$D,'Raw Data'!$C:$C,"COGS"))/SUMIFS('Raw Data'!$D:$D,'Raw Data'!$C:$C,"Revenue"))</x:f>
        <x:v>-0.007671378779403604</x:v>
      </x:c>
    </x:row>
    <x:row r="8">
      <x:c r="A8" t="str">
        <x:v>Payroll</x:v>
      </x:c>
      <x:c r="B8" s="28" t="n">
        <x:f>SUMIFS('Raw Data'!$E:$E,'Raw Data'!$A:$A,DATE(2025,1,1),'Raw Data'!$C:$C,"Payroll")</x:f>
        <x:v>288323.7</x:v>
      </x:c>
      <x:c r="C8" s="28" t="n">
        <x:f>SUMIFS('Raw Data'!$E:$E,'Raw Data'!$A:$A,DATE(2025,2,1),'Raw Data'!$C:$C,"Payroll")</x:f>
        <x:v>290827.39</x:v>
      </x:c>
      <x:c r="D8" s="28" t="n">
        <x:f>SUMIFS('Raw Data'!$E:$E,'Raw Data'!$A:$A,DATE(2025,3,1),'Raw Data'!$C:$C,"Payroll")</x:f>
        <x:v>303814.42</x:v>
      </x:c>
      <x:c r="E8" s="28" t="n">
        <x:f>SUMIFS('Raw Data'!$E:$E,'Raw Data'!$A:$A,DATE(2025,4,1),'Raw Data'!$C:$C,"Payroll")</x:f>
        <x:v>305978.67</x:v>
      </x:c>
      <x:c r="F8" s="28" t="n">
        <x:f>SUMIFS('Raw Data'!$E:$E,'Raw Data'!$A:$A,DATE(2025,5,1),'Raw Data'!$C:$C,"Payroll")</x:f>
        <x:v>304930.3</x:v>
      </x:c>
      <x:c r="G8" s="28" t="n">
        <x:f>SUMIFS('Raw Data'!$E:$E,'Raw Data'!$A:$A,DATE(2025,6,1),'Raw Data'!$C:$C,"Payroll")</x:f>
        <x:v>306521.62</x:v>
      </x:c>
      <x:c r="H8" s="28" t="n">
        <x:f>SUMIFS('Raw Data'!$E:$E,'Raw Data'!$A:$A,DATE(2025,7,1),'Raw Data'!$C:$C,"Payroll")</x:f>
        <x:v>305957.11</x:v>
      </x:c>
      <x:c r="I8" s="28" t="n">
        <x:f>SUMIFS('Raw Data'!$E:$E,'Raw Data'!$A:$A,DATE(2025,8,1),'Raw Data'!$C:$C,"Payroll")</x:f>
        <x:v>315249.02</x:v>
      </x:c>
      <x:c r="J8" s="28" t="n">
        <x:f>SUMIFS('Raw Data'!$E:$E,'Raw Data'!$A:$A,DATE(2025,9,1),'Raw Data'!$C:$C,"Payroll")</x:f>
        <x:v>325203.71</x:v>
      </x:c>
      <x:c r="K8" s="28" t="n">
        <x:f>SUMIFS('Raw Data'!$E:$E,'Raw Data'!$A:$A,DATE(2025,10,1),'Raw Data'!$C:$C,"Payroll")</x:f>
        <x:v>318423.83</x:v>
      </x:c>
      <x:c r="L8" s="28" t="n">
        <x:f>SUMIFS('Raw Data'!$E:$E,'Raw Data'!$A:$A,DATE(2025,11,1),'Raw Data'!$C:$C,"Payroll")</x:f>
        <x:v>316035.38</x:v>
      </x:c>
      <x:c r="M8" s="28" t="n">
        <x:f>SUMIFS('Raw Data'!$E:$E,'Raw Data'!$A:$A,DATE(2025,12,1),'Raw Data'!$C:$C,"Payroll")</x:f>
        <x:v>326012.57</x:v>
      </x:c>
      <x:c r="N8" s="28" t="n">
        <x:f>SUM(B8:M8)</x:f>
        <x:v>3707277.7199999997</x:v>
      </x:c>
      <x:c r="O8" s="28" t="n">
        <x:f>N8-SUMIFS('Raw Data'!$D:$D,'Raw Data'!$C:$C,"Payroll")</x:f>
        <x:v>150982.43999999948</x:v>
      </x:c>
    </x:row>
    <x:row r="9">
      <x:c r="A9" t="str">
        <x:v>Software</x:v>
      </x:c>
      <x:c r="B9" s="28" t="n">
        <x:f>SUMIFS('Raw Data'!$E:$E,'Raw Data'!$A:$A,DATE(2025,1,1),'Raw Data'!$C:$C,"Software")</x:f>
        <x:v>59529.74</x:v>
      </x:c>
      <x:c r="C9" s="28" t="n">
        <x:f>SUMIFS('Raw Data'!$E:$E,'Raw Data'!$A:$A,DATE(2025,2,1),'Raw Data'!$C:$C,"Software")</x:f>
        <x:v>60712.27</x:v>
      </x:c>
      <x:c r="D9" s="28" t="n">
        <x:f>SUMIFS('Raw Data'!$E:$E,'Raw Data'!$A:$A,DATE(2025,3,1),'Raw Data'!$C:$C,"Software")</x:f>
        <x:v>63434.32</x:v>
      </x:c>
      <x:c r="E9" s="28" t="n">
        <x:f>SUMIFS('Raw Data'!$E:$E,'Raw Data'!$A:$A,DATE(2025,4,1),'Raw Data'!$C:$C,"Software")</x:f>
        <x:v>63231.62</x:v>
      </x:c>
      <x:c r="F9" s="28" t="n">
        <x:f>SUMIFS('Raw Data'!$E:$E,'Raw Data'!$A:$A,DATE(2025,5,1),'Raw Data'!$C:$C,"Software")</x:f>
        <x:v>62622.47</x:v>
      </x:c>
      <x:c r="G9" s="28" t="n">
        <x:f>SUMIFS('Raw Data'!$E:$E,'Raw Data'!$A:$A,DATE(2025,6,1),'Raw Data'!$C:$C,"Software")</x:f>
        <x:v>63404.56</x:v>
      </x:c>
      <x:c r="H9" s="28" t="n">
        <x:f>SUMIFS('Raw Data'!$E:$E,'Raw Data'!$A:$A,DATE(2025,7,1),'Raw Data'!$C:$C,"Software")</x:f>
        <x:v>63940.67</x:v>
      </x:c>
      <x:c r="I9" s="28" t="n">
        <x:f>SUMIFS('Raw Data'!$E:$E,'Raw Data'!$A:$A,DATE(2025,8,1),'Raw Data'!$C:$C,"Software")</x:f>
        <x:v>65748.75</x:v>
      </x:c>
      <x:c r="J9" s="28" t="n">
        <x:f>SUMIFS('Raw Data'!$E:$E,'Raw Data'!$A:$A,DATE(2025,9,1),'Raw Data'!$C:$C,"Software")</x:f>
        <x:v>67082.87999998842</x:v>
      </x:c>
      <x:c r="K9" s="28" t="n">
        <x:f>SUMIFS('Raw Data'!$E:$E,'Raw Data'!$A:$A,DATE(2025,10,1),'Raw Data'!$C:$C,"Software")</x:f>
        <x:v>65413.73</x:v>
      </x:c>
      <x:c r="L9" s="28" t="n">
        <x:f>SUMIFS('Raw Data'!$E:$E,'Raw Data'!$A:$A,DATE(2025,11,1),'Raw Data'!$C:$C,"Software")</x:f>
        <x:v>65509.12</x:v>
      </x:c>
      <x:c r="M9" s="28" t="n">
        <x:f>SUMIFS('Raw Data'!$E:$E,'Raw Data'!$A:$A,DATE(2025,12,1),'Raw Data'!$C:$C,"Software")</x:f>
        <x:v>68164.51</x:v>
      </x:c>
      <x:c r="N9" s="28" t="n">
        <x:f>SUM(B9:M9)</x:f>
        <x:v>768794.64</x:v>
      </x:c>
      <x:c r="O9" s="28" t="n">
        <x:f>N9-SUMIFS('Raw Data'!$D:$D,'Raw Data'!$C:$C,"Software")</x:f>
        <x:v>36616.19999999995</x:v>
      </x:c>
    </x:row>
    <x:row r="10">
      <x:c r="A10" t="str">
        <x:v>Travel</x:v>
      </x:c>
      <x:c r="B10" s="28" t="n">
        <x:f>SUMIFS('Raw Data'!$E:$E,'Raw Data'!$A:$A,DATE(2025,1,1),'Raw Data'!$C:$C,"Travel")</x:f>
        <x:v>25637.76</x:v>
      </x:c>
      <x:c r="C10" s="28" t="n">
        <x:f>SUMIFS('Raw Data'!$E:$E,'Raw Data'!$A:$A,DATE(2025,2,1),'Raw Data'!$C:$C,"Travel")</x:f>
        <x:v>26281.96</x:v>
      </x:c>
      <x:c r="D10" s="28" t="n">
        <x:f>SUMIFS('Raw Data'!$E:$E,'Raw Data'!$A:$A,DATE(2025,3,1),'Raw Data'!$C:$C,"Travel")</x:f>
        <x:v>27294.4</x:v>
      </x:c>
      <x:c r="E10" s="28" t="n">
        <x:f>SUMIFS('Raw Data'!$E:$E,'Raw Data'!$A:$A,DATE(2025,4,1),'Raw Data'!$C:$C,"Travel")</x:f>
        <x:v>26985.87</x:v>
      </x:c>
      <x:c r="F10" s="28" t="n">
        <x:f>SUMIFS('Raw Data'!$E:$E,'Raw Data'!$A:$A,DATE(2025,5,1),'Raw Data'!$C:$C,"Travel")</x:f>
        <x:v>26762.36</x:v>
      </x:c>
      <x:c r="G10" s="28" t="n">
        <x:f>SUMIFS('Raw Data'!$E:$E,'Raw Data'!$A:$A,DATE(2025,6,1),'Raw Data'!$C:$C,"Travel")</x:f>
        <x:v>27344.77</x:v>
      </x:c>
      <x:c r="H10" s="28" t="n">
        <x:f>SUMIFS('Raw Data'!$E:$E,'Raw Data'!$A:$A,DATE(2025,7,1),'Raw Data'!$C:$C,"Travel")</x:f>
        <x:v>27671.51</x:v>
      </x:c>
      <x:c r="I10" s="28" t="n">
        <x:f>SUMIFS('Raw Data'!$E:$E,'Raw Data'!$A:$A,DATE(2025,8,1),'Raw Data'!$C:$C,"Travel")</x:f>
        <x:v>28246.89</x:v>
      </x:c>
      <x:c r="J10" s="28" t="n">
        <x:f>SUMIFS('Raw Data'!$E:$E,'Raw Data'!$A:$A,DATE(2025,9,1),'Raw Data'!$C:$C,"Travel")</x:f>
        <x:v>28613.05</x:v>
      </x:c>
      <x:c r="K10" s="28" t="n">
        <x:f>SUMIFS('Raw Data'!$E:$E,'Raw Data'!$A:$A,DATE(2025,10,1),'Raw Data'!$C:$C,"Travel")</x:f>
        <x:v>27991.78</x:v>
      </x:c>
      <x:c r="L10" s="28" t="n">
        <x:f>SUMIFS('Raw Data'!$E:$E,'Raw Data'!$A:$A,DATE(2025,11,1),'Raw Data'!$C:$C,"Travel")</x:f>
        <x:v>28292.919999988426</x:v>
      </x:c>
      <x:c r="M10" s="28" t="n">
        <x:f>SUMIFS('Raw Data'!$E:$E,'Raw Data'!$A:$A,DATE(2025,12,1),'Raw Data'!$C:$C,"Travel")</x:f>
        <x:v>29476.549999988427</x:v>
      </x:c>
      <x:c r="N10" s="28" t="n">
        <x:f>SUM(B10:M10)</x:f>
        <x:v>330599.81999999995</x:v>
      </x:c>
      <x:c r="O10" s="28" t="n">
        <x:f>N10-SUMIFS('Raw Data'!$D:$D,'Raw Data'!$C:$C,"Travel")</x:f>
        <x:v>17239.500000000116</x:v>
      </x:c>
    </x:row>
    <x:row r="11">
      <x:c r="A11" t="str">
        <x:v>Facilities</x:v>
      </x:c>
      <x:c r="B11" s="28" t="n">
        <x:f>SUMIFS('Raw Data'!$E:$E,'Raw Data'!$A:$A,DATE(2025,1,1),'Raw Data'!$C:$C,"Facilities")</x:f>
        <x:v>32478.56</x:v>
      </x:c>
      <x:c r="C11" s="28" t="n">
        <x:f>SUMIFS('Raw Data'!$E:$E,'Raw Data'!$A:$A,DATE(2025,2,1),'Raw Data'!$C:$C,"Facilities")</x:f>
        <x:v>33448.67</x:v>
      </x:c>
      <x:c r="D11" s="28" t="n">
        <x:f>SUMIFS('Raw Data'!$E:$E,'Raw Data'!$A:$A,DATE(2025,3,1),'Raw Data'!$C:$C,"Facilities")</x:f>
        <x:v>34437.79</x:v>
      </x:c>
      <x:c r="E11" s="28" t="n">
        <x:f>SUMIFS('Raw Data'!$E:$E,'Raw Data'!$A:$A,DATE(2025,4,1),'Raw Data'!$C:$C,"Facilities")</x:f>
        <x:v>33706.759999988426</x:v>
      </x:c>
      <x:c r="F11" s="28" t="n">
        <x:f>SUMIFS('Raw Data'!$E:$E,'Raw Data'!$A:$A,DATE(2025,5,1),'Raw Data'!$C:$C,"Facilities")</x:f>
        <x:v>33559.33</x:v>
      </x:c>
      <x:c r="G11" s="28" t="n">
        <x:f>SUMIFS('Raw Data'!$E:$E,'Raw Data'!$A:$A,DATE(2025,6,1),'Raw Data'!$C:$C,"Facilities")</x:f>
        <x:v>34715.04</x:v>
      </x:c>
      <x:c r="H11" s="28" t="n">
        <x:f>SUMIFS('Raw Data'!$E:$E,'Raw Data'!$A:$A,DATE(2025,7,1),'Raw Data'!$C:$C,"Facilities")</x:f>
        <x:v>35191.03</x:v>
      </x:c>
      <x:c r="I11" s="28" t="n">
        <x:f>SUMIFS('Raw Data'!$E:$E,'Raw Data'!$A:$A,DATE(2025,8,1),'Raw Data'!$C:$C,"Facilities")</x:f>
        <x:v>35548.44</x:v>
      </x:c>
      <x:c r="J11" s="28" t="n">
        <x:f>SUMIFS('Raw Data'!$E:$E,'Raw Data'!$A:$A,DATE(2025,9,1),'Raw Data'!$C:$C,"Facilities")</x:f>
        <x:v>35746.26</x:v>
      </x:c>
      <x:c r="K11" s="28" t="n">
        <x:f>SUMIFS('Raw Data'!$E:$E,'Raw Data'!$A:$A,DATE(2025,10,1),'Raw Data'!$C:$C,"Facilities")</x:f>
        <x:v>35168.15</x:v>
      </x:c>
      <x:c r="L11" s="28" t="n">
        <x:f>SUMIFS('Raw Data'!$E:$E,'Raw Data'!$A:$A,DATE(2025,11,1),'Raw Data'!$C:$C,"Facilities")</x:f>
        <x:v>35954.93</x:v>
      </x:c>
      <x:c r="M11" s="28" t="n">
        <x:f>SUMIFS('Raw Data'!$E:$E,'Raw Data'!$A:$A,DATE(2025,12,1),'Raw Data'!$C:$C,"Facilities")</x:f>
        <x:v>37458.15</x:v>
      </x:c>
      <x:c r="N11" s="28" t="n">
        <x:f>SUM(B11:M11)</x:f>
        <x:v>417413.11000000004</x:v>
      </x:c>
      <x:c r="O11" s="28" t="n">
        <x:f>N11-SUMIFS('Raw Data'!$D:$D,'Raw Data'!$C:$C,"Facilities")</x:f>
        <x:v>8495.110000000044</x:v>
      </x:c>
    </x:row>
    <x:row r="12">
      <x:c r="A12" t="str">
        <x:v>Other OpEx</x:v>
      </x:c>
      <x:c r="B12" s="28" t="n">
        <x:f>SUMIFS('Raw Data'!$E:$E,'Raw Data'!$A:$A,DATE(2025,1,1),'Raw Data'!$C:$C,"Other OpEx")</x:f>
        <x:v>47269.73</x:v>
      </x:c>
      <x:c r="C12" s="28" t="n">
        <x:f>SUMIFS('Raw Data'!$E:$E,'Raw Data'!$A:$A,DATE(2025,2,1),'Raw Data'!$C:$C,"Other OpEx")</x:f>
        <x:v>48516.16</x:v>
      </x:c>
      <x:c r="D12" s="28" t="n">
        <x:f>SUMIFS('Raw Data'!$E:$E,'Raw Data'!$A:$A,DATE(2025,3,1),'Raw Data'!$C:$C,"Other OpEx")</x:f>
        <x:v>49428.58</x:v>
      </x:c>
      <x:c r="E12" s="28" t="n">
        <x:f>SUMIFS('Raw Data'!$E:$E,'Raw Data'!$A:$A,DATE(2025,4,1),'Raw Data'!$C:$C,"Other OpEx")</x:f>
        <x:v>48269.01999998843</x:v>
      </x:c>
      <x:c r="F12" s="28" t="n">
        <x:f>SUMIFS('Raw Data'!$E:$E,'Raw Data'!$A:$A,DATE(2025,5,1),'Raw Data'!$C:$C,"Other OpEx")</x:f>
        <x:v>48508.06</x:v>
      </x:c>
      <x:c r="G12" s="28" t="n">
        <x:f>SUMIFS('Raw Data'!$E:$E,'Raw Data'!$A:$A,DATE(2025,6,1),'Raw Data'!$C:$C,"Other OpEx")</x:f>
        <x:v>50526.57</x:v>
      </x:c>
      <x:c r="H12" s="28" t="n">
        <x:f>SUMIFS('Raw Data'!$E:$E,'Raw Data'!$A:$A,DATE(2025,7,1),'Raw Data'!$C:$C,"Other OpEx")</x:f>
        <x:v>50959.78</x:v>
      </x:c>
      <x:c r="I12" s="28" t="n">
        <x:f>SUMIFS('Raw Data'!$E:$E,'Raw Data'!$A:$A,DATE(2025,8,1),'Raw Data'!$C:$C,"Other OpEx")</x:f>
        <x:v>50963.819999988424</x:v>
      </x:c>
      <x:c r="J12" s="28" t="n">
        <x:f>SUMIFS('Raw Data'!$E:$E,'Raw Data'!$A:$A,DATE(2025,9,1),'Raw Data'!$C:$C,"Other OpEx")</x:f>
        <x:v>51231.56</x:v>
      </x:c>
      <x:c r="K12" s="28" t="n">
        <x:f>SUMIFS('Raw Data'!$E:$E,'Raw Data'!$A:$A,DATE(2025,10,1),'Raw Data'!$C:$C,"Other OpEx")</x:f>
        <x:v>50927.01</x:v>
      </x:c>
      <x:c r="L12" s="28" t="n">
        <x:f>SUMIFS('Raw Data'!$E:$E,'Raw Data'!$A:$A,DATE(2025,11,1),'Raw Data'!$C:$C,"Other OpEx")</x:f>
        <x:v>52348.6</x:v>
      </x:c>
      <x:c r="M12" s="28" t="n">
        <x:f>SUMIFS('Raw Data'!$E:$E,'Raw Data'!$A:$A,DATE(2025,12,1),'Raw Data'!$C:$C,"Other OpEx")</x:f>
        <x:v>54132.96</x:v>
      </x:c>
      <x:c r="N12" s="28" t="n">
        <x:f>SUM(B12:M12)</x:f>
        <x:v>603081.85</x:v>
      </x:c>
      <x:c r="O12" s="28" t="n">
        <x:f>N12-SUMIFS('Raw Data'!$D:$D,'Raw Data'!$C:$C,"Other OpEx")</x:f>
        <x:v>21987.849999999744</x:v>
      </x:c>
    </x:row>
    <x:row r="13">
      <x:c r="A13" s="32" t="str">
        <x:v>Total OpEx</x:v>
      </x:c>
      <x:c r="B13" s="33" t="n">
        <x:f>SUM(B8:B12)</x:f>
        <x:v>453239.49</x:v>
      </x:c>
      <x:c r="C13" s="33" t="n">
        <x:f>SUM(C8:C12)</x:f>
        <x:v>459786.45000000007</x:v>
      </x:c>
      <x:c r="D13" s="33" t="n">
        <x:f>SUM(D8:D12)</x:f>
        <x:v>478409.51</x:v>
      </x:c>
      <x:c r="E13" s="33" t="n">
        <x:f>SUM(E8:E12)</x:f>
        <x:v>478171.94000000006</x:v>
      </x:c>
      <x:c r="F13" s="33" t="n">
        <x:f>SUM(F8:F12)</x:f>
        <x:v>476382.52</x:v>
      </x:c>
      <x:c r="G13" s="33" t="n">
        <x:f>SUM(G8:G12)</x:f>
        <x:v>482512.56</x:v>
      </x:c>
      <x:c r="H13" s="33" t="n">
        <x:f>SUM(H8:H12)</x:f>
        <x:v>483720.1</x:v>
      </x:c>
      <x:c r="I13" s="33" t="n">
        <x:f>SUM(I8:I12)</x:f>
        <x:v>495756.92000000004</x:v>
      </x:c>
      <x:c r="J13" s="33" t="n">
        <x:f>SUM(J8:J12)</x:f>
        <x:v>507877.46</x:v>
      </x:c>
      <x:c r="K13" s="33" t="n">
        <x:f>SUM(K8:K12)</x:f>
        <x:v>497924.5</x:v>
      </x:c>
      <x:c r="L13" s="33" t="n">
        <x:f>SUM(L8:L12)</x:f>
        <x:v>498140.94999999995</x:v>
      </x:c>
      <x:c r="M13" s="33" t="n">
        <x:f>SUM(M8:M12)</x:f>
        <x:v>515244.74000000005</x:v>
      </x:c>
      <x:c r="N13" s="33" t="n">
        <x:f>SUM(B13:M13)</x:f>
        <x:v>5827167.140000001</x:v>
      </x:c>
      <x:c r="O13" s="33" t="n">
        <x:f>SUM(O8:O12)</x:f>
        <x:v>235321.09999999934</x:v>
      </x:c>
    </x:row>
    <x:row r="14">
      <x:c r="A14" s="32" t="str">
        <x:v>Operating Profit</x:v>
      </x:c>
      <x:c r="B14" s="33" t="n">
        <x:f>B6-B13</x:f>
        <x:v>77001.78000000003</x:v>
      </x:c>
      <x:c r="C14" s="33" t="n">
        <x:f>C6-C13</x:f>
        <x:v>75388.92999999993</x:v>
      </x:c>
      <x:c r="D14" s="33" t="n">
        <x:f>D6-D13</x:f>
        <x:v>38033.37000000005</x:v>
      </x:c>
      <x:c r="E14" s="33" t="n">
        <x:f>E6-E13</x:f>
        <x:v>26220.39999999985</x:v>
      </x:c>
      <x:c r="F14" s="33" t="n">
        <x:f>F6-F13</x:f>
        <x:v>29735.01000000001</x:v>
      </x:c>
      <x:c r="G14" s="33" t="n">
        <x:f>G6-G13</x:f>
        <x:v>46526.60999999993</x:v>
      </x:c>
      <x:c r="H14" s="33" t="n">
        <x:f>H6-H13</x:f>
        <x:v>84853.25</x:v>
      </x:c>
      <x:c r="I14" s="33" t="n">
        <x:f>I6-I13</x:f>
        <x:v>81561.94999999984</x:v>
      </x:c>
      <x:c r="J14" s="33" t="n">
        <x:f>J6-J13</x:f>
        <x:v>43227.91000000009</x:v>
      </x:c>
      <x:c r="K14" s="33" t="n">
        <x:f>K6-K13</x:f>
        <x:v>36570.79000000004</x:v>
      </x:c>
      <x:c r="L14" s="33" t="n">
        <x:f>L6-L13</x:f>
        <x:v>38279.05000000028</x:v>
      </x:c>
      <x:c r="M14" s="33" t="n">
        <x:f>M6-M13</x:f>
        <x:v>40730.2800000002</x:v>
      </x:c>
      <x:c r="N14" s="33" t="n">
        <x:f>SUM(B14:M14)</x:f>
        <x:v>618129.3300000003</x:v>
      </x:c>
      <x:c r="O14" s="33" t="n">
        <x:f>O6-O13</x:f>
        <x:v>-266374.22999999643</x:v>
      </x:c>
    </x:row>
    <x:row r="15">
      <x:c r="A15" t="str">
        <x:v>Operating Margin %</x:v>
      </x:c>
      <x:c r="B15" s="30" t="n">
        <x:f>IFERROR(B14/B4,0)</x:f>
        <x:v>0.08428779021941402</x:v>
      </x:c>
      <x:c r="C15" s="30" t="n">
        <x:f>IFERROR(C14/C4,0)</x:f>
        <x:v>0.0825423469381051</x:v>
      </x:c>
      <x:c r="D15" s="30" t="n">
        <x:f>IFERROR(D14/D4,0)</x:f>
        <x:v>0.04219217833868896</x:v>
      </x:c>
      <x:c r="E15" s="30" t="n">
        <x:f>IFERROR(E14/E4,0)</x:f>
        <x:v>0.029289887999165164</x:v>
      </x:c>
      <x:c r="F15" s="30" t="n">
        <x:f>IFERROR(F14/F4,0)</x:f>
        <x:v>0.03276386410679842</x:v>
      </x:c>
      <x:c r="G15" s="30" t="n">
        <x:f>IFERROR(G14/G4,0)</x:f>
        <x:v>0.04971111018061441</x:v>
      </x:c>
      <x:c r="H15" s="30" t="n">
        <x:f>IFERROR(H14/H4,0)</x:f>
        <x:v>0.08800285182620392</x:v>
      </x:c>
      <x:c r="I15" s="30" t="n">
        <x:f>IFERROR(I14/I4,0)</x:f>
        <x:v>0.08356713676121423</x:v>
      </x:c>
      <x:c r="J15" s="30" t="n">
        <x:f>IFERROR(J14/J4,0)</x:f>
        <x:v>0.04463049194017776</x:v>
      </x:c>
      <x:c r="K15" s="30" t="n">
        <x:f>IFERROR(K14/K4,0)</x:f>
        <x:v>0.03827970793915091</x:v>
      </x:c>
      <x:c r="L15" s="30" t="n">
        <x:f>IFERROR(L14/L4,0)</x:f>
        <x:v>0.04008546668165295</x:v>
      </x:c>
      <x:c r="M15" s="30" t="n">
        <x:f>IFERROR(M14/M4,0)</x:f>
        <x:v>0.04175644291436295</x:v>
      </x:c>
      <x:c r="N15" s="30" t="n">
        <x:f>IFERROR(N14/N4,0)</x:f>
        <x:v>0.054888570110245234</x:v>
      </x:c>
      <x:c r="O15" s="30" t="n">
        <x:f>N15-((SUMIFS('Raw Data'!$D:$D,'Raw Data'!$C:$C,"Revenue")-SUMIFS('Raw Data'!$D:$D,'Raw Data'!$C:$C,"COGS")-SUMIFS('Raw Data'!$D:$D,'Raw Data'!$C:$C,"Payroll")-SUMIFS('Raw Data'!$D:$D,'Raw Data'!$C:$C,"Software")-SUMIFS('Raw Data'!$D:$D,'Raw Data'!$C:$C,"Travel")-SUMIFS('Raw Data'!$D:$D,'Raw Data'!$C:$C,"Facilities")-SUMIFS('Raw Data'!$D:$D,'Raw Data'!$C:$C,"Other OpEx"))/SUMIFS('Raw Data'!$D:$D,'Raw Data'!$C:$C,"Revenue"))</x:f>
        <x:v>-0.024324581817192346</x:v>
      </x:c>
    </x:row>
  </x:sheetData>
  <x:mergeCells>
    <x:mergeCell ref="A1:O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5" hidden="0" customWidth="1"/>
  </x:cols>
  <x:sheetData>
    <x:row r="1" ht="28" customHeight="1">
      <x:c r="A1" s="5" t="str">
        <x:v>Department Variance Analysis | FY 2025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Department</x:v>
      </x:c>
      <x:c r="B3" s="13" t="str">
        <x:v>Revenue Var ($)</x:v>
      </x:c>
      <x:c r="C3" s="13" t="str">
        <x:v>COGS Var ($)</x:v>
      </x:c>
      <x:c r="D3" s="13" t="str">
        <x:v>OpEx Budget ($)</x:v>
      </x:c>
      <x:c r="E3" s="13" t="str">
        <x:v>OpEx Actual ($)</x:v>
      </x:c>
      <x:c r="F3" s="13" t="str">
        <x:v>OpEx Var ($)</x:v>
      </x:c>
      <x:c r="G3" s="13" t="str">
        <x:v>OpEx Var (%)</x:v>
      </x:c>
      <x:c r="H3" s="13" t="str">
        <x:v>Status</x:v>
      </x:c>
    </x:row>
    <x:row r="4">
      <x:c r="A4" t="str">
        <x:v>Sales</x:v>
      </x:c>
      <x:c r="B4" s="28" t="n">
        <x:f>SUMIFS('Raw Data'!$F:$F,'Raw Data'!$B:$B,A4,'Raw Data'!$C:$C,"Revenue")</x:f>
        <x:v>56124.399999999994</x:v>
      </x:c>
      <x:c r="C4" s="28" t="n">
        <x:f>SUMIFS('Raw Data'!$F:$F,'Raw Data'!$B:$B,A4,'Raw Data'!$C:$C,"COGS")</x:f>
        <x:v>58661.58999999999</x:v>
      </x:c>
      <x:c r="D4" s="28" t="n">
        <x:f>SUMIFS('Raw Data'!$D:$D,'Raw Data'!$B:$B,A4,'Raw Data'!$C:$C,"Payroll")+SUMIFS('Raw Data'!$D:$D,'Raw Data'!$B:$B,A4,'Raw Data'!$C:$C,"Software")+SUMIFS('Raw Data'!$D:$D,'Raw Data'!$B:$B,A4,'Raw Data'!$C:$C,"Travel")+SUMIFS('Raw Data'!$D:$D,'Raw Data'!$B:$B,A4,'Raw Data'!$C:$C,"Facilities")+SUMIFS('Raw Data'!$D:$D,'Raw Data'!$B:$B,A4,'Raw Data'!$C:$C,"Other OpEx")</x:f>
        <x:v>1064478.1199999999</x:v>
      </x:c>
      <x:c r="E4" s="28" t="n">
        <x:f>SUMIFS('Raw Data'!$E:$E,'Raw Data'!$B:$B,A4,'Raw Data'!$C:$C,"Payroll")+SUMIFS('Raw Data'!$E:$E,'Raw Data'!$B:$B,A4,'Raw Data'!$C:$C,"Software")+SUMIFS('Raw Data'!$E:$E,'Raw Data'!$B:$B,A4,'Raw Data'!$C:$C,"Travel")+SUMIFS('Raw Data'!$E:$E,'Raw Data'!$B:$B,A4,'Raw Data'!$C:$C,"Facilities")+SUMIFS('Raw Data'!$E:$E,'Raw Data'!$B:$B,A4,'Raw Data'!$C:$C,"Other OpEx")</x:f>
        <x:v>1094148.74</x:v>
      </x:c>
      <x:c r="F4" s="28" t="n">
        <x:f>E4-D4</x:f>
        <x:v>29670.62000000011</x:v>
      </x:c>
      <x:c r="G4" s="30" t="n">
        <x:f>IFERROR(F4/D4,0)</x:f>
        <x:v>0.027873395838328846</x:v>
      </x:c>
      <x:c r="H4" t="str">
        <x:f>IF(G4&gt;0.05,"Escalate",IF(G4&lt;-0.05,"Favorable","Monitor"))</x:f>
        <x:v>Monitor</x:v>
      </x:c>
    </x:row>
    <x:row r="5">
      <x:c r="A5" t="str">
        <x:v>Marketing</x:v>
      </x:c>
      <x:c r="B5" s="28" t="n">
        <x:f>SUMIFS('Raw Data'!$F:$F,'Raw Data'!$B:$B,A5,'Raw Data'!$C:$C,"Revenue")</x:f>
        <x:v>14775.080000000002</x:v>
      </x:c>
      <x:c r="C5" s="28" t="n">
        <x:f>SUMIFS('Raw Data'!$F:$F,'Raw Data'!$B:$B,A5,'Raw Data'!$C:$C,"COGS")</x:f>
        <x:v>29405.56</x:v>
      </x:c>
      <x:c r="D5" s="28" t="n">
        <x:f>SUMIFS('Raw Data'!$D:$D,'Raw Data'!$B:$B,A5,'Raw Data'!$C:$C,"Payroll")+SUMIFS('Raw Data'!$D:$D,'Raw Data'!$B:$B,A5,'Raw Data'!$C:$C,"Software")+SUMIFS('Raw Data'!$D:$D,'Raw Data'!$B:$B,A5,'Raw Data'!$C:$C,"Travel")+SUMIFS('Raw Data'!$D:$D,'Raw Data'!$B:$B,A5,'Raw Data'!$C:$C,"Facilities")+SUMIFS('Raw Data'!$D:$D,'Raw Data'!$B:$B,A5,'Raw Data'!$C:$C,"Other OpEx")</x:f>
        <x:v>1052425.7999999998</x:v>
      </x:c>
      <x:c r="E5" s="28" t="n">
        <x:f>SUMIFS('Raw Data'!$E:$E,'Raw Data'!$B:$B,A5,'Raw Data'!$C:$C,"Payroll")+SUMIFS('Raw Data'!$E:$E,'Raw Data'!$B:$B,A5,'Raw Data'!$C:$C,"Software")+SUMIFS('Raw Data'!$E:$E,'Raw Data'!$B:$B,A5,'Raw Data'!$C:$C,"Travel")+SUMIFS('Raw Data'!$E:$E,'Raw Data'!$B:$B,A5,'Raw Data'!$C:$C,"Facilities")+SUMIFS('Raw Data'!$E:$E,'Raw Data'!$B:$B,A5,'Raw Data'!$C:$C,"Other OpEx")</x:f>
        <x:v>1098956.97</x:v>
      </x:c>
      <x:c r="F5" s="28" t="n">
        <x:f>E5-D5</x:f>
        <x:v>46531.17000000016</x:v>
      </x:c>
      <x:c r="G5" s="30" t="n">
        <x:f>IFERROR(F5/D5,0)</x:f>
        <x:v>0.04421325474917107</x:v>
      </x:c>
      <x:c r="H5" t="str">
        <x:f>IF(G5&gt;0.05,"Escalate",IF(G5&lt;-0.05,"Favorable","Monitor"))</x:f>
        <x:v>Monitor</x:v>
      </x:c>
    </x:row>
    <x:row r="6">
      <x:c r="A6" t="str">
        <x:v>R&amp;D</x:v>
      </x:c>
      <x:c r="B6" s="28" t="n">
        <x:f>SUMIFS('Raw Data'!$F:$F,'Raw Data'!$B:$B,A6,'Raw Data'!$C:$C,"Revenue")</x:f>
        <x:v>8986.51</x:v>
      </x:c>
      <x:c r="C6" s="28" t="n">
        <x:f>SUMIFS('Raw Data'!$F:$F,'Raw Data'!$B:$B,A6,'Raw Data'!$C:$C,"COGS")</x:f>
        <x:v>27888.960000000003</x:v>
      </x:c>
      <x:c r="D6" s="28" t="n">
        <x:f>SUMIFS('Raw Data'!$D:$D,'Raw Data'!$B:$B,A6,'Raw Data'!$C:$C,"Payroll")+SUMIFS('Raw Data'!$D:$D,'Raw Data'!$B:$B,A6,'Raw Data'!$C:$C,"Software")+SUMIFS('Raw Data'!$D:$D,'Raw Data'!$B:$B,A6,'Raw Data'!$C:$C,"Travel")+SUMIFS('Raw Data'!$D:$D,'Raw Data'!$B:$B,A6,'Raw Data'!$C:$C,"Facilities")+SUMIFS('Raw Data'!$D:$D,'Raw Data'!$B:$B,A6,'Raw Data'!$C:$C,"Other OpEx")</x:f>
        <x:v>1370090.52</x:v>
      </x:c>
      <x:c r="E6" s="28" t="n">
        <x:f>SUMIFS('Raw Data'!$E:$E,'Raw Data'!$B:$B,A6,'Raw Data'!$C:$C,"Payroll")+SUMIFS('Raw Data'!$E:$E,'Raw Data'!$B:$B,A6,'Raw Data'!$C:$C,"Software")+SUMIFS('Raw Data'!$E:$E,'Raw Data'!$B:$B,A6,'Raw Data'!$C:$C,"Travel")+SUMIFS('Raw Data'!$E:$E,'Raw Data'!$B:$B,A6,'Raw Data'!$C:$C,"Facilities")+SUMIFS('Raw Data'!$E:$E,'Raw Data'!$B:$B,A6,'Raw Data'!$C:$C,"Other OpEx")</x:f>
        <x:v>1480606.6199999999</x:v>
      </x:c>
      <x:c r="F6" s="28" t="n">
        <x:f>E6-D6</x:f>
        <x:v>110516.09999999986</x:v>
      </x:c>
      <x:c r="G6" s="30" t="n">
        <x:f>IFERROR(F6/D6,0)</x:f>
        <x:v>0.08066335646202402</x:v>
      </x:c>
      <x:c r="H6" t="str">
        <x:f>IF(G6&gt;0.05,"Escalate",IF(G6&lt;-0.05,"Favorable","Monitor"))</x:f>
        <x:v>Escalate</x:v>
      </x:c>
    </x:row>
    <x:row r="7">
      <x:c r="A7" t="str">
        <x:v>Operations</x:v>
      </x:c>
      <x:c r="B7" s="28" t="n">
        <x:f>SUMIFS('Raw Data'!$F:$F,'Raw Data'!$B:$B,A7,'Raw Data'!$C:$C,"Revenue")</x:f>
        <x:v>8056.15</x:v>
      </x:c>
      <x:c r="C7" s="28" t="n">
        <x:f>SUMIFS('Raw Data'!$F:$F,'Raw Data'!$B:$B,A7,'Raw Data'!$C:$C,"COGS")</x:f>
        <x:v>3454.3599999999997</x:v>
      </x:c>
      <x:c r="D7" s="28" t="n">
        <x:f>SUMIFS('Raw Data'!$D:$D,'Raw Data'!$B:$B,A7,'Raw Data'!$C:$C,"Payroll")+SUMIFS('Raw Data'!$D:$D,'Raw Data'!$B:$B,A7,'Raw Data'!$C:$C,"Software")+SUMIFS('Raw Data'!$D:$D,'Raw Data'!$B:$B,A7,'Raw Data'!$C:$C,"Travel")+SUMIFS('Raw Data'!$D:$D,'Raw Data'!$B:$B,A7,'Raw Data'!$C:$C,"Facilities")+SUMIFS('Raw Data'!$D:$D,'Raw Data'!$B:$B,A7,'Raw Data'!$C:$C,"Other OpEx")</x:f>
        <x:v>1052425.7999999998</x:v>
      </x:c>
      <x:c r="E7" s="28" t="n">
        <x:f>SUMIFS('Raw Data'!$E:$E,'Raw Data'!$B:$B,A7,'Raw Data'!$C:$C,"Payroll")+SUMIFS('Raw Data'!$E:$E,'Raw Data'!$B:$B,A7,'Raw Data'!$C:$C,"Software")+SUMIFS('Raw Data'!$E:$E,'Raw Data'!$B:$B,A7,'Raw Data'!$C:$C,"Travel")+SUMIFS('Raw Data'!$E:$E,'Raw Data'!$B:$B,A7,'Raw Data'!$C:$C,"Facilities")+SUMIFS('Raw Data'!$E:$E,'Raw Data'!$B:$B,A7,'Raw Data'!$C:$C,"Other OpEx")</x:f>
        <x:v>1070015.38</x:v>
      </x:c>
      <x:c r="F7" s="28" t="n">
        <x:f>E7-D7</x:f>
        <x:v>17589.580000000075</x:v>
      </x:c>
      <x:c r="G7" s="30" t="n">
        <x:f>IFERROR(F7/D7,0)</x:f>
        <x:v>0.016713368296368332</x:v>
      </x:c>
      <x:c r="H7" t="str">
        <x:f>IF(G7&gt;0.05,"Escalate",IF(G7&lt;-0.05,"Favorable","Monitor"))</x:f>
        <x:v>Monitor</x:v>
      </x:c>
    </x:row>
    <x:row r="8">
      <x:c r="A8" t="str">
        <x:v>G&amp;A</x:v>
      </x:c>
      <x:c r="B8" s="28" t="n">
        <x:f>SUMIFS('Raw Data'!$F:$F,'Raw Data'!$B:$B,A8,'Raw Data'!$C:$C,"Revenue")</x:f>
        <x:v>7468.790000000001</x:v>
      </x:c>
      <x:c r="C8" s="28" t="n">
        <x:f>SUMIFS('Raw Data'!$F:$F,'Raw Data'!$B:$B,A8,'Raw Data'!$C:$C,"COGS")</x:f>
        <x:v>7053.59</x:v>
      </x:c>
      <x:c r="D8" s="28" t="n">
        <x:f>SUMIFS('Raw Data'!$D:$D,'Raw Data'!$B:$B,A8,'Raw Data'!$C:$C,"Payroll")+SUMIFS('Raw Data'!$D:$D,'Raw Data'!$B:$B,A8,'Raw Data'!$C:$C,"Software")+SUMIFS('Raw Data'!$D:$D,'Raw Data'!$B:$B,A8,'Raw Data'!$C:$C,"Travel")+SUMIFS('Raw Data'!$D:$D,'Raw Data'!$B:$B,A8,'Raw Data'!$C:$C,"Facilities")+SUMIFS('Raw Data'!$D:$D,'Raw Data'!$B:$B,A8,'Raw Data'!$C:$C,"Other OpEx")</x:f>
        <x:v>1052425.7999999998</x:v>
      </x:c>
      <x:c r="E8" s="28" t="n">
        <x:f>SUMIFS('Raw Data'!$E:$E,'Raw Data'!$B:$B,A8,'Raw Data'!$C:$C,"Payroll")+SUMIFS('Raw Data'!$E:$E,'Raw Data'!$B:$B,A8,'Raw Data'!$C:$C,"Software")+SUMIFS('Raw Data'!$E:$E,'Raw Data'!$B:$B,A8,'Raw Data'!$C:$C,"Travel")+SUMIFS('Raw Data'!$E:$E,'Raw Data'!$B:$B,A8,'Raw Data'!$C:$C,"Facilities")+SUMIFS('Raw Data'!$E:$E,'Raw Data'!$B:$B,A8,'Raw Data'!$C:$C,"Other OpEx")</x:f>
        <x:v>1083439.4300000002</x:v>
      </x:c>
      <x:c r="F8" s="28" t="n">
        <x:f>E8-D8</x:f>
        <x:v>31013.630000000354</x:v>
      </x:c>
      <x:c r="G8" s="30" t="n">
        <x:f>IFERROR(F8/D8,0)</x:f>
        <x:v>0.029468709337988824</x:v>
      </x:c>
      <x:c r="H8" t="str">
        <x:f>IF(G8&gt;0.05,"Escalate",IF(G8&lt;-0.05,"Favorable","Monitor"))</x:f>
        <x:v>Monitor</x:v>
      </x:c>
    </x:row>
    <x:row r="10">
      <x:c r="A10" t="str">
        <x:v>Control threshold</x:v>
      </x:c>
      <x:c r="B10" t="str"/>
      <x:c r="C10" t="str"/>
      <x:c r="D10" t="str"/>
      <x:c r="E10" t="str"/>
      <x:c r="F10" t="str"/>
      <x:c r="G10" s="30" t="str">
        <x:v>5.0%</x:v>
      </x:c>
      <x:c r="H10" t="str">
        <x:v>Absolute variance ≥5% requires management review</x:v>
      </x:c>
    </x:row>
  </x:sheetData>
  <x:mergeCells>
    <x:mergeCell ref="A1:H1"/>
  </x:mergeCells>
  <x:conditionalFormatting sqref="G4:G8">
    <x:cfRule type="expression" dxfId="0" priority="1">
      <x:formula>ABS(G4)&gt;0.05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8" customHeight="1">
      <x:c r="A1" s="5" t="str">
        <x:v>Rolling Forecast | FY 2026 Base Case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3">
      <x:c r="A3" s="13" t="str">
        <x:v>Metric</x:v>
      </x:c>
      <x:c r="B3" s="13" t="str">
        <x:v>Jan</x:v>
      </x:c>
      <x:c r="C3" s="13" t="str">
        <x:v>Feb</x:v>
      </x:c>
      <x:c r="D3" s="13" t="str">
        <x:v>Mar</x:v>
      </x:c>
      <x:c r="E3" s="13" t="str">
        <x:v>Apr</x:v>
      </x:c>
      <x:c r="F3" s="13" t="str">
        <x:v>May</x:v>
      </x:c>
      <x:c r="G3" s="13" t="str">
        <x:v>Jun</x:v>
      </x:c>
      <x:c r="H3" s="13" t="str">
        <x:v>Jul</x:v>
      </x:c>
      <x:c r="I3" s="13" t="str">
        <x:v>Aug</x:v>
      </x:c>
      <x:c r="J3" s="13" t="str">
        <x:v>Sep</x:v>
      </x:c>
      <x:c r="K3" s="13" t="str">
        <x:v>Oct</x:v>
      </x:c>
      <x:c r="L3" s="13" t="str">
        <x:v>Nov</x:v>
      </x:c>
      <x:c r="M3" s="13" t="str">
        <x:v>Dec</x:v>
      </x:c>
      <x:c r="N3" s="13" t="str">
        <x:v>FY 2026</x:v>
      </x:c>
      <x:c r="O3" s="13" t="str">
        <x:v>vs FY25</x:v>
      </x:c>
    </x:row>
    <x:row r="4">
      <x:c r="A4" t="str">
        <x:v>Revenue</x:v>
      </x:c>
      <x:c r="B4" s="36" t="n">
        <x:f>'Monthly P&amp;L'!B4*(1+Assumptions!$C$4)</x:f>
        <x:v>968371.4164000001</x:v>
      </x:c>
      <x:c r="C4" s="36" t="n">
        <x:f>'Monthly P&amp;L'!C4*(1+Assumptions!$C$4)</x:f>
        <x:v>968136.584</x:v>
      </x:c>
      <x:c r="D4" s="36" t="n">
        <x:f>'Monthly P&amp;L'!D4*(1+Assumptions!$C$4)</x:f>
        <x:v>955517.6762000001</x:v>
      </x:c>
      <x:c r="E4" s="36" t="n">
        <x:f>'Monthly P&amp;L'!E4*(1+Assumptions!$C$4)</x:f>
        <x:v>948915.3389999999</x:v>
      </x:c>
      <x:c r="F4" s="36" t="n">
        <x:f>'Monthly P&amp;L'!F4*(1+Assumptions!$C$4)</x:f>
        <x:v>962008.3424000001</x:v>
      </x:c>
      <x:c r="G4" s="36" t="n">
        <x:f>'Monthly P&amp;L'!G4*(1+Assumptions!$C$4)</x:f>
        <x:v>992096.2622</x:v>
      </x:c>
      <x:c r="H4" s="36" t="n">
        <x:f>'Monthly P&amp;L'!H4*(1+Assumptions!$C$4)</x:f>
        <x:v>1022062.8438</x:v>
      </x:c>
      <x:c r="I4" s="36" t="n">
        <x:f>'Monthly P&amp;L'!I4*(1+Assumptions!$C$4)</x:f>
        <x:v>1034565.3848</x:v>
      </x:c>
      <x:c r="J4" s="36" t="n">
        <x:f>'Monthly P&amp;L'!J4*(1+Assumptions!$C$4)</x:f>
        <x:v>1026687.8676000001</x:v>
      </x:c>
      <x:c r="K4" s="36" t="n">
        <x:f>'Monthly P&amp;L'!K4*(1+Assumptions!$C$4)</x:f>
        <x:v>1012678.5048000001</x:v>
      </x:c>
      <x:c r="L4" s="36" t="n">
        <x:f>'Monthly P&amp;L'!L4*(1+Assumptions!$C$4)</x:f>
        <x:v>1012232.0222000002</x:v>
      </x:c>
      <x:c r="M4" s="36" t="n">
        <x:f>'Monthly P&amp;L'!M4*(1+Assumptions!$C$4)</x:f>
        <x:v>1033950.5424000003</x:v>
      </x:c>
      <x:c r="N4" s="28" t="n">
        <x:f>SUM(B4:M4)</x:f>
        <x:v>11937222.7858</x:v>
      </x:c>
      <x:c r="O4" s="28" t="n">
        <x:f>N4-'Monthly P&amp;L'!N4</x:f>
        <x:v>675691.8557999991</x:v>
      </x:c>
    </x:row>
    <x:row r="5">
      <x:c r="A5" t="str">
        <x:v>COGS</x:v>
      </x:c>
      <x:c r="B5" s="36" t="n">
        <x:f>B4*Assumptions!$C$5</x:f>
        <x:v>406715.994888</x:v>
      </x:c>
      <x:c r="C5" s="36" t="n">
        <x:f>C4*Assumptions!$C$5</x:f>
        <x:v>406617.36528</x:v>
      </x:c>
      <x:c r="D5" s="36" t="n">
        <x:f>D4*Assumptions!$C$5</x:f>
        <x:v>401317.42400400003</x:v>
      </x:c>
      <x:c r="E5" s="36" t="n">
        <x:f>E4*Assumptions!$C$5</x:f>
        <x:v>398544.44237999996</x:v>
      </x:c>
      <x:c r="F5" s="36" t="n">
        <x:f>F4*Assumptions!$C$5</x:f>
        <x:v>404043.503808</x:v>
      </x:c>
      <x:c r="G5" s="36" t="n">
        <x:f>G4*Assumptions!$C$5</x:f>
        <x:v>416680.430124</x:v>
      </x:c>
      <x:c r="H5" s="36" t="n">
        <x:f>H4*Assumptions!$C$5</x:f>
        <x:v>429266.394396</x:v>
      </x:c>
      <x:c r="I5" s="36" t="n">
        <x:f>I4*Assumptions!$C$5</x:f>
        <x:v>434517.461616</x:v>
      </x:c>
      <x:c r="J5" s="36" t="n">
        <x:f>J4*Assumptions!$C$5</x:f>
        <x:v>431208.90439200005</x:v>
      </x:c>
      <x:c r="K5" s="36" t="n">
        <x:f>K4*Assumptions!$C$5</x:f>
        <x:v>425324.972016</x:v>
      </x:c>
      <x:c r="L5" s="36" t="n">
        <x:f>L4*Assumptions!$C$5</x:f>
        <x:v>425137.4493240001</x:v>
      </x:c>
      <x:c r="M5" s="36" t="n">
        <x:f>M4*Assumptions!$C$5</x:f>
        <x:v>434259.2278080001</x:v>
      </x:c>
      <x:c r="N5" s="28" t="n">
        <x:f>SUM(B5:M5)</x:f>
        <x:v>5013633.570036001</x:v>
      </x:c>
      <x:c r="O5" s="28" t="n">
        <x:f>N5-'Monthly P&amp;L'!N5</x:f>
        <x:v>197399.11003600154</x:v>
      </x:c>
    </x:row>
    <x:row r="6">
      <x:c r="A6" t="str">
        <x:v>Gross Profit</x:v>
      </x:c>
      <x:c r="B6" s="36" t="n">
        <x:f>B4-B5</x:f>
        <x:v>561655.421512</x:v>
      </x:c>
      <x:c r="C6" s="36" t="n">
        <x:f>C4-C5</x:f>
        <x:v>561519.21872</x:v>
      </x:c>
      <x:c r="D6" s="36" t="n">
        <x:f>D4-D5</x:f>
        <x:v>554200.2521960001</x:v>
      </x:c>
      <x:c r="E6" s="36" t="n">
        <x:f>E4-E5</x:f>
        <x:v>550370.89662</x:v>
      </x:c>
      <x:c r="F6" s="36" t="n">
        <x:f>F4-F5</x:f>
        <x:v>557964.8385920001</x:v>
      </x:c>
      <x:c r="G6" s="36" t="n">
        <x:f>G4-G5</x:f>
        <x:v>575415.832076</x:v>
      </x:c>
      <x:c r="H6" s="36" t="n">
        <x:f>H4-H5</x:f>
        <x:v>592796.4494040001</x:v>
      </x:c>
      <x:c r="I6" s="36" t="n">
        <x:f>I4-I5</x:f>
        <x:v>600047.923184</x:v>
      </x:c>
      <x:c r="J6" s="36" t="n">
        <x:f>J4-J5</x:f>
        <x:v>595478.9632080001</x:v>
      </x:c>
      <x:c r="K6" s="36" t="n">
        <x:f>K4-K5</x:f>
        <x:v>587353.532784</x:v>
      </x:c>
      <x:c r="L6" s="36" t="n">
        <x:f>L4-L5</x:f>
        <x:v>587094.5728760001</x:v>
      </x:c>
      <x:c r="M6" s="36" t="n">
        <x:f>M4-M5</x:f>
        <x:v>599691.3145920001</x:v>
      </x:c>
      <x:c r="N6" s="28" t="n">
        <x:f>SUM(B6:M6)</x:f>
        <x:v>6923589.215764001</x:v>
      </x:c>
      <x:c r="O6" s="28" t="n">
        <x:f>N6-'Monthly P&amp;L'!N6</x:f>
        <x:v>478292.74576400034</x:v>
      </x:c>
    </x:row>
    <x:row r="7">
      <x:c r="A7" t="str">
        <x:v>Gross Margin %</x:v>
      </x:c>
      <x:c r="B7" s="37" t="n">
        <x:f>IFERROR(B6/B4,0)</x:f>
        <x:v>0.58</x:v>
      </x:c>
      <x:c r="C7" s="37" t="n">
        <x:f>IFERROR(C6/C4,0)</x:f>
        <x:v>0.58</x:v>
      </x:c>
      <x:c r="D7" s="37" t="n">
        <x:f>IFERROR(D6/D4,0)</x:f>
        <x:v>0.58</x:v>
      </x:c>
      <x:c r="E7" s="37" t="n">
        <x:f>IFERROR(E6/E4,0)</x:f>
        <x:v>0.5800000000000001</x:v>
      </x:c>
      <x:c r="F7" s="37" t="n">
        <x:f>IFERROR(F6/F4,0)</x:f>
        <x:v>0.5800000000000001</x:v>
      </x:c>
      <x:c r="G7" s="37" t="n">
        <x:f>IFERROR(G6/G4,0)</x:f>
        <x:v>0.5800000000000001</x:v>
      </x:c>
      <x:c r="H7" s="37" t="n">
        <x:f>IFERROR(H6/H4,0)</x:f>
        <x:v>0.5800000000000001</x:v>
      </x:c>
      <x:c r="I7" s="37" t="n">
        <x:f>IFERROR(I6/I4,0)</x:f>
        <x:v>0.58</x:v>
      </x:c>
      <x:c r="J7" s="37" t="n">
        <x:f>IFERROR(J6/J4,0)</x:f>
        <x:v>0.58</x:v>
      </x:c>
      <x:c r="K7" s="37" t="n">
        <x:f>IFERROR(K6/K4,0)</x:f>
        <x:v>0.58</x:v>
      </x:c>
      <x:c r="L7" s="37" t="n">
        <x:f>IFERROR(L6/L4,0)</x:f>
        <x:v>0.58</x:v>
      </x:c>
      <x:c r="M7" s="37" t="n">
        <x:f>IFERROR(M6/M4,0)</x:f>
        <x:v>0.58</x:v>
      </x:c>
      <x:c r="N7" s="30" t="n">
        <x:f>IFERROR(N6/N4,0)</x:f>
        <x:v>0.5800000000000001</x:v>
      </x:c>
      <x:c r="O7" s="30" t="n">
        <x:f>N7-'Monthly P&amp;L'!N7</x:f>
        <x:v>0.007671378779403715</x:v>
      </x:c>
    </x:row>
    <x:row r="8">
      <x:c r="A8" t="str">
        <x:v>Payroll</x:v>
      </x:c>
      <x:c r="B8" s="36" t="n">
        <x:f>'Monthly P&amp;L'!B8*(1+Assumptions!$C$6)</x:f>
        <x:v>302739.885</x:v>
      </x:c>
      <x:c r="C8" s="36" t="n">
        <x:f>'Monthly P&amp;L'!C8*(1+Assumptions!$C$6)</x:f>
        <x:v>305368.75950000004</x:v>
      </x:c>
      <x:c r="D8" s="36" t="n">
        <x:f>'Monthly P&amp;L'!D8*(1+Assumptions!$C$6)</x:f>
        <x:v>319005.141</x:v>
      </x:c>
      <x:c r="E8" s="36" t="n">
        <x:f>'Monthly P&amp;L'!E8*(1+Assumptions!$C$6)</x:f>
        <x:v>321277.6035000001</x:v>
      </x:c>
      <x:c r="F8" s="36" t="n">
        <x:f>'Monthly P&amp;L'!F8*(1+Assumptions!$C$6)</x:f>
        <x:v>320176.81500000006</x:v>
      </x:c>
      <x:c r="G8" s="36" t="n">
        <x:f>'Monthly P&amp;L'!G8*(1+Assumptions!$C$6)</x:f>
        <x:v>321847.701</x:v>
      </x:c>
      <x:c r="H8" s="36" t="n">
        <x:f>'Monthly P&amp;L'!H8*(1+Assumptions!$C$6)</x:f>
        <x:v>321254.9655</x:v>
      </x:c>
      <x:c r="I8" s="36" t="n">
        <x:f>'Monthly P&amp;L'!I8*(1+Assumptions!$C$6)</x:f>
        <x:v>331011.471</x:v>
      </x:c>
      <x:c r="J8" s="36" t="n">
        <x:f>'Monthly P&amp;L'!J8*(1+Assumptions!$C$6)</x:f>
        <x:v>341463.89550000004</x:v>
      </x:c>
      <x:c r="K8" s="36" t="n">
        <x:f>'Monthly P&amp;L'!K8*(1+Assumptions!$C$6)</x:f>
        <x:v>334345.02150000003</x:v>
      </x:c>
      <x:c r="L8" s="36" t="n">
        <x:f>'Monthly P&amp;L'!L8*(1+Assumptions!$C$6)</x:f>
        <x:v>331837.14900000003</x:v>
      </x:c>
      <x:c r="M8" s="36" t="n">
        <x:f>'Monthly P&amp;L'!M8*(1+Assumptions!$C$6)</x:f>
        <x:v>342313.1985</x:v>
      </x:c>
      <x:c r="N8" s="28" t="n">
        <x:f>SUM(B8:M8)</x:f>
        <x:v>3892641.6059999997</x:v>
      </x:c>
      <x:c r="O8" s="28" t="n">
        <x:f>N8-'Monthly P&amp;L'!N8</x:f>
        <x:v>185363.88599999994</x:v>
      </x:c>
    </x:row>
    <x:row r="9">
      <x:c r="A9" t="str">
        <x:v>Software</x:v>
      </x:c>
      <x:c r="B9" s="36" t="n">
        <x:f>'Monthly P&amp;L'!B9*(1+Assumptions!$C$7)</x:f>
        <x:v>64292.1192</x:v>
      </x:c>
      <x:c r="C9" s="36" t="n">
        <x:f>'Monthly P&amp;L'!C9*(1+Assumptions!$C$7)</x:f>
        <x:v>65569.2516</x:v>
      </x:c>
      <x:c r="D9" s="36" t="n">
        <x:f>'Monthly P&amp;L'!D9*(1+Assumptions!$C$7)</x:f>
        <x:v>68509.06560000002</x:v>
      </x:c>
      <x:c r="E9" s="36" t="n">
        <x:f>'Monthly P&amp;L'!E9*(1+Assumptions!$C$7)</x:f>
        <x:v>68290.1496</x:v>
      </x:c>
      <x:c r="F9" s="36" t="n">
        <x:f>'Monthly P&amp;L'!F9*(1+Assumptions!$C$7)</x:f>
        <x:v>67632.2676</x:v>
      </x:c>
      <x:c r="G9" s="36" t="n">
        <x:f>'Monthly P&amp;L'!G9*(1+Assumptions!$C$7)</x:f>
        <x:v>68476.92480000001</x:v>
      </x:c>
      <x:c r="H9" s="36" t="n">
        <x:f>'Monthly P&amp;L'!H9*(1+Assumptions!$C$7)</x:f>
        <x:v>69055.92360000001</x:v>
      </x:c>
      <x:c r="I9" s="36" t="n">
        <x:f>'Monthly P&amp;L'!I9*(1+Assumptions!$C$7)</x:f>
        <x:v>71008.65000000001</x:v>
      </x:c>
      <x:c r="J9" s="36" t="n">
        <x:f>'Monthly P&amp;L'!J9*(1+Assumptions!$C$7)</x:f>
        <x:v>72449.5104</x:v>
      </x:c>
      <x:c r="K9" s="36" t="n">
        <x:f>'Monthly P&amp;L'!K9*(1+Assumptions!$C$7)</x:f>
        <x:v>70646.8284</x:v>
      </x:c>
      <x:c r="L9" s="36" t="n">
        <x:f>'Monthly P&amp;L'!L9*(1+Assumptions!$C$7)</x:f>
        <x:v>70749.8496</x:v>
      </x:c>
      <x:c r="M9" s="36" t="n">
        <x:f>'Monthly P&amp;L'!M9*(1+Assumptions!$C$7)</x:f>
        <x:v>73617.67080000002</x:v>
      </x:c>
      <x:c r="N9" s="28" t="n">
        <x:f>SUM(B9:M9)</x:f>
        <x:v>830298.2112</x:v>
      </x:c>
      <x:c r="O9" s="28" t="n">
        <x:f>N9-'Monthly P&amp;L'!N9</x:f>
        <x:v>61503.571200000006</x:v>
      </x:c>
    </x:row>
    <x:row r="10">
      <x:c r="A10" t="str">
        <x:v>Travel</x:v>
      </x:c>
      <x:c r="B10" s="36" t="n">
        <x:f>'Monthly P&amp;L'!B10*(1+Assumptions!$C$8)</x:f>
        <x:v>27176.0256</x:v>
      </x:c>
      <x:c r="C10" s="36" t="n">
        <x:f>'Monthly P&amp;L'!C10*(1+Assumptions!$C$8)</x:f>
        <x:v>27858.8776</x:v>
      </x:c>
      <x:c r="D10" s="36" t="n">
        <x:f>'Monthly P&amp;L'!D10*(1+Assumptions!$C$8)</x:f>
        <x:v>28932.064</x:v>
      </x:c>
      <x:c r="E10" s="36" t="n">
        <x:f>'Monthly P&amp;L'!E10*(1+Assumptions!$C$8)</x:f>
        <x:v>28605.0222</x:v>
      </x:c>
      <x:c r="F10" s="36" t="n">
        <x:f>'Monthly P&amp;L'!F10*(1+Assumptions!$C$8)</x:f>
        <x:v>28368.1016</x:v>
      </x:c>
      <x:c r="G10" s="36" t="n">
        <x:f>'Monthly P&amp;L'!G10*(1+Assumptions!$C$8)</x:f>
        <x:v>28985.4562</x:v>
      </x:c>
      <x:c r="H10" s="36" t="n">
        <x:f>'Monthly P&amp;L'!H10*(1+Assumptions!$C$8)</x:f>
        <x:v>29331.800600000002</x:v>
      </x:c>
      <x:c r="I10" s="36" t="n">
        <x:f>'Monthly P&amp;L'!I10*(1+Assumptions!$C$8)</x:f>
        <x:v>29941.703400000006</x:v>
      </x:c>
      <x:c r="J10" s="36" t="n">
        <x:f>'Monthly P&amp;L'!J10*(1+Assumptions!$C$8)</x:f>
        <x:v>30329.833000000002</x:v>
      </x:c>
      <x:c r="K10" s="36" t="n">
        <x:f>'Monthly P&amp;L'!K10*(1+Assumptions!$C$8)</x:f>
        <x:v>29671.2868</x:v>
      </x:c>
      <x:c r="L10" s="36" t="n">
        <x:f>'Monthly P&amp;L'!L10*(1+Assumptions!$C$8)</x:f>
        <x:v>29990.495199999998</x:v>
      </x:c>
      <x:c r="M10" s="36" t="n">
        <x:f>'Monthly P&amp;L'!M10*(1+Assumptions!$C$8)</x:f>
        <x:v>31245.142999999996</x:v>
      </x:c>
      <x:c r="N10" s="28" t="n">
        <x:f>SUM(B10:M10)</x:f>
        <x:v>350435.80919999996</x:v>
      </x:c>
      <x:c r="O10" s="28" t="n">
        <x:f>N10-'Monthly P&amp;L'!N10</x:f>
        <x:v>19835.98920000001</x:v>
      </x:c>
    </x:row>
    <x:row r="11">
      <x:c r="A11" t="str">
        <x:v>Facilities</x:v>
      </x:c>
      <x:c r="B11" s="36" t="n">
        <x:f>'Monthly P&amp;L'!B11*(1+Assumptions!$C$9)</x:f>
        <x:v>33452.9168</x:v>
      </x:c>
      <x:c r="C11" s="36" t="n">
        <x:f>'Monthly P&amp;L'!C11*(1+Assumptions!$C$9)</x:f>
        <x:v>34452.1301</x:v>
      </x:c>
      <x:c r="D11" s="36" t="n">
        <x:f>'Monthly P&amp;L'!D11*(1+Assumptions!$C$9)</x:f>
        <x:v>35470.9237</x:v>
      </x:c>
      <x:c r="E11" s="36" t="n">
        <x:f>'Monthly P&amp;L'!E11*(1+Assumptions!$C$9)</x:f>
        <x:v>34717.962799999994</x:v>
      </x:c>
      <x:c r="F11" s="36" t="n">
        <x:f>'Monthly P&amp;L'!F11*(1+Assumptions!$C$9)</x:f>
        <x:v>34566.1099</x:v>
      </x:c>
      <x:c r="G11" s="36" t="n">
        <x:f>'Monthly P&amp;L'!G11*(1+Assumptions!$C$9)</x:f>
        <x:v>35756.49120000001</x:v>
      </x:c>
      <x:c r="H11" s="36" t="n">
        <x:f>'Monthly P&amp;L'!H11*(1+Assumptions!$C$9)</x:f>
        <x:v>36246.7609</x:v>
      </x:c>
      <x:c r="I11" s="36" t="n">
        <x:f>'Monthly P&amp;L'!I11*(1+Assumptions!$C$9)</x:f>
        <x:v>36614.893200000006</x:v>
      </x:c>
      <x:c r="J11" s="36" t="n">
        <x:f>'Monthly P&amp;L'!J11*(1+Assumptions!$C$9)</x:f>
        <x:v>36818.647800000006</x:v>
      </x:c>
      <x:c r="K11" s="36" t="n">
        <x:f>'Monthly P&amp;L'!K11*(1+Assumptions!$C$9)</x:f>
        <x:v>36223.194500000005</x:v>
      </x:c>
      <x:c r="L11" s="36" t="n">
        <x:f>'Monthly P&amp;L'!L11*(1+Assumptions!$C$9)</x:f>
        <x:v>37033.577900000004</x:v>
      </x:c>
      <x:c r="M11" s="36" t="n">
        <x:f>'Monthly P&amp;L'!M11*(1+Assumptions!$C$9)</x:f>
        <x:v>38581.8945</x:v>
      </x:c>
      <x:c r="N11" s="28" t="n">
        <x:f>SUM(B11:M11)</x:f>
        <x:v>429935.50330000004</x:v>
      </x:c>
      <x:c r="O11" s="28" t="n">
        <x:f>N11-'Monthly P&amp;L'!N11</x:f>
        <x:v>12522.393299999996</x:v>
      </x:c>
    </x:row>
    <x:row r="12">
      <x:c r="A12" t="str">
        <x:v>Other OpEx</x:v>
      </x:c>
      <x:c r="B12" s="36" t="n">
        <x:f>'Monthly P&amp;L'!B12*(1+Assumptions!$C$10)</x:f>
        <x:v>49160.5192</x:v>
      </x:c>
      <x:c r="C12" s="36" t="n">
        <x:f>'Monthly P&amp;L'!C12*(1+Assumptions!$C$10)</x:f>
        <x:v>50456.80640000001</x:v>
      </x:c>
      <x:c r="D12" s="36" t="n">
        <x:f>'Monthly P&amp;L'!D12*(1+Assumptions!$C$10)</x:f>
        <x:v>51405.7232</x:v>
      </x:c>
      <x:c r="E12" s="36" t="n">
        <x:f>'Monthly P&amp;L'!E12*(1+Assumptions!$C$10)</x:f>
        <x:v>50199.7808</x:v>
      </x:c>
      <x:c r="F12" s="36" t="n">
        <x:f>'Monthly P&amp;L'!F12*(1+Assumptions!$C$10)</x:f>
        <x:v>50448.3824</x:v>
      </x:c>
      <x:c r="G12" s="36" t="n">
        <x:f>'Monthly P&amp;L'!G12*(1+Assumptions!$C$10)</x:f>
        <x:v>52547.6328</x:v>
      </x:c>
      <x:c r="H12" s="36" t="n">
        <x:f>'Monthly P&amp;L'!H12*(1+Assumptions!$C$10)</x:f>
        <x:v>52998.1712</x:v>
      </x:c>
      <x:c r="I12" s="36" t="n">
        <x:f>'Monthly P&amp;L'!I12*(1+Assumptions!$C$10)</x:f>
        <x:v>53002.3728</x:v>
      </x:c>
      <x:c r="J12" s="36" t="n">
        <x:f>'Monthly P&amp;L'!J12*(1+Assumptions!$C$10)</x:f>
        <x:v>53280.8224</x:v>
      </x:c>
      <x:c r="K12" s="36" t="n">
        <x:f>'Monthly P&amp;L'!K12*(1+Assumptions!$C$10)</x:f>
        <x:v>52964.0904</x:v>
      </x:c>
      <x:c r="L12" s="36" t="n">
        <x:f>'Monthly P&amp;L'!L12*(1+Assumptions!$C$10)</x:f>
        <x:v>54442.54400000001</x:v>
      </x:c>
      <x:c r="M12" s="36" t="n">
        <x:f>'Monthly P&amp;L'!M12*(1+Assumptions!$C$10)</x:f>
        <x:v>56298.27840000001</x:v>
      </x:c>
      <x:c r="N12" s="28" t="n">
        <x:f>SUM(B12:M12)</x:f>
        <x:v>627205.1240000001</x:v>
      </x:c>
      <x:c r="O12" s="28" t="n">
        <x:f>N12-'Monthly P&amp;L'!N12</x:f>
        <x:v>24123.274000000092</x:v>
      </x:c>
    </x:row>
    <x:row r="13">
      <x:c r="A13" t="str">
        <x:v>Total OpEx</x:v>
      </x:c>
      <x:c r="B13" s="36" t="n">
        <x:f>SUM(B8:B12)</x:f>
        <x:v>476821.4658</x:v>
      </x:c>
      <x:c r="C13" s="36" t="n">
        <x:f>SUM(C8:C12)</x:f>
        <x:v>483705.8252000001</x:v>
      </x:c>
      <x:c r="D13" s="36" t="n">
        <x:f>SUM(D8:D12)</x:f>
        <x:v>503322.91750000004</x:v>
      </x:c>
      <x:c r="E13" s="36" t="n">
        <x:f>SUM(E8:E12)</x:f>
        <x:v>503090.5189000001</x:v>
      </x:c>
      <x:c r="F13" s="36" t="n">
        <x:f>SUM(F8:F12)</x:f>
        <x:v>501191.67650000006</x:v>
      </x:c>
      <x:c r="G13" s="36" t="n">
        <x:f>SUM(G8:G12)</x:f>
        <x:v>507614.20600000006</x:v>
      </x:c>
      <x:c r="H13" s="36" t="n">
        <x:f>SUM(H8:H12)</x:f>
        <x:v>508887.6218</x:v>
      </x:c>
      <x:c r="I13" s="36" t="n">
        <x:f>SUM(I8:I12)</x:f>
        <x:v>521579.09040000004</x:v>
      </x:c>
      <x:c r="J13" s="36" t="n">
        <x:f>SUM(J8:J12)</x:f>
        <x:v>534342.7091</x:v>
      </x:c>
      <x:c r="K13" s="36" t="n">
        <x:f>SUM(K8:K12)</x:f>
        <x:v>523850.4216</x:v>
      </x:c>
      <x:c r="L13" s="36" t="n">
        <x:f>SUM(L8:L12)</x:f>
        <x:v>524053.6157000001</x:v>
      </x:c>
      <x:c r="M13" s="36" t="n">
        <x:f>SUM(M8:M12)</x:f>
        <x:v>542056.1852</x:v>
      </x:c>
      <x:c r="N13" s="28" t="n">
        <x:f>SUM(B13:M13)</x:f>
        <x:v>6130516.2537</x:v>
      </x:c>
      <x:c r="O13" s="28" t="n">
        <x:f>N13-'Monthly P&amp;L'!N13</x:f>
        <x:v>303349.11369999964</x:v>
      </x:c>
    </x:row>
    <x:row r="14">
      <x:c r="A14" t="str">
        <x:v>Operating Profit</x:v>
      </x:c>
      <x:c r="B14" s="36" t="n">
        <x:f>B6-B13</x:f>
        <x:v>84833.95571200002</x:v>
      </x:c>
      <x:c r="C14" s="36" t="n">
        <x:f>C6-C13</x:f>
        <x:v>77813.39351999993</x:v>
      </x:c>
      <x:c r="D14" s="36" t="n">
        <x:f>D6-D13</x:f>
        <x:v>50877.334696000034</x:v>
      </x:c>
      <x:c r="E14" s="36" t="n">
        <x:f>E6-E13</x:f>
        <x:v>47280.37771999993</x:v>
      </x:c>
      <x:c r="F14" s="36" t="n">
        <x:f>F6-F13</x:f>
        <x:v>56773.16209200001</x:v>
      </x:c>
      <x:c r="G14" s="36" t="n">
        <x:f>G6-G13</x:f>
        <x:v>67801.62607599999</x:v>
      </x:c>
      <x:c r="H14" s="36" t="n">
        <x:f>H6-H13</x:f>
        <x:v>83908.82760400005</x:v>
      </x:c>
      <x:c r="I14" s="36" t="n">
        <x:f>I6-I13</x:f>
        <x:v>78468.83278399991</x:v>
      </x:c>
      <x:c r="J14" s="36" t="n">
        <x:f>J6-J13</x:f>
        <x:v>61136.25410800008</x:v>
      </x:c>
      <x:c r="K14" s="36" t="n">
        <x:f>K6-K13</x:f>
        <x:v>63503.11118400004</x:v>
      </x:c>
      <x:c r="L14" s="36" t="n">
        <x:f>L6-L13</x:f>
        <x:v>63040.957175999996</x:v>
      </x:c>
      <x:c r="M14" s="36" t="n">
        <x:f>M6-M13</x:f>
        <x:v>57635.12939200015</x:v>
      </x:c>
      <x:c r="N14" s="28" t="n">
        <x:f>SUM(B14:M14)</x:f>
        <x:v>793072.9620640002</x:v>
      </x:c>
      <x:c r="O14" s="28" t="n">
        <x:f>N14-'Monthly P&amp;L'!N14</x:f>
        <x:v>174943.6320639999</x:v>
      </x:c>
    </x:row>
    <x:row r="15">
      <x:c r="A15" t="str">
        <x:v>Operating Margin %</x:v>
      </x:c>
      <x:c r="B15" s="37" t="n">
        <x:f>IFERROR(B14/B4,0)</x:f>
        <x:v>0.08760477052015557</x:v>
      </x:c>
      <x:c r="C15" s="37" t="n">
        <x:f>IFERROR(C14/C4,0)</x:f>
        <x:v>0.08037439634653856</x:v>
      </x:c>
      <x:c r="D15" s="37" t="n">
        <x:f>IFERROR(D14/D4,0)</x:f>
        <x:v>0.053245833084254596</x:v>
      </x:c>
      <x:c r="E15" s="37" t="n">
        <x:f>IFERROR(E14/E4,0)</x:f>
        <x:v>0.049825707075012236</x:v>
      </x:c>
      <x:c r="F15" s="37" t="n">
        <x:f>IFERROR(F14/F4,0)</x:f>
        <x:v>0.05901524923407983</x:v>
      </x:c>
      <x:c r="G15" s="37" t="n">
        <x:f>IFERROR(G14/G4,0)</x:f>
        <x:v>0.06834178159853971</x:v>
      </x:c>
      <x:c r="H15" s="37" t="n">
        <x:f>IFERROR(H14/H4,0)</x:f>
        <x:v>0.08209752278248318</x:v>
      </x:c>
      <x:c r="I15" s="37" t="n">
        <x:f>IFERROR(I14/I4,0)</x:f>
        <x:v>0.0758471469632336</x:v>
      </x:c>
      <x:c r="J15" s="37" t="n">
        <x:f>IFERROR(J14/J4,0)</x:f>
        <x:v>0.059547069793386226</x:v>
      </x:c>
      <x:c r="K15" s="37" t="n">
        <x:f>IFERROR(K14/K4,0)</x:f>
        <x:v>0.06270806665985434</x:v>
      </x:c>
      <x:c r="L15" s="37" t="n">
        <x:f>IFERROR(L14/L4,0)</x:f>
        <x:v>0.062279157143226745</x:v>
      </x:c>
      <x:c r="M15" s="37" t="n">
        <x:f>IFERROR(M14/M4,0)</x:f>
        <x:v>0.055742636643158774</x:v>
      </x:c>
      <x:c r="N15" s="30" t="n">
        <x:f>IFERROR(N14/N4,0)</x:f>
        <x:v>0.06643697418526906</x:v>
      </x:c>
      <x:c r="O15" s="30" t="n">
        <x:f>N15-'Monthly P&amp;L'!N15</x:f>
        <x:v>0.011548404075023826</x:v>
      </x:c>
    </x:row>
  </x:sheetData>
  <x:mergeCells>
    <x:mergeCell ref="A1:O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5" t="str">
        <x:v>Scenario Planning | Base / Upside / Downside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13" t="str">
        <x:v>Scenario</x:v>
      </x:c>
      <x:c r="B3" s="13" t="str">
        <x:v>Revenue Growth</x:v>
      </x:c>
      <x:c r="C3" s="13" t="str">
        <x:v>COGS % Rev</x:v>
      </x:c>
      <x:c r="D3" s="13" t="str">
        <x:v>Payroll Inflation</x:v>
      </x:c>
      <x:c r="E3" s="13" t="str">
        <x:v>Software Inflation</x:v>
      </x:c>
      <x:c r="F3" s="13" t="str">
        <x:v>Travel Inflation</x:v>
      </x:c>
      <x:c r="G3" s="13" t="str">
        <x:v>FY Revenue ($)</x:v>
      </x:c>
      <x:c r="H3" s="13" t="str">
        <x:v>FY Op Profit ($)</x:v>
      </x:c>
      <x:c r="I3" s="13" t="str">
        <x:v>Op Margin %</x:v>
      </x:c>
    </x:row>
    <x:row r="4">
      <x:c r="A4" t="str">
        <x:v>Base</x:v>
      </x:c>
      <x:c r="B4" s="37" t="n">
        <x:f>Assumptions!C4</x:f>
        <x:v>0.06</x:v>
      </x:c>
      <x:c r="C4" s="37" t="n">
        <x:f>Assumptions!C5</x:f>
        <x:v>0.42</x:v>
      </x:c>
      <x:c r="D4" s="37" t="n">
        <x:f>Assumptions!C6</x:f>
        <x:v>0.05</x:v>
      </x:c>
      <x:c r="E4" s="37" t="n">
        <x:f>Assumptions!C7</x:f>
        <x:v>0.08</x:v>
      </x:c>
      <x:c r="F4" s="37" t="n">
        <x:f>Assumptions!C8</x:f>
        <x:v>0.06</x:v>
      </x:c>
      <x:c r="G4" s="36" t="n">
        <x:f>'Monthly P&amp;L'!N4*(1+B4)</x:f>
        <x:v>11937222.785800003</x:v>
      </x:c>
      <x:c r="H4" s="36" t="n">
        <x:f>G4*(1-C4)-('Monthly P&amp;L'!N8*(1+D4)+'Monthly P&amp;L'!N9*(1+E4)+'Monthly P&amp;L'!N10*(1+F4)+'Monthly P&amp;L'!N11*(1+Assumptions!C9)+'Monthly P&amp;L'!N12*(1+Assumptions!C10))</x:f>
        <x:v>793072.9620640026</x:v>
      </x:c>
      <x:c r="I4" s="37" t="n">
        <x:f>IFERROR(H4/G4,0)</x:f>
        <x:v>0.06643697418526925</x:v>
      </x:c>
    </x:row>
    <x:row r="5">
      <x:c r="A5" t="str">
        <x:v>Upside</x:v>
      </x:c>
      <x:c r="B5" s="37" t="n">
        <x:f>Assumptions!D4</x:f>
        <x:v>0.1</x:v>
      </x:c>
      <x:c r="C5" s="37" t="n">
        <x:f>Assumptions!D5</x:f>
        <x:v>0.4</x:v>
      </x:c>
      <x:c r="D5" s="37" t="n">
        <x:f>Assumptions!D6</x:f>
        <x:v>0.04</x:v>
      </x:c>
      <x:c r="E5" s="37" t="n">
        <x:f>Assumptions!D7</x:f>
        <x:v>0.06</x:v>
      </x:c>
      <x:c r="F5" s="37" t="n">
        <x:f>Assumptions!D8</x:f>
        <x:v>0.04</x:v>
      </x:c>
      <x:c r="G5" s="36" t="n">
        <x:f>'Monthly P&amp;L'!N4*(1+B5)</x:f>
        <x:v>12387684.023000002</x:v>
      </x:c>
      <x:c r="H5" s="36" t="n">
        <x:f>G5*(1-C5)-('Monthly P&amp;L'!N8*(1+D5)+'Monthly P&amp;L'!N9*(1+E5)+'Monthly P&amp;L'!N10*(1+F5)+'Monthly P&amp;L'!N11*(1+Assumptions!D9)+'Monthly P&amp;L'!N12*(1+Assumptions!D10))</x:f>
        <x:v>1371359.7761000022</x:v>
      </x:c>
      <x:c r="I5" s="37" t="n">
        <x:f>IFERROR(H5/G5,0)</x:f>
        <x:v>0.11070348368216544</x:v>
      </x:c>
    </x:row>
    <x:row r="6">
      <x:c r="A6" t="str">
        <x:v>Downside</x:v>
      </x:c>
      <x:c r="B6" s="37" t="n">
        <x:f>Assumptions!E4</x:f>
        <x:v>0.02</x:v>
      </x:c>
      <x:c r="C6" s="37" t="n">
        <x:f>Assumptions!E5</x:f>
        <x:v>0.45</x:v>
      </x:c>
      <x:c r="D6" s="37" t="n">
        <x:f>Assumptions!E6</x:f>
        <x:v>0.07</x:v>
      </x:c>
      <x:c r="E6" s="37" t="n">
        <x:f>Assumptions!E7</x:f>
        <x:v>0.12</x:v>
      </x:c>
      <x:c r="F6" s="37" t="n">
        <x:f>Assumptions!E8</x:f>
        <x:v>0.1</x:v>
      </x:c>
      <x:c r="G6" s="36" t="n">
        <x:f>'Monthly P&amp;L'!N4*(1+B6)</x:f>
        <x:v>11486761.548600001</x:v>
      </x:c>
      <x:c r="H6" s="36" t="n">
        <x:f>G6*(1-C6)-('Monthly P&amp;L'!N8*(1+D6)+'Monthly P&amp;L'!N9*(1+E6)+'Monthly P&amp;L'!N10*(1+F6)+'Monthly P&amp;L'!N11*(1+Assumptions!E9)+'Monthly P&amp;L'!N12*(1+Assumptions!E10))</x:f>
        <x:v>42640.54753000103</x:v>
      </x:c>
      <x:c r="I6" s="37" t="n">
        <x:f>IFERROR(H6/G6,0)</x:f>
        <x:v>0.003712147009371674</x:v>
      </x:c>
    </x:row>
  </x:sheetData>
  <x:mergeCells>
    <x:mergeCell ref="A1:I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6" hidden="0" customWidth="1"/>
  </x:cols>
  <x:sheetData>
    <x:row r="1" ht="28" customHeight="1">
      <x:c r="A1" s="5" t="str">
        <x:v>Illustrative DCF Valuation | Portfolio Demonstration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Metric</x:v>
      </x:c>
      <x:c r="B3" s="13" t="str">
        <x:v>FY26</x:v>
      </x:c>
      <x:c r="C3" s="13" t="str">
        <x:v>FY27</x:v>
      </x:c>
      <x:c r="D3" s="13" t="str">
        <x:v>FY28</x:v>
      </x:c>
      <x:c r="E3" s="13" t="str">
        <x:v>FY29</x:v>
      </x:c>
      <x:c r="F3" s="13" t="str">
        <x:v>FY30</x:v>
      </x:c>
      <x:c r="G3" s="13" t="str">
        <x:v>Terminal</x:v>
      </x:c>
      <x:c r="H3" s="13" t="str">
        <x:v>Notes</x:v>
      </x:c>
    </x:row>
    <x:row r="4">
      <x:c r="A4" t="str">
        <x:v>Revenue</x:v>
      </x:c>
      <x:c r="B4" s="28" t="n">
        <x:f>Forecast!N4</x:f>
        <x:v>11937222.7858</x:v>
      </x:c>
      <x:c r="C4" s="28" t="n">
        <x:f>B4*(1+Assumptions!$C$4)</x:f>
        <x:v>12653456.152948001</x:v>
      </x:c>
      <x:c r="D4" s="28" t="n">
        <x:f>C4*(1+Assumptions!$C$4)</x:f>
        <x:v>13412663.522124883</x:v>
      </x:c>
      <x:c r="E4" s="28" t="n">
        <x:f>D4*(1+Assumptions!$C$4)</x:f>
        <x:v>14217423.333452376</x:v>
      </x:c>
      <x:c r="F4" s="28" t="n">
        <x:f>E4*(1+Assumptions!$C$4)</x:f>
        <x:v>15070468.73345952</x:v>
      </x:c>
      <x:c r="G4" s="28"/>
    </x:row>
    <x:row r="5">
      <x:c r="A5" t="str">
        <x:v>Growth %</x:v>
      </x:c>
      <x:c r="B5" s="30" t="n">
        <x:f>Assumptions!$C$4</x:f>
        <x:v>0.06</x:v>
      </x:c>
      <x:c r="C5" s="30" t="n">
        <x:f>Assumptions!$C$4</x:f>
        <x:v>0.06</x:v>
      </x:c>
      <x:c r="D5" s="30" t="n">
        <x:f>Assumptions!$C$4</x:f>
        <x:v>0.06</x:v>
      </x:c>
      <x:c r="E5" s="30" t="n">
        <x:f>Assumptions!$C$4</x:f>
        <x:v>0.06</x:v>
      </x:c>
      <x:c r="F5" s="30" t="n">
        <x:f>Assumptions!$C$4</x:f>
        <x:v>0.06</x:v>
      </x:c>
      <x:c r="G5" s="30"/>
    </x:row>
    <x:row r="6">
      <x:c r="A6" t="str">
        <x:v>Operating Profit</x:v>
      </x:c>
      <x:c r="B6" s="28" t="n">
        <x:f>B4*Forecast!N15</x:f>
        <x:v>793072.9620640003</x:v>
      </x:c>
      <x:c r="C6" s="28" t="n">
        <x:f>C4*Forecast!N15</x:f>
        <x:v>840657.3397878403</x:v>
      </x:c>
      <x:c r="D6" s="28" t="n">
        <x:f>D4*Forecast!N15</x:f>
        <x:v>891096.7801751108</x:v>
      </x:c>
      <x:c r="E6" s="28" t="n">
        <x:f>E4*Forecast!N15</x:f>
        <x:v>944562.5869856174</x:v>
      </x:c>
      <x:c r="F6" s="28" t="n">
        <x:f>F4*Forecast!N15</x:f>
        <x:v>1001236.3422047546</x:v>
      </x:c>
      <x:c r="G6" s="28"/>
    </x:row>
    <x:row r="7">
      <x:c r="A7" t="str">
        <x:v>Operating Margin %</x:v>
      </x:c>
      <x:c r="B7" s="30" t="n">
        <x:f>IFERROR(B6/B4,0)</x:f>
        <x:v>0.06643697418526906</x:v>
      </x:c>
      <x:c r="C7" s="30" t="n">
        <x:f>IFERROR(C6/C4,0)</x:f>
        <x:v>0.06643697418526906</x:v>
      </x:c>
      <x:c r="D7" s="30" t="n">
        <x:f>IFERROR(D6/D4,0)</x:f>
        <x:v>0.06643697418526906</x:v>
      </x:c>
      <x:c r="E7" s="30" t="n">
        <x:f>IFERROR(E6/E4,0)</x:f>
        <x:v>0.06643697418526906</x:v>
      </x:c>
      <x:c r="F7" s="30" t="n">
        <x:f>IFERROR(F6/F4,0)</x:f>
        <x:v>0.06643697418526906</x:v>
      </x:c>
      <x:c r="G7" s="30"/>
    </x:row>
    <x:row r="8">
      <x:c r="A8" t="str">
        <x:v>Tax Rate</x:v>
      </x:c>
      <x:c r="B8" s="42" t="n">
        <x:v>0.25</x:v>
      </x:c>
      <x:c r="C8" s="42" t="n">
        <x:v>0.25</x:v>
      </x:c>
      <x:c r="D8" s="42" t="n">
        <x:v>0.25</x:v>
      </x:c>
      <x:c r="E8" s="42" t="n">
        <x:v>0.25</x:v>
      </x:c>
      <x:c r="F8" s="42" t="n">
        <x:v>0.25</x:v>
      </x:c>
      <x:c r="G8" s="30"/>
    </x:row>
    <x:row r="9">
      <x:c r="A9" t="str">
        <x:v>NOPAT</x:v>
      </x:c>
      <x:c r="B9" s="28" t="n">
        <x:f>B6*(1-B8)</x:f>
        <x:v>594804.7215480002</x:v>
      </x:c>
      <x:c r="C9" s="28" t="n">
        <x:f>C6*(1-C8)</x:f>
        <x:v>630493.0048408802</x:v>
      </x:c>
      <x:c r="D9" s="28" t="n">
        <x:f>D6*(1-D8)</x:f>
        <x:v>668322.5851313331</x:v>
      </x:c>
      <x:c r="E9" s="28" t="n">
        <x:f>E6*(1-E8)</x:f>
        <x:v>708421.940239213</x:v>
      </x:c>
      <x:c r="F9" s="28" t="n">
        <x:f>F6*(1-F8)</x:f>
        <x:v>750927.2566535659</x:v>
      </x:c>
      <x:c r="G9" s="28"/>
    </x:row>
    <x:row r="10">
      <x:c r="A10" t="str">
        <x:v>D&amp;A % Revenue</x:v>
      </x:c>
      <x:c r="B10" s="42" t="n">
        <x:v>0.03</x:v>
      </x:c>
      <x:c r="C10" s="42" t="n">
        <x:v>0.03</x:v>
      </x:c>
      <x:c r="D10" s="42" t="n">
        <x:v>0.03</x:v>
      </x:c>
      <x:c r="E10" s="42" t="n">
        <x:v>0.03</x:v>
      </x:c>
      <x:c r="F10" s="42" t="n">
        <x:v>0.03</x:v>
      </x:c>
      <x:c r="G10" s="30"/>
    </x:row>
    <x:row r="11">
      <x:c r="A11" t="str">
        <x:v>D&amp;A</x:v>
      </x:c>
      <x:c r="B11" s="28" t="n">
        <x:f>B4*B10</x:f>
        <x:v>358116.683574</x:v>
      </x:c>
      <x:c r="C11" s="28" t="n">
        <x:f>C4*C10</x:f>
        <x:v>379603.68458844005</x:v>
      </x:c>
      <x:c r="D11" s="28" t="n">
        <x:f>D4*D10</x:f>
        <x:v>402379.90566374647</x:v>
      </x:c>
      <x:c r="E11" s="28" t="n">
        <x:f>E4*E10</x:f>
        <x:v>426522.7000035712</x:v>
      </x:c>
      <x:c r="F11" s="28" t="n">
        <x:f>F4*F10</x:f>
        <x:v>452114.06200378557</x:v>
      </x:c>
      <x:c r="G11" s="28"/>
    </x:row>
    <x:row r="12">
      <x:c r="A12" t="str">
        <x:v>Capex % Revenue</x:v>
      </x:c>
      <x:c r="B12" s="42" t="n">
        <x:v>0.035</x:v>
      </x:c>
      <x:c r="C12" s="42" t="n">
        <x:v>0.035</x:v>
      </x:c>
      <x:c r="D12" s="42" t="n">
        <x:v>0.035</x:v>
      </x:c>
      <x:c r="E12" s="42" t="n">
        <x:v>0.035</x:v>
      </x:c>
      <x:c r="F12" s="42" t="n">
        <x:v>0.035</x:v>
      </x:c>
      <x:c r="G12" s="30"/>
    </x:row>
    <x:row r="13">
      <x:c r="A13" t="str">
        <x:v>Capex</x:v>
      </x:c>
      <x:c r="B13" s="28" t="n">
        <x:f>B4*B12</x:f>
        <x:v>417802.79750300007</x:v>
      </x:c>
      <x:c r="C13" s="28" t="n">
        <x:f>C4*C12</x:f>
        <x:v>442870.9653531801</x:v>
      </x:c>
      <x:c r="D13" s="28" t="n">
        <x:f>D4*D12</x:f>
        <x:v>469443.22327437095</x:v>
      </x:c>
      <x:c r="E13" s="28" t="n">
        <x:f>E4*E12</x:f>
        <x:v>497609.8166708332</x:v>
      </x:c>
      <x:c r="F13" s="28" t="n">
        <x:f>F4*F12</x:f>
        <x:v>527466.4056710833</x:v>
      </x:c>
      <x:c r="G13" s="28"/>
    </x:row>
    <x:row r="14">
      <x:c r="A14" t="str">
        <x:v>NWC % Revenue</x:v>
      </x:c>
      <x:c r="B14" s="42" t="n">
        <x:v>0.06</x:v>
      </x:c>
      <x:c r="C14" s="42" t="n">
        <x:v>0.06</x:v>
      </x:c>
      <x:c r="D14" s="42" t="n">
        <x:v>0.06</x:v>
      </x:c>
      <x:c r="E14" s="42" t="n">
        <x:v>0.06</x:v>
      </x:c>
      <x:c r="F14" s="42" t="n">
        <x:v>0.06</x:v>
      </x:c>
      <x:c r="G14" s="30"/>
    </x:row>
    <x:row r="15">
      <x:c r="A15" t="str">
        <x:v>Change in NWC</x:v>
      </x:c>
      <x:c r="B15" s="28" t="n">
        <x:f>B4*B14-'Monthly P&amp;L'!N4*B14</x:f>
        <x:v>40541.51134800003</x:v>
      </x:c>
      <x:c r="C15" s="28" t="n">
        <x:f>C4*C14-B4*C14</x:f>
        <x:v>42974.00202888006</x:v>
      </x:c>
      <x:c r="D15" s="28" t="n">
        <x:f>D4*D14-C4*D14</x:f>
        <x:v>45552.44215061283</x:v>
      </x:c>
      <x:c r="E15" s="28" t="n">
        <x:f>E4*E14-D4*E14</x:f>
        <x:v>48285.58867964952</x:v>
      </x:c>
      <x:c r="F15" s="28" t="n">
        <x:f>F4*F14-E4*F14</x:f>
        <x:v>51182.72400042869</x:v>
      </x:c>
      <x:c r="G15" s="28"/>
    </x:row>
    <x:row r="16">
      <x:c r="A16" t="str">
        <x:v>Unlevered FCF</x:v>
      </x:c>
      <x:c r="B16" s="28" t="n">
        <x:f>B9+B11-B13-B15</x:f>
        <x:v>494577.0962710001</x:v>
      </x:c>
      <x:c r="C16" s="28" t="n">
        <x:f>C9+C11-C13-C15</x:f>
        <x:v>524251.72204726003</x:v>
      </x:c>
      <x:c r="D16" s="28" t="n">
        <x:f>D9+D11-D13-D15</x:f>
        <x:v>555706.8253700959</x:v>
      </x:c>
      <x:c r="E16" s="28" t="n">
        <x:f>E9+E11-E13-E15</x:f>
        <x:v>589049.2348923016</x:v>
      </x:c>
      <x:c r="F16" s="28" t="n">
        <x:f>F9+F11-F13-F15</x:f>
        <x:v>624392.1889858395</x:v>
      </x:c>
      <x:c r="G16" s="28" t="n">
        <x:f>F16*(1+Assumptions!$C$12)/(Assumptions!$C$11-Assumptions!$C$12)</x:f>
        <x:v>8533359.916139804</x:v>
      </x:c>
    </x:row>
    <x:row r="17">
      <x:c r="A17" t="str">
        <x:v>Discount Factor</x:v>
      </x:c>
      <x:c r="B17" s="40" t="n">
        <x:f>1/(1+Assumptions!$C$11)^1</x:f>
        <x:v>0.9090909090909091</x:v>
      </x:c>
      <x:c r="C17" s="40" t="n">
        <x:f>1/(1+Assumptions!$C$11)^2</x:f>
        <x:v>0.8264462809917354</x:v>
      </x:c>
      <x:c r="D17" s="40" t="n">
        <x:f>1/(1+Assumptions!$C$11)^3</x:f>
        <x:v>0.7513148009015775</x:v>
      </x:c>
      <x:c r="E17" s="40" t="n">
        <x:f>1/(1+Assumptions!$C$11)^4</x:f>
        <x:v>0.6830134553650705</x:v>
      </x:c>
      <x:c r="F17" s="40" t="n">
        <x:f>1/(1+Assumptions!$C$11)^5</x:f>
        <x:v>0.6209213230591549</x:v>
      </x:c>
      <x:c r="G17" s="40" t="n">
        <x:f>F17</x:f>
        <x:v>0.6209213230591549</x:v>
      </x:c>
    </x:row>
    <x:row r="18">
      <x:c r="A18" t="str">
        <x:v>PV of FCF</x:v>
      </x:c>
      <x:c r="B18" s="28" t="n">
        <x:f>B16*B17</x:f>
        <x:v>449615.54206454556</x:v>
      </x:c>
      <x:c r="C18" s="28" t="n">
        <x:f>C16*C17</x:f>
        <x:v>433265.88598947105</x:v>
      </x:c>
      <x:c r="D18" s="28" t="n">
        <x:f>D16*D17</x:f>
        <x:v>417510.7628625813</x:v>
      </x:c>
      <x:c r="E18" s="28" t="n">
        <x:f>E16*E17</x:f>
        <x:v>402328.55330394197</x:v>
      </x:c>
      <x:c r="F18" s="28" t="n">
        <x:f>F16*F17</x:f>
        <x:v>387698.42409288936</x:v>
      </x:c>
      <x:c r="G18" s="28" t="n">
        <x:f>G16*G17</x:f>
        <x:v>5298545.129269486</x:v>
      </x:c>
    </x:row>
    <x:row r="20">
      <x:c r="A20" t="str">
        <x:v>Enterprise Value</x:v>
      </x:c>
      <x:c r="B20" s="28" t="n">
        <x:f>SUM(B18:F18)+G18</x:f>
        <x:v>7388964.297582915</x:v>
      </x:c>
    </x:row>
    <x:row r="21">
      <x:c r="A21" t="str">
        <x:v>Less: Debt</x:v>
      </x:c>
      <x:c r="B21" s="44" t="n">
        <x:v>2500000</x:v>
      </x:c>
    </x:row>
    <x:row r="22">
      <x:c r="A22" t="str">
        <x:v>Add: Cash</x:v>
      </x:c>
      <x:c r="B22" s="44" t="n">
        <x:v>1200000</x:v>
      </x:c>
    </x:row>
    <x:row r="23">
      <x:c r="A23" t="str">
        <x:v>Equity Value</x:v>
      </x:c>
      <x:c r="B23" s="28" t="n">
        <x:f>B20-B21+B22</x:f>
        <x:v>6088964.297582915</x:v>
      </x:c>
    </x:row>
    <x:row r="24">
      <x:c r="A24" t="str">
        <x:v>Illustrative Shares Outstanding</x:v>
      </x:c>
      <x:c r="B24" s="44" t="n">
        <x:v>1000000</x:v>
      </x:c>
    </x:row>
    <x:row r="25">
      <x:c r="A25" t="str">
        <x:v>Implied Value / Share</x:v>
      </x:c>
      <x:c r="B25" s="28" t="n">
        <x:f>B23/B24</x:f>
        <x:v>6.0889642975829155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22" hidden="0" customWidth="1"/>
  </x:cols>
  <x:sheetData>
    <x:row r="1" ht="28" customHeight="1">
      <x:c r="A1" s="5" t="str">
        <x:v>Management Commentary | Executive Finance Review</x:v>
      </x:c>
      <x:c r="B1" s="5"/>
      <x:c r="C1" s="5"/>
      <x:c r="D1" s="5"/>
      <x:c r="E1" s="5"/>
      <x:c r="F1" s="5"/>
      <x:c r="G1" s="5"/>
    </x:row>
    <x:row r="3">
      <x:c r="A3" s="46" t="str">
        <x:v>Priority</x:v>
      </x:c>
      <x:c r="B3" s="46" t="str">
        <x:v>Area</x:v>
      </x:c>
      <x:c r="C3" s="46" t="str">
        <x:v>Finding</x:v>
      </x:c>
      <x:c r="D3" s="46" t="str">
        <x:v>Financial Impact</x:v>
      </x:c>
      <x:c r="E3" s="46" t="str">
        <x:v>Root Cause / Driver</x:v>
      </x:c>
      <x:c r="F3" s="46" t="str">
        <x:v>Recommended Action</x:v>
      </x:c>
      <x:c r="G3" s="46" t="str">
        <x:v>Owner / Cadence</x:v>
      </x:c>
    </x:row>
    <x:row r="4">
      <x:c r="A4" s="47" t="str">
        <x:v>High</x:v>
      </x:c>
      <x:c r="B4" s="47" t="str">
        <x:v>R&amp;D OpEx</x:v>
      </x:c>
      <x:c r="C4" s="47" t="str">
        <x:v>Payroll and software spending are recurring pressure points.</x:v>
      </x:c>
      <x:c r="D4" s="47" t="str">
        <x:v>Potential margin compression</x:v>
      </x:c>
      <x:c r="E4" s="47" t="str">
        <x:v>Hiring pace and technical tooling growth</x:v>
      </x:c>
      <x:c r="F4" s="47" t="str">
        <x:v>Monthly headcount-to-plan reconciliation and software license review.</x:v>
      </x:c>
      <x:c r="G4" s="47" t="str">
        <x:v>FP&amp;A + R&amp;D | Monthly</x:v>
      </x:c>
    </x:row>
    <x:row r="5">
      <x:c r="A5" s="47" t="str">
        <x:v>High</x:v>
      </x:c>
      <x:c r="B5" s="47" t="str">
        <x:v>Travel</x:v>
      </x:c>
      <x:c r="C5" s="47" t="str">
        <x:v>Travel is structurally more volatile than facilities.</x:v>
      </x:c>
      <x:c r="D5" s="47" t="str">
        <x:v>Forecast risk</x:v>
      </x:c>
      <x:c r="E5" s="47" t="str">
        <x:v>Quarter-end travel and commercial activity</x:v>
      </x:c>
      <x:c r="F5" s="47" t="str">
        <x:v>Reforecast monthly and flag &gt;5% variance for owner commentary.</x:v>
      </x:c>
      <x:c r="G5" s="47" t="str">
        <x:v>FP&amp;A + Dept Leads | Monthly</x:v>
      </x:c>
    </x:row>
    <x:row r="6">
      <x:c r="A6" s="47" t="str">
        <x:v>Medium</x:v>
      </x:c>
      <x:c r="B6" s="47" t="str">
        <x:v>Revenue</x:v>
      </x:c>
      <x:c r="C6" s="47" t="str">
        <x:v>Revenue performance varies by department and month.</x:v>
      </x:c>
      <x:c r="D6" s="47" t="str">
        <x:v>Top-line forecast accuracy</x:v>
      </x:c>
      <x:c r="E6" s="47" t="str">
        <x:v>Timing, seasonality and mix</x:v>
      </x:c>
      <x:c r="F6" s="47" t="str">
        <x:v>Use rolling forecast with base/upside/downside scenarios.</x:v>
      </x:c>
      <x:c r="G6" s="47" t="str">
        <x:v>FP&amp;A + Sales | Monthly</x:v>
      </x:c>
    </x:row>
    <x:row r="7">
      <x:c r="A7" s="47" t="str">
        <x:v>Medium</x:v>
      </x:c>
      <x:c r="B7" s="47" t="str">
        <x:v>Marketing</x:v>
      </x:c>
      <x:c r="C7" s="47" t="str">
        <x:v>Discretionary spend creates controllable variance opportunities.</x:v>
      </x:c>
      <x:c r="D7" s="47" t="str">
        <x:v>Cost control</x:v>
      </x:c>
      <x:c r="E7" s="47" t="str">
        <x:v>Campaign and event timing</x:v>
      </x:c>
      <x:c r="F7" s="47" t="str">
        <x:v>Use purchase thresholds for material unplanned spend.</x:v>
      </x:c>
      <x:c r="G7" s="47" t="str">
        <x:v>Marketing + Finance | Monthly</x:v>
      </x:c>
    </x:row>
    <x:row r="8">
      <x:c r="A8" s="47" t="str">
        <x:v>Low</x:v>
      </x:c>
      <x:c r="B8" s="47" t="str">
        <x:v>Facilities</x:v>
      </x:c>
      <x:c r="C8" s="47" t="str">
        <x:v>Facilities is comparatively stable and predictable.</x:v>
      </x:c>
      <x:c r="D8" s="47" t="str">
        <x:v>Lower forecast risk</x:v>
      </x:c>
      <x:c r="E8" s="47" t="str">
        <x:v>Contracted / fixed cost base</x:v>
      </x:c>
      <x:c r="F8" s="47" t="str">
        <x:v>Use run-rate forecast and focus review on variable costs.</x:v>
      </x:c>
      <x:c r="G8" s="47" t="str">
        <x:v>Finance | Quarterly</x:v>
      </x:c>
    </x:row>
  </x:sheetData>
  <x:mergeCells>
    <x:mergeCell ref="A1:G1"/>
  </x:mergeCells>
  <x:dataValidations count="1">
    <x:dataValidation type="list" sqref="A4:A8">
      <x:formula1>"High,Medium,Low"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8" hidden="0" customWidth="1"/>
    <x:col min="4" max="4" width="38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8" customHeight="1">
      <x:c r="A1" s="5" t="str">
        <x:v>FP&amp;A Close &amp; Reporting Controls</x:v>
      </x:c>
      <x:c r="B1" s="5"/>
      <x:c r="C1" s="5"/>
      <x:c r="D1" s="5"/>
      <x:c r="E1" s="5"/>
      <x:c r="F1" s="5"/>
      <x:c r="G1" s="5"/>
    </x:row>
    <x:row r="3">
      <x:c r="A3" s="46" t="str">
        <x:v>Control ID</x:v>
      </x:c>
      <x:c r="B3" s="46" t="str">
        <x:v>Process</x:v>
      </x:c>
      <x:c r="C3" s="46" t="str">
        <x:v>Control</x:v>
      </x:c>
      <x:c r="D3" s="46" t="str">
        <x:v>Evidence</x:v>
      </x:c>
      <x:c r="E3" s="46" t="str">
        <x:v>Frequency</x:v>
      </x:c>
      <x:c r="F3" s="46" t="str">
        <x:v>Owner</x:v>
      </x:c>
      <x:c r="G3" s="46" t="str">
        <x:v>Status</x:v>
      </x:c>
    </x:row>
    <x:row r="4">
      <x:c r="A4" s="47" t="str">
        <x:v>FP&amp;A-01</x:v>
      </x:c>
      <x:c r="B4" s="47" t="str">
        <x:v>Source data</x:v>
      </x:c>
      <x:c r="C4" s="47" t="str">
        <x:v>Reconcile budget + actual source totals to reporting model.</x:v>
      </x:c>
      <x:c r="D4" s="47" t="str">
        <x:v>Control totals / tie-out</x:v>
      </x:c>
      <x:c r="E4" s="47" t="str">
        <x:v>Monthly</x:v>
      </x:c>
      <x:c r="F4" s="47" t="str">
        <x:v>FP&amp;A Analyst</x:v>
      </x:c>
      <x:c r="G4" s="47" t="str">
        <x:v>Complete</x:v>
      </x:c>
    </x:row>
    <x:row r="5">
      <x:c r="A5" s="47" t="str">
        <x:v>FP&amp;A-02</x:v>
      </x:c>
      <x:c r="B5" s="47" t="str">
        <x:v>Completeness</x:v>
      </x:c>
      <x:c r="C5" s="47" t="str">
        <x:v>Verify all departments, accounts and months are present.</x:v>
      </x:c>
      <x:c r="D5" s="47" t="str">
        <x:v>Row-count / dimension check</x:v>
      </x:c>
      <x:c r="E5" s="47" t="str">
        <x:v>Monthly</x:v>
      </x:c>
      <x:c r="F5" s="47" t="str">
        <x:v>FP&amp;A Analyst</x:v>
      </x:c>
      <x:c r="G5" s="47" t="str">
        <x:v>Complete</x:v>
      </x:c>
    </x:row>
    <x:row r="6">
      <x:c r="A6" s="47" t="str">
        <x:v>FP&amp;A-03</x:v>
      </x:c>
      <x:c r="B6" s="47" t="str">
        <x:v>Variance review</x:v>
      </x:c>
      <x:c r="C6" s="47" t="str">
        <x:v>Require commentary for absolute variance &gt;5%.</x:v>
      </x:c>
      <x:c r="D6" s="47" t="str">
        <x:v>Variance log</x:v>
      </x:c>
      <x:c r="E6" s="47" t="str">
        <x:v>Monthly</x:v>
      </x:c>
      <x:c r="F6" s="47" t="str">
        <x:v>FP&amp;A + Dept Owner</x:v>
      </x:c>
      <x:c r="G6" s="47" t="str">
        <x:v>Complete</x:v>
      </x:c>
    </x:row>
    <x:row r="7">
      <x:c r="A7" s="47" t="str">
        <x:v>FP&amp;A-04</x:v>
      </x:c>
      <x:c r="B7" s="47" t="str">
        <x:v>Forecast</x:v>
      </x:c>
      <x:c r="C7" s="47" t="str">
        <x:v>Document material forecast assumption changes.</x:v>
      </x:c>
      <x:c r="D7" s="47" t="str">
        <x:v>Assumption change log</x:v>
      </x:c>
      <x:c r="E7" s="47" t="str">
        <x:v>Monthly</x:v>
      </x:c>
      <x:c r="F7" s="47" t="str">
        <x:v>FP&amp;A Manager</x:v>
      </x:c>
      <x:c r="G7" s="47" t="str">
        <x:v>Complete</x:v>
      </x:c>
    </x:row>
    <x:row r="8">
      <x:c r="A8" s="47" t="str">
        <x:v>FP&amp;A-05</x:v>
      </x:c>
      <x:c r="B8" s="47" t="str">
        <x:v>Dashboard</x:v>
      </x:c>
      <x:c r="C8" s="47" t="str">
        <x:v>Validate KPI definitions and dashboard totals against Excel.</x:v>
      </x:c>
      <x:c r="D8" s="47" t="str">
        <x:v>KPI tie-out</x:v>
      </x:c>
      <x:c r="E8" s="47" t="str">
        <x:v>Monthly</x:v>
      </x:c>
      <x:c r="F8" s="47" t="str">
        <x:v>FP&amp;A Analyst</x:v>
      </x:c>
      <x:c r="G8" s="47" t="str">
        <x:v>Complete</x:v>
      </x:c>
    </x:row>
    <x:row r="9">
      <x:c r="A9" s="47" t="str">
        <x:v>FP&amp;A-06</x:v>
      </x:c>
      <x:c r="B9" s="47" t="str">
        <x:v>Version control</x:v>
      </x:c>
      <x:c r="C9" s="47" t="str">
        <x:v>Archive final monthly reporting package with version/date.</x:v>
      </x:c>
      <x:c r="D9" s="47" t="str">
        <x:v>Versioned file</x:v>
      </x:c>
      <x:c r="E9" s="47" t="str">
        <x:v>Monthly</x:v>
      </x:c>
      <x:c r="F9" s="47" t="str">
        <x:v>FP&amp;A Analyst</x:v>
      </x:c>
      <x:c r="G9" s="47" t="str">
        <x:v>Complete</x:v>
      </x:c>
    </x:row>
    <x:row r="10">
      <x:c r="A10" s="47" t="str">
        <x:v>FP&amp;A-07</x:v>
      </x:c>
      <x:c r="B10" s="47" t="str">
        <x:v>Access</x:v>
      </x:c>
      <x:c r="C10" s="47" t="str">
        <x:v>Limit edit access to assumptions and source data owners.</x:v>
      </x:c>
      <x:c r="D10" s="47" t="str">
        <x:v>Access review</x:v>
      </x:c>
      <x:c r="E10" s="47" t="str">
        <x:v>Quarterly</x:v>
      </x:c>
      <x:c r="F10" s="47" t="str">
        <x:v>Finance Ops</x:v>
      </x:c>
      <x:c r="G10" s="47" t="str">
        <x:v>Planned</x:v>
      </x:c>
    </x:row>
  </x:sheetData>
  <x:mergeCells>
    <x:mergeCell ref="A1:G1"/>
  </x:mergeCells>
  <x:dataValidations count="1">
    <x:dataValidation type="list" sqref="G4:G10">
      <x:formula1>"Complete,In Progress,Planned,Exception"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8" hidden="0" customWidth="1"/>
    <x:col min="3" max="3" width="38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8" customHeight="1">
      <x:c r="A1" s="5" t="str">
        <x:v>Data Dictionary &amp; KPI Definitions</x:v>
      </x:c>
      <x:c r="B1" s="5"/>
      <x:c r="C1" s="5"/>
      <x:c r="D1" s="5"/>
      <x:c r="E1" s="5"/>
      <x:c r="F1" s="5"/>
    </x:row>
    <x:row r="3">
      <x:c r="A3" s="46" t="str">
        <x:v>Field / KPI</x:v>
      </x:c>
      <x:c r="B3" s="46" t="str">
        <x:v>Definition</x:v>
      </x:c>
      <x:c r="C3" s="46" t="str">
        <x:v>Formula / Logic</x:v>
      </x:c>
      <x:c r="D3" s="46" t="str">
        <x:v>Grain</x:v>
      </x:c>
      <x:c r="E3" s="46" t="str">
        <x:v>Owner</x:v>
      </x:c>
      <x:c r="F3" s="46" t="str">
        <x:v>Use</x:v>
      </x:c>
    </x:row>
    <x:row r="4">
      <x:c r="A4" s="47" t="str">
        <x:v>Budget</x:v>
      </x:c>
      <x:c r="B4" s="47" t="str">
        <x:v>Approved planned amount.</x:v>
      </x:c>
      <x:c r="C4" s="47" t="str">
        <x:v>Source field</x:v>
      </x:c>
      <x:c r="D4" s="47" t="str">
        <x:v>Month x Dept x Account</x:v>
      </x:c>
      <x:c r="E4" s="47" t="str">
        <x:v>FP&amp;A</x:v>
      </x:c>
      <x:c r="F4" s="47" t="str">
        <x:v>Plan comparison</x:v>
      </x:c>
    </x:row>
    <x:row r="5">
      <x:c r="A5" s="47" t="str">
        <x:v>Actual</x:v>
      </x:c>
      <x:c r="B5" s="47" t="str">
        <x:v>Recorded actual amount.</x:v>
      </x:c>
      <x:c r="C5" s="47" t="str">
        <x:v>Source field</x:v>
      </x:c>
      <x:c r="D5" s="47" t="str">
        <x:v>Month x Dept x Account</x:v>
      </x:c>
      <x:c r="E5" s="47" t="str">
        <x:v>Finance</x:v>
      </x:c>
      <x:c r="F5" s="47" t="str">
        <x:v>Performance reporting</x:v>
      </x:c>
    </x:row>
    <x:row r="6">
      <x:c r="A6" s="47" t="str">
        <x:v>Variance ($)</x:v>
      </x:c>
      <x:c r="B6" s="47" t="str">
        <x:v>Actual minus Budget.</x:v>
      </x:c>
      <x:c r="C6" s="47" t="str">
        <x:v>Actual - Budget</x:v>
      </x:c>
      <x:c r="D6" s="47" t="str">
        <x:v>Month x Dept x Account</x:v>
      </x:c>
      <x:c r="E6" s="47" t="str">
        <x:v>FP&amp;A</x:v>
      </x:c>
      <x:c r="F6" s="47" t="str">
        <x:v>Dollar impact</x:v>
      </x:c>
    </x:row>
    <x:row r="7">
      <x:c r="A7" s="47" t="str">
        <x:v>Variance (%)</x:v>
      </x:c>
      <x:c r="B7" s="47" t="str">
        <x:v>Dollar variance divided by Budget.</x:v>
      </x:c>
      <x:c r="C7" s="47" t="str">
        <x:v>(Actual-Budget)/Budget</x:v>
      </x:c>
      <x:c r="D7" s="47" t="str">
        <x:v>Month x Dept x Account</x:v>
      </x:c>
      <x:c r="E7" s="47" t="str">
        <x:v>FP&amp;A</x:v>
      </x:c>
      <x:c r="F7" s="47" t="str">
        <x:v>Materiality</x:v>
      </x:c>
    </x:row>
    <x:row r="8">
      <x:c r="A8" s="47" t="str">
        <x:v>Gross Profit</x:v>
      </x:c>
      <x:c r="B8" s="47" t="str">
        <x:v>Revenue less COGS.</x:v>
      </x:c>
      <x:c r="C8" s="47" t="str">
        <x:v>Revenue - COGS</x:v>
      </x:c>
      <x:c r="D8" s="47" t="str">
        <x:v>Month / FY</x:v>
      </x:c>
      <x:c r="E8" s="47" t="str">
        <x:v>FP&amp;A</x:v>
      </x:c>
      <x:c r="F8" s="47" t="str">
        <x:v>Profitability</x:v>
      </x:c>
    </x:row>
    <x:row r="9">
      <x:c r="A9" s="47" t="str">
        <x:v>Gross Margin %</x:v>
      </x:c>
      <x:c r="B9" s="47" t="str">
        <x:v>Gross Profit divided by Revenue.</x:v>
      </x:c>
      <x:c r="C9" s="47" t="str">
        <x:v>Gross Profit / Revenue</x:v>
      </x:c>
      <x:c r="D9" s="47" t="str">
        <x:v>Month / FY</x:v>
      </x:c>
      <x:c r="E9" s="47" t="str">
        <x:v>FP&amp;A</x:v>
      </x:c>
      <x:c r="F9" s="47" t="str">
        <x:v>Margin performance</x:v>
      </x:c>
    </x:row>
    <x:row r="10">
      <x:c r="A10" s="47" t="str">
        <x:v>Total OpEx</x:v>
      </x:c>
      <x:c r="B10" s="47" t="str">
        <x:v>Payroll + Software + Travel + Facilities + Other OpEx.</x:v>
      </x:c>
      <x:c r="C10" s="47" t="str">
        <x:v>SUM(OpEx accounts)</x:v>
      </x:c>
      <x:c r="D10" s="47" t="str">
        <x:v>Month / FY</x:v>
      </x:c>
      <x:c r="E10" s="47" t="str">
        <x:v>FP&amp;A</x:v>
      </x:c>
      <x:c r="F10" s="47" t="str">
        <x:v>Expense management</x:v>
      </x:c>
    </x:row>
    <x:row r="11">
      <x:c r="A11" s="47" t="str">
        <x:v>Operating Profit</x:v>
      </x:c>
      <x:c r="B11" s="47" t="str">
        <x:v>Gross Profit less Total OpEx.</x:v>
      </x:c>
      <x:c r="C11" s="47" t="str">
        <x:v>Gross Profit - Total OpEx</x:v>
      </x:c>
      <x:c r="D11" s="47" t="str">
        <x:v>Month / FY</x:v>
      </x:c>
      <x:c r="E11" s="47" t="str">
        <x:v>FP&amp;A</x:v>
      </x:c>
      <x:c r="F11" s="47" t="str">
        <x:v>Operating performance</x:v>
      </x:c>
    </x:row>
    <x:row r="12">
      <x:c r="A12" s="47" t="str">
        <x:v>Operating Margin %</x:v>
      </x:c>
      <x:c r="B12" s="47" t="str">
        <x:v>Operating Profit divided by Revenue.</x:v>
      </x:c>
      <x:c r="C12" s="47" t="str">
        <x:v>Operating Profit / Revenue</x:v>
      </x:c>
      <x:c r="D12" s="47" t="str">
        <x:v>Month / FY</x:v>
      </x:c>
      <x:c r="E12" s="47" t="str">
        <x:v>FP&amp;A</x:v>
      </x:c>
      <x:c r="F12" s="47" t="str">
        <x:v>Executive KPI</x:v>
      </x:c>
    </x:row>
    <x:row r="13">
      <x:c r="A13" s="47" t="str">
        <x:v>Forecast</x:v>
      </x:c>
      <x:c r="B13" s="47" t="str">
        <x:v>Forward estimate using actual run rate and assumptions.</x:v>
      </x:c>
      <x:c r="C13" s="47" t="str">
        <x:v>Prior actual * driver</x:v>
      </x:c>
      <x:c r="D13" s="47" t="str">
        <x:v>Month / FY</x:v>
      </x:c>
      <x:c r="E13" s="47" t="str">
        <x:v>FP&amp;A</x:v>
      </x:c>
      <x:c r="F13" s="47" t="str">
        <x:v>Planning</x:v>
      </x:c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0" hidden="0" customWidth="1"/>
  </x:cols>
  <x:sheetData>
    <x:row r="1" ht="28" customHeight="1">
      <x:c r="A1" s="74" t="str">
        <x:v>Executive KPI Scorecard | FY 2025 Actual vs Plan</x:v>
      </x:c>
      <x:c r="B1" s="74"/>
      <x:c r="C1" s="74"/>
      <x:c r="D1" s="74"/>
      <x:c r="E1" s="74"/>
      <x:c r="F1" s="74"/>
      <x:c r="G1" s="74"/>
    </x:row>
    <x:row r="3">
      <x:c r="A3" s="79" t="str">
        <x:v>KPI</x:v>
      </x:c>
      <x:c r="B3" s="79" t="str">
        <x:v>Plan</x:v>
      </x:c>
      <x:c r="C3" s="79" t="str">
        <x:v>Actual</x:v>
      </x:c>
      <x:c r="D3" s="79" t="str">
        <x:v>Variance</x:v>
      </x:c>
      <x:c r="E3" s="79" t="str">
        <x:v>Variance %</x:v>
      </x:c>
      <x:c r="F3" s="79" t="str">
        <x:v>Status</x:v>
      </x:c>
      <x:c r="G3" s="79" t="str">
        <x:v>Management Interpretation</x:v>
      </x:c>
    </x:row>
    <x:row r="4">
      <x:c r="A4" s="47" t="str">
        <x:v>Revenue</x:v>
      </x:c>
      <x:c r="B4" s="80" t="n">
        <x:f>SUMIFS('Raw Data'!$D:$D,'Raw Data'!$C:$C,"Revenue")</x:f>
        <x:v>11166120</x:v>
      </x:c>
      <x:c r="C4" s="80" t="n">
        <x:f>'Monthly P&amp;L'!N4</x:f>
        <x:v>11261530.930000002</x:v>
      </x:c>
      <x:c r="D4" s="80" t="n">
        <x:f>C4-B4</x:f>
        <x:v>95410.93000000156</x:v>
      </x:c>
      <x:c r="E4" s="81" t="n">
        <x:f>IFERROR(D4/ABS(B4),0)</x:f>
        <x:v>0.008544680694816245</x:v>
      </x:c>
      <x:c r="F4" s="47" t="str">
        <x:f>IF(E4&gt;0.05,"Favorable",IF(E4&lt;-0.05,"Unfavorable","On Track"))</x:f>
        <x:v>On Track</x:v>
      </x:c>
      <x:c r="G4" s="47" t="str">
        <x:v>Top-line performance</x:v>
      </x:c>
    </x:row>
    <x:row r="5">
      <x:c r="A5" s="47" t="str">
        <x:v>Gross Profit</x:v>
      </x:c>
      <x:c r="B5" s="80" t="n">
        <x:f>SUMIFS('Raw Data'!$D:$D,'Raw Data'!$C:$C,"Revenue")-SUMIFS('Raw Data'!$D:$D,'Raw Data'!$C:$C,"COGS")</x:f>
        <x:v>6476349.6</x:v>
      </x:c>
      <x:c r="C5" s="80" t="n">
        <x:f>'Monthly P&amp;L'!N6</x:f>
        <x:v>6445296.470000001</x:v>
      </x:c>
      <x:c r="D5" s="80" t="n">
        <x:f>C5-B5</x:f>
        <x:v>-31053.129999998957</x:v>
      </x:c>
      <x:c r="E5" s="81" t="n">
        <x:f>IFERROR(D5/ABS(B5),0)</x:f>
        <x:v>-0.004794850790636589</x:v>
      </x:c>
      <x:c r="F5" s="47" t="str">
        <x:f>IF(E5&gt;0.05,"Favorable",IF(E5&lt;-0.05,"Unfavorable","On Track"))</x:f>
        <x:v>On Track</x:v>
      </x:c>
      <x:c r="G5" s="47" t="str">
        <x:v>Revenue less COGS</x:v>
      </x:c>
    </x:row>
    <x:row r="6">
      <x:c r="A6" s="47" t="str">
        <x:v>Gross Margin %</x:v>
      </x:c>
      <x:c r="B6" s="81" t="n">
        <x:f>(SUMIFS('Raw Data'!$D:$D,'Raw Data'!$C:$C,"Revenue")-SUMIFS('Raw Data'!$D:$D,'Raw Data'!$C:$C,"COGS"))/SUMIFS('Raw Data'!$D:$D,'Raw Data'!$C:$C,"Revenue")</x:f>
        <x:v>0.58</x:v>
      </x:c>
      <x:c r="C6" s="81" t="n">
        <x:f>'Monthly P&amp;L'!N7</x:f>
        <x:v>0.5723286212205964</x:v>
      </x:c>
      <x:c r="D6" s="81" t="n">
        <x:f>C6-B6</x:f>
        <x:v>-0.007671378779403604</x:v>
      </x:c>
      <x:c r="E6" s="81" t="n">
        <x:f>IFERROR(D6/ABS(B6),0)</x:f>
        <x:v>-0.013226515136902766</x:v>
      </x:c>
      <x:c r="F6" s="47" t="str">
        <x:f>IF(E6&gt;0.05,"Favorable",IF(E6&lt;-0.05,"Unfavorable","On Track"))</x:f>
        <x:v>On Track</x:v>
      </x:c>
      <x:c r="G6" s="47" t="str">
        <x:v>Core profitability</x:v>
      </x:c>
    </x:row>
    <x:row r="7">
      <x:c r="A7" s="47" t="str">
        <x:v>Total OpEx</x:v>
      </x:c>
      <x:c r="B7" s="80" t="n">
        <x:f>SUMIFS('Raw Data'!$D:$D,'Raw Data'!$C:$C,"Payroll")+SUMIFS('Raw Data'!$D:$D,'Raw Data'!$C:$C,"Software")+SUMIFS('Raw Data'!$D:$D,'Raw Data'!$C:$C,"Travel")+SUMIFS('Raw Data'!$D:$D,'Raw Data'!$C:$C,"Facilities")+SUMIFS('Raw Data'!$D:$D,'Raw Data'!$C:$C,"Other OpEx")</x:f>
        <x:v>5591846.040000001</x:v>
      </x:c>
      <x:c r="C7" s="80" t="n">
        <x:f>'Monthly P&amp;L'!N13</x:f>
        <x:v>5827167.140000001</x:v>
      </x:c>
      <x:c r="D7" s="80" t="n">
        <x:f>C7-B7</x:f>
        <x:v>235321.09999999963</x:v>
      </x:c>
      <x:c r="E7" s="81" t="n">
        <x:f>IFERROR(D7/ABS(B7),0)</x:f>
        <x:v>0.042082900408323756</x:v>
      </x:c>
      <x:c r="F7" s="47" t="str">
        <x:f>IF(E7&gt;0.05,"Unfavorable",IF(E7&lt;-0.05,"Favorable","On Track"))</x:f>
        <x:v>On Track</x:v>
      </x:c>
      <x:c r="G7" s="47" t="str">
        <x:v>Operating cost control</x:v>
      </x:c>
    </x:row>
    <x:row r="8">
      <x:c r="A8" s="47" t="str">
        <x:v>Operating Profit</x:v>
      </x:c>
      <x:c r="B8" s="80" t="n">
        <x:f>B5-B7</x:f>
        <x:v>884503.5599999987</x:v>
      </x:c>
      <x:c r="C8" s="80" t="n">
        <x:f>'Monthly P&amp;L'!N14</x:f>
        <x:v>618129.3300000003</x:v>
      </x:c>
      <x:c r="D8" s="80" t="n">
        <x:f>C8-B8</x:f>
        <x:v>-266374.22999999835</x:v>
      </x:c>
      <x:c r="E8" s="81" t="n">
        <x:f>IFERROR(D8/ABS(B8),0)</x:f>
        <x:v>-0.30115676414009995</x:v>
      </x:c>
      <x:c r="F8" s="47" t="str">
        <x:f>IF(E8&gt;0.05,"Favorable",IF(E8&lt;-0.05,"Unfavorable","On Track"))</x:f>
        <x:v>Unfavorable</x:v>
      </x:c>
      <x:c r="G8" s="47" t="str">
        <x:v>Operating earnings</x:v>
      </x:c>
    </x:row>
    <x:row r="9">
      <x:c r="A9" s="47" t="str">
        <x:v>Operating Margin %</x:v>
      </x:c>
      <x:c r="B9" s="81" t="n">
        <x:f>IFERROR(B8/B4,0)</x:f>
        <x:v>0.07921315192743753</x:v>
      </x:c>
      <x:c r="C9" s="81" t="n">
        <x:f>'Monthly P&amp;L'!N15</x:f>
        <x:v>0.054888570110245234</x:v>
      </x:c>
      <x:c r="D9" s="81" t="n">
        <x:f>C9-B9</x:f>
        <x:v>-0.02432458181719229</x:v>
      </x:c>
      <x:c r="E9" s="81" t="n">
        <x:f>IFERROR(D9/ABS(B9),0)</x:f>
        <x:v>-0.3070775650926578</x:v>
      </x:c>
      <x:c r="F9" s="47" t="str">
        <x:f>IF(E9&gt;0.05,"Favorable",IF(E9&lt;-0.05,"Unfavorable","On Track"))</x:f>
        <x:v>Unfavorable</x:v>
      </x:c>
      <x:c r="G9" s="47" t="str">
        <x:v>Executive profitability KPI</x:v>
      </x:c>
    </x:row>
  </x:sheetData>
  <x:mergeCells>
    <x:mergeCell ref="A1:G1"/>
  </x:mergeCells>
  <x:conditionalFormatting sqref="E4:E9">
    <x:cfRule type="expression" dxfId="1" priority="1">
      <x:formula>ABS(E4)&gt;0.05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</x:cols>
  <x:sheetData>
    <x:row r="1" ht="28" customHeight="1">
      <x:c r="A1" s="74" t="str">
        <x:v>Forecast Bridge | FY 2025 Actual to FY 2026 Base Forecast</x:v>
      </x:c>
      <x:c r="B1" s="74"/>
      <x:c r="C1" s="74"/>
      <x:c r="D1" s="74"/>
      <x:c r="E1" s="74"/>
      <x:c r="F1" s="74"/>
    </x:row>
    <x:row r="3">
      <x:c r="A3" s="79" t="str">
        <x:v>Bridge Item</x:v>
      </x:c>
      <x:c r="B3" s="79" t="str">
        <x:v>Revenue Impact ($)</x:v>
      </x:c>
      <x:c r="C3" s="79" t="str">
        <x:v>COGS Impact ($)</x:v>
      </x:c>
      <x:c r="D3" s="79" t="str">
        <x:v>OpEx Impact ($)</x:v>
      </x:c>
      <x:c r="E3" s="79" t="str">
        <x:v>Operating Profit Impact ($)</x:v>
      </x:c>
      <x:c r="F3" s="79" t="str">
        <x:v>Commentary</x:v>
      </x:c>
    </x:row>
    <x:row r="4">
      <x:c r="A4" s="47" t="str">
        <x:v>FY 2025 Actual Base</x:v>
      </x:c>
      <x:c r="B4" s="80" t="n">
        <x:f>'Monthly P&amp;L'!N4</x:f>
        <x:v>11261530.930000002</x:v>
      </x:c>
      <x:c r="C4" s="80" t="n">
        <x:f>-'Monthly P&amp;L'!N5</x:f>
        <x:v>-4816234.459999999</x:v>
      </x:c>
      <x:c r="D4" s="80" t="n">
        <x:f>-'Monthly P&amp;L'!N13</x:f>
        <x:v>-5827167.140000001</x:v>
      </x:c>
      <x:c r="E4" s="80" t="n">
        <x:f>'Monthly P&amp;L'!N14</x:f>
        <x:v>618129.3300000003</x:v>
      </x:c>
      <x:c r="F4" s="47" t="str">
        <x:v>Starting point</x:v>
      </x:c>
    </x:row>
    <x:row r="5">
      <x:c r="A5" s="47" t="str">
        <x:v>Revenue growth</x:v>
      </x:c>
      <x:c r="B5" s="80" t="n">
        <x:f>Forecast!N4-'Monthly P&amp;L'!N4</x:f>
        <x:v>675691.8557999991</x:v>
      </x:c>
      <x:c r="C5" s="80" t="n">
        <x:v>0</x:v>
      </x:c>
      <x:c r="D5" s="80" t="n">
        <x:v>0</x:v>
      </x:c>
      <x:c r="E5" s="80" t="n">
        <x:f>B5</x:f>
        <x:v>675691.8557999991</x:v>
      </x:c>
      <x:c r="F5" s="47" t="str">
        <x:v>Driven by annual revenue growth assumption</x:v>
      </x:c>
    </x:row>
    <x:row r="6">
      <x:c r="A6" s="47" t="str">
        <x:v>Gross margin / COGS change</x:v>
      </x:c>
      <x:c r="B6" s="80" t="n">
        <x:v>0</x:v>
      </x:c>
      <x:c r="C6" s="80" t="n">
        <x:f>-(Forecast!N5-'Monthly P&amp;L'!N5)</x:f>
        <x:v>-197399.11003600154</x:v>
      </x:c>
      <x:c r="D6" s="80" t="n">
        <x:v>0</x:v>
      </x:c>
      <x:c r="E6" s="80" t="n">
        <x:f>C6</x:f>
        <x:v>-197399.11003600154</x:v>
      </x:c>
      <x:c r="F6" s="47" t="str">
        <x:v>Driven by COGS % of revenue assumption</x:v>
      </x:c>
    </x:row>
    <x:row r="7">
      <x:c r="A7" s="47" t="str">
        <x:v>Payroll inflation</x:v>
      </x:c>
      <x:c r="B7" s="80" t="n">
        <x:v>0</x:v>
      </x:c>
      <x:c r="C7" s="80" t="n">
        <x:v>0</x:v>
      </x:c>
      <x:c r="D7" s="80" t="n">
        <x:f>-(Forecast!N8-'Monthly P&amp;L'!N8)</x:f>
        <x:v>-185363.88599999994</x:v>
      </x:c>
      <x:c r="E7" s="80" t="n">
        <x:f>D7</x:f>
        <x:v>-185363.88599999994</x:v>
      </x:c>
      <x:c r="F7" s="47" t="str">
        <x:v>Headcount and merit inflation</x:v>
      </x:c>
    </x:row>
    <x:row r="8">
      <x:c r="A8" s="47" t="str">
        <x:v>Software inflation</x:v>
      </x:c>
      <x:c r="B8" s="80" t="n">
        <x:v>0</x:v>
      </x:c>
      <x:c r="C8" s="80" t="n">
        <x:v>0</x:v>
      </x:c>
      <x:c r="D8" s="80" t="n">
        <x:f>-(Forecast!N9-'Monthly P&amp;L'!N9)</x:f>
        <x:v>-61503.571200000006</x:v>
      </x:c>
      <x:c r="E8" s="80" t="n">
        <x:f>D8</x:f>
        <x:v>-61503.571200000006</x:v>
      </x:c>
      <x:c r="F8" s="47" t="str">
        <x:v>SaaS and licensing</x:v>
      </x:c>
    </x:row>
    <x:row r="9">
      <x:c r="A9" s="47" t="str">
        <x:v>Travel inflation</x:v>
      </x:c>
      <x:c r="B9" s="80" t="n">
        <x:v>0</x:v>
      </x:c>
      <x:c r="C9" s="80" t="n">
        <x:v>0</x:v>
      </x:c>
      <x:c r="D9" s="80" t="n">
        <x:f>-(Forecast!N10-'Monthly P&amp;L'!N10)</x:f>
        <x:v>-19835.98920000001</x:v>
      </x:c>
      <x:c r="E9" s="80" t="n">
        <x:f>D9</x:f>
        <x:v>-19835.98920000001</x:v>
      </x:c>
      <x:c r="F9" s="47" t="str">
        <x:v>Travel volume and policy</x:v>
      </x:c>
    </x:row>
    <x:row r="10">
      <x:c r="A10" s="47" t="str">
        <x:v>Facilities inflation</x:v>
      </x:c>
      <x:c r="B10" s="80" t="n">
        <x:v>0</x:v>
      </x:c>
      <x:c r="C10" s="80" t="n">
        <x:v>0</x:v>
      </x:c>
      <x:c r="D10" s="80" t="n">
        <x:f>-(Forecast!N11-'Monthly P&amp;L'!N11)</x:f>
        <x:v>-12522.393299999996</x:v>
      </x:c>
      <x:c r="E10" s="80" t="n">
        <x:f>D10</x:f>
        <x:v>-12522.393299999996</x:v>
      </x:c>
      <x:c r="F10" s="47" t="str">
        <x:v>Rent and utilities</x:v>
      </x:c>
    </x:row>
    <x:row r="11">
      <x:c r="A11" s="47" t="str">
        <x:v>Other OpEx inflation</x:v>
      </x:c>
      <x:c r="B11" s="80" t="n">
        <x:v>0</x:v>
      </x:c>
      <x:c r="C11" s="80" t="n">
        <x:v>0</x:v>
      </x:c>
      <x:c r="D11" s="80" t="n">
        <x:f>-(Forecast!N12-'Monthly P&amp;L'!N12)</x:f>
        <x:v>-24123.274000000092</x:v>
      </x:c>
      <x:c r="E11" s="80" t="n">
        <x:f>D11</x:f>
        <x:v>-24123.274000000092</x:v>
      </x:c>
      <x:c r="F11" s="47" t="str">
        <x:v>General operating spend</x:v>
      </x:c>
    </x:row>
    <x:row r="12">
      <x:c r="A12" s="47" t="str">
        <x:v>FY 2026 Base Forecast</x:v>
      </x:c>
      <x:c r="B12" s="80" t="n">
        <x:f>Forecast!N4</x:f>
        <x:v>11937222.7858</x:v>
      </x:c>
      <x:c r="C12" s="80" t="n">
        <x:f>-Forecast!N5</x:f>
        <x:v>-5013633.570036001</x:v>
      </x:c>
      <x:c r="D12" s="80" t="n">
        <x:f>-Forecast!N13</x:f>
        <x:v>-6130516.2537</x:v>
      </x:c>
      <x:c r="E12" s="80" t="n">
        <x:f>Forecast!N14</x:f>
        <x:v>793072.9620640002</x:v>
      </x:c>
      <x:c r="F12" s="47" t="str">
        <x:v>Ending forecast</x:v>
      </x:c>
    </x:row>
  </x:sheetData>
  <x:mergeCells>
    <x:mergeCell ref="A1:F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8" hidden="0" customWidth="1"/>
  </x:cols>
  <x:sheetData>
    <x:row r="1" ht="28" customHeight="1">
      <x:c r="A1" s="74" t="str">
        <x:v>Headcount &amp; Payroll Planning | FY 2026</x:v>
      </x:c>
      <x:c r="B1" s="74"/>
      <x:c r="C1" s="74"/>
      <x:c r="D1" s="74"/>
      <x:c r="E1" s="74"/>
      <x:c r="F1" s="74"/>
      <x:c r="G1" s="74"/>
      <x:c r="H1" s="74"/>
      <x:c r="I1" s="74"/>
      <x:c r="J1" s="74"/>
    </x:row>
    <x:row r="3">
      <x:c r="A3" s="79" t="str">
        <x:v>Department</x:v>
      </x:c>
      <x:c r="B3" s="79" t="str">
        <x:v>FY25 Avg HC</x:v>
      </x:c>
      <x:c r="C3" s="79" t="str">
        <x:v>FY26 Plan HC</x:v>
      </x:c>
      <x:c r="D3" s="79" t="str">
        <x:v>Net Adds</x:v>
      </x:c>
      <x:c r="E3" s="79" t="str">
        <x:v>Avg Salary ($)</x:v>
      </x:c>
      <x:c r="F3" s="79" t="str">
        <x:v>Bonus %</x:v>
      </x:c>
      <x:c r="G3" s="79" t="str">
        <x:v>Benefits %</x:v>
      </x:c>
      <x:c r="H3" s="79" t="str">
        <x:v>Annual Payroll ($)</x:v>
      </x:c>
      <x:c r="I3" s="79" t="str">
        <x:v>vs FY25 Payroll ($)</x:v>
      </x:c>
      <x:c r="J3" s="79" t="str">
        <x:v>Commentary</x:v>
      </x:c>
    </x:row>
    <x:row r="4">
      <x:c r="A4" s="47" t="str">
        <x:v>Sales</x:v>
      </x:c>
      <x:c r="B4" s="85" t="n">
        <x:v>5</x:v>
      </x:c>
      <x:c r="C4" s="85" t="n">
        <x:v>6</x:v>
      </x:c>
      <x:c r="D4" s="85" t="n">
        <x:v>1</x:v>
      </x:c>
      <x:c r="E4" s="86" t="n">
        <x:v>76000</x:v>
      </x:c>
      <x:c r="F4" s="87" t="n">
        <x:v>0.1</x:v>
      </x:c>
      <x:c r="G4" s="87" t="n">
        <x:v>0.2</x:v>
      </x:c>
      <x:c r="H4" s="80" t="n">
        <x:f>C4*E4*(1+F4+G4)</x:f>
        <x:v>592800</x:v>
      </x:c>
      <x:c r="I4" s="80" t="n">
        <x:f>H4-SUMIFS('Raw Data'!$E:$E,'Raw Data'!$B:$B,A4,'Raw Data'!$C:$C,"Payroll")</x:f>
        <x:v>-84497.26000000001</x:v>
      </x:c>
      <x:c r="J4" s="47" t="str">
        <x:v>Plan reflects illustrative staffing and compensation assumptions.</x:v>
      </x:c>
    </x:row>
    <x:row r="5">
      <x:c r="A5" s="47" t="str">
        <x:v>Marketing</x:v>
      </x:c>
      <x:c r="B5" s="85" t="n">
        <x:v>4</x:v>
      </x:c>
      <x:c r="C5" s="85" t="n">
        <x:v>4</x:v>
      </x:c>
      <x:c r="D5" s="85" t="n">
        <x:v>0</x:v>
      </x:c>
      <x:c r="E5" s="86" t="n">
        <x:v>72000</x:v>
      </x:c>
      <x:c r="F5" s="87" t="n">
        <x:v>0.08</x:v>
      </x:c>
      <x:c r="G5" s="87" t="n">
        <x:v>0.2</x:v>
      </x:c>
      <x:c r="H5" s="80" t="n">
        <x:f>C5*E5*(1+F5+G5)</x:f>
        <x:v>368640</x:v>
      </x:c>
      <x:c r="I5" s="80" t="n">
        <x:f>H5-SUMIFS('Raw Data'!$E:$E,'Raw Data'!$B:$B,A5,'Raw Data'!$C:$C,"Payroll")</x:f>
        <x:v>-315745.4999999999</x:v>
      </x:c>
      <x:c r="J5" s="47" t="str">
        <x:v>Plan reflects illustrative staffing and compensation assumptions.</x:v>
      </x:c>
    </x:row>
    <x:row r="6">
      <x:c r="A6" s="47" t="str">
        <x:v>R&amp;D</x:v>
      </x:c>
      <x:c r="B6" s="85" t="n">
        <x:v>7</x:v>
      </x:c>
      <x:c r="C6" s="85" t="n">
        <x:v>8</x:v>
      </x:c>
      <x:c r="D6" s="85" t="n">
        <x:v>1</x:v>
      </x:c>
      <x:c r="E6" s="86" t="n">
        <x:v>98000</x:v>
      </x:c>
      <x:c r="F6" s="87" t="n">
        <x:v>0.08</x:v>
      </x:c>
      <x:c r="G6" s="87" t="n">
        <x:v>0.22</x:v>
      </x:c>
      <x:c r="H6" s="80" t="n">
        <x:f>C6*E6*(1+F6+G6)</x:f>
        <x:v>1019200</x:v>
      </x:c>
      <x:c r="I6" s="80" t="n">
        <x:f>H6-SUMIFS('Raw Data'!$E:$E,'Raw Data'!$B:$B,A6,'Raw Data'!$C:$C,"Payroll")</x:f>
        <x:v>18555.699999999953</x:v>
      </x:c>
      <x:c r="J6" s="47" t="str">
        <x:v>Plan reflects illustrative staffing and compensation assumptions.</x:v>
      </x:c>
    </x:row>
    <x:row r="7">
      <x:c r="A7" s="47" t="str">
        <x:v>Operations</x:v>
      </x:c>
      <x:c r="B7" s="85" t="n">
        <x:v>6</x:v>
      </x:c>
      <x:c r="C7" s="85" t="n">
        <x:v>6</x:v>
      </x:c>
      <x:c r="D7" s="85" t="n">
        <x:v>0</x:v>
      </x:c>
      <x:c r="E7" s="86" t="n">
        <x:v>66000</x:v>
      </x:c>
      <x:c r="F7" s="87" t="n">
        <x:v>0.06</x:v>
      </x:c>
      <x:c r="G7" s="87" t="n">
        <x:v>0.2</x:v>
      </x:c>
      <x:c r="H7" s="80" t="n">
        <x:f>C7*E7*(1+F7+G7)</x:f>
        <x:v>498960</x:v>
      </x:c>
      <x:c r="I7" s="80" t="n">
        <x:f>H7-SUMIFS('Raw Data'!$E:$E,'Raw Data'!$B:$B,A7,'Raw Data'!$C:$C,"Payroll")</x:f>
        <x:v>-169016.19999999995</x:v>
      </x:c>
      <x:c r="J7" s="47" t="str">
        <x:v>Plan reflects illustrative staffing and compensation assumptions.</x:v>
      </x:c>
    </x:row>
    <x:row r="8">
      <x:c r="A8" s="47" t="str">
        <x:v>G&amp;A</x:v>
      </x:c>
      <x:c r="B8" s="85" t="n">
        <x:v>4</x:v>
      </x:c>
      <x:c r="C8" s="85" t="n">
        <x:v>4</x:v>
      </x:c>
      <x:c r="D8" s="85" t="n">
        <x:v>0</x:v>
      </x:c>
      <x:c r="E8" s="86" t="n">
        <x:v>80000</x:v>
      </x:c>
      <x:c r="F8" s="87" t="n">
        <x:v>0.08</x:v>
      </x:c>
      <x:c r="G8" s="87" t="n">
        <x:v>0.21</x:v>
      </x:c>
      <x:c r="H8" s="80" t="n">
        <x:f>C8*E8*(1+F8+G8)</x:f>
        <x:v>412800</x:v>
      </x:c>
      <x:c r="I8" s="80" t="n">
        <x:f>H8-SUMIFS('Raw Data'!$E:$E,'Raw Data'!$B:$B,A8,'Raw Data'!$C:$C,"Payroll")</x:f>
        <x:v>-264174.4600000001</x:v>
      </x:c>
      <x:c r="J8" s="47" t="str">
        <x:v>Plan reflects illustrative staffing and compensation assumptions.</x:v>
      </x:c>
    </x:row>
    <x:row r="9">
      <x:c r="A9" s="47"/>
      <x:c r="B9" s="47"/>
      <x:c r="C9" s="47"/>
      <x:c r="D9" s="47"/>
      <x:c r="E9" s="47"/>
      <x:c r="F9" s="47"/>
      <x:c r="G9" s="47"/>
      <x:c r="H9" s="80"/>
      <x:c r="I9" s="80"/>
      <x:c r="J9" s="47"/>
    </x:row>
    <x:row r="10">
      <x:c r="A10" s="88" t="str">
        <x:v>Total</x:v>
      </x:c>
      <x:c r="B10" s="88" t="n">
        <x:f>SUM(B4:B8)</x:f>
        <x:v>26</x:v>
      </x:c>
      <x:c r="C10" s="88" t="n">
        <x:f>SUM(C4:C8)</x:f>
        <x:v>28</x:v>
      </x:c>
      <x:c r="D10" s="88" t="n">
        <x:f>SUM(D4:D8)</x:f>
        <x:v>2</x:v>
      </x:c>
      <x:c r="E10" s="88"/>
      <x:c r="F10" s="88"/>
      <x:c r="G10" s="88"/>
      <x:c r="H10" s="89" t="n">
        <x:f>SUM(H4:H8)</x:f>
        <x:v>2892400</x:v>
      </x:c>
      <x:c r="I10" s="89" t="n">
        <x:f>SUM(I4:I8)</x:f>
        <x:v>-814877.72</x:v>
      </x:c>
      <x:c r="J10" s="47"/>
    </x:row>
  </x:sheetData>
  <x:mergeCells>
    <x:mergeCell ref="A1:J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34" hidden="0" customWidth="1"/>
  </x:cols>
  <x:sheetData>
    <x:row r="1" ht="28" customHeight="1">
      <x:c r="A1" s="74" t="str">
        <x:v>Cash Flow Forecast | FY 2026 Monthly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  <x:c r="N1" s="74"/>
      <x:c r="O1" s="74"/>
    </x:row>
    <x:row r="3">
      <x:c r="A3" s="79" t="str">
        <x:v>Metric</x:v>
      </x:c>
      <x:c r="B3" s="79" t="str">
        <x:v>Jan</x:v>
      </x:c>
      <x:c r="C3" s="79" t="str">
        <x:v>Feb</x:v>
      </x:c>
      <x:c r="D3" s="79" t="str">
        <x:v>Mar</x:v>
      </x:c>
      <x:c r="E3" s="79" t="str">
        <x:v>Apr</x:v>
      </x:c>
      <x:c r="F3" s="79" t="str">
        <x:v>May</x:v>
      </x:c>
      <x:c r="G3" s="79" t="str">
        <x:v>Jun</x:v>
      </x:c>
      <x:c r="H3" s="79" t="str">
        <x:v>Jul</x:v>
      </x:c>
      <x:c r="I3" s="79" t="str">
        <x:v>Aug</x:v>
      </x:c>
      <x:c r="J3" s="79" t="str">
        <x:v>Sep</x:v>
      </x:c>
      <x:c r="K3" s="79" t="str">
        <x:v>Oct</x:v>
      </x:c>
      <x:c r="L3" s="79" t="str">
        <x:v>Nov</x:v>
      </x:c>
      <x:c r="M3" s="79" t="str">
        <x:v>Dec</x:v>
      </x:c>
      <x:c r="N3" s="79" t="str">
        <x:v>FY 2026</x:v>
      </x:c>
      <x:c r="O3" s="79" t="str">
        <x:v>Notes</x:v>
      </x:c>
    </x:row>
    <x:row r="4">
      <x:c r="A4" s="47" t="str">
        <x:v>Beginning Cash</x:v>
      </x:c>
      <x:c r="B4" s="90" t="n">
        <x:v>1500000</x:v>
      </x:c>
      <x:c r="C4" s="80" t="n">
        <x:f>B12</x:f>
        <x:v>1559206.827118</x:v>
      </x:c>
      <x:c r="D4" s="80" t="n">
        <x:f>C12</x:f>
        <x:v>1612740.279282</x:v>
      </x:c>
      <x:c r="E4" s="80" t="n">
        <x:f>D12</x:f>
        <x:v>1646877.8263909998</x:v>
      </x:c>
      <x:c r="F4" s="80" t="n">
        <x:f>E12</x:f>
        <x:v>1677989.6732179997</x:v>
      </x:c>
      <x:c r="G4" s="80" t="n">
        <x:f>F12</x:f>
        <x:v>1714973.9228709997</x:v>
      </x:c>
      <x:c r="H4" s="80" t="n">
        <x:f>G12</x:f>
        <x:v>1759059.3859289996</x:v>
      </x:c>
      <x:c r="I4" s="80" t="n">
        <x:f>H12</x:f>
        <x:v>1815082.6975169997</x:v>
      </x:c>
      <x:c r="J4" s="80" t="n">
        <x:f>I12</x:f>
        <x:v>1868011.3427209996</x:v>
      </x:c>
      <x:c r="K4" s="80" t="n">
        <x:f>J12</x:f>
        <x:v>1909202.7449959996</x:v>
      </x:c>
      <x:c r="L4" s="80" t="n">
        <x:f>K12</x:f>
        <x:v>1952607.2476279996</x:v>
      </x:c>
      <x:c r="M4" s="80" t="n">
        <x:f>L12</x:f>
        <x:v>1994853.5943549997</x:v>
      </x:c>
      <x:c r="N4" s="80" t="n">
        <x:f>B4</x:f>
        <x:v>1500000</x:v>
      </x:c>
      <x:c r="O4" s="47" t="str">
        <x:v>Prior month ending cash</x:v>
      </x:c>
    </x:row>
    <x:row r="5">
      <x:c r="A5" s="47" t="str">
        <x:v>Operating Profit</x:v>
      </x:c>
      <x:c r="B5" s="80" t="n">
        <x:f>Forecast!B14</x:f>
        <x:v>84833.95571200002</x:v>
      </x:c>
      <x:c r="C5" s="80" t="n">
        <x:f>Forecast!C14</x:f>
        <x:v>77813.39351999993</x:v>
      </x:c>
      <x:c r="D5" s="80" t="n">
        <x:f>Forecast!D14</x:f>
        <x:v>50877.334696000034</x:v>
      </x:c>
      <x:c r="E5" s="80" t="n">
        <x:f>Forecast!E14</x:f>
        <x:v>47280.37771999993</x:v>
      </x:c>
      <x:c r="F5" s="80" t="n">
        <x:f>Forecast!F14</x:f>
        <x:v>56773.16209200001</x:v>
      </x:c>
      <x:c r="G5" s="80" t="n">
        <x:f>Forecast!G14</x:f>
        <x:v>67801.62607599999</x:v>
      </x:c>
      <x:c r="H5" s="80" t="n">
        <x:f>Forecast!H14</x:f>
        <x:v>83908.82760400005</x:v>
      </x:c>
      <x:c r="I5" s="80" t="n">
        <x:f>Forecast!I14</x:f>
        <x:v>78468.83278399991</x:v>
      </x:c>
      <x:c r="J5" s="80" t="n">
        <x:f>Forecast!J14</x:f>
        <x:v>61136.25410800008</x:v>
      </x:c>
      <x:c r="K5" s="80" t="n">
        <x:f>Forecast!K14</x:f>
        <x:v>63503.11118400004</x:v>
      </x:c>
      <x:c r="L5" s="80" t="n">
        <x:f>Forecast!L14</x:f>
        <x:v>63040.957175999996</x:v>
      </x:c>
      <x:c r="M5" s="80" t="n">
        <x:f>Forecast!M14</x:f>
        <x:v>57635.12939200015</x:v>
      </x:c>
      <x:c r="N5" s="80" t="n">
        <x:f>SUM(B5:M5)</x:f>
        <x:v>793072.9620640002</x:v>
      </x:c>
      <x:c r="O5" s="47" t="str">
        <x:v>From operating forecast</x:v>
      </x:c>
    </x:row>
    <x:row r="6">
      <x:c r="A6" s="47" t="str">
        <x:v>D&amp;A</x:v>
      </x:c>
      <x:c r="B6" s="80" t="n">
        <x:f>Forecast!B4*3%</x:f>
        <x:v>29051.142492000003</x:v>
      </x:c>
      <x:c r="C6" s="80" t="n">
        <x:f>Forecast!C4*3%</x:f>
        <x:v>29044.09752</x:v>
      </x:c>
      <x:c r="D6" s="80" t="n">
        <x:f>Forecast!D4*3%</x:f>
        <x:v>28665.530286</x:v>
      </x:c>
      <x:c r="E6" s="80" t="n">
        <x:f>Forecast!E4*3%</x:f>
        <x:v>28467.460169999995</x:v>
      </x:c>
      <x:c r="F6" s="80" t="n">
        <x:f>Forecast!F4*3%</x:f>
        <x:v>28860.250272</x:v>
      </x:c>
      <x:c r="G6" s="80" t="n">
        <x:f>Forecast!G4*3%</x:f>
        <x:v>29762.887865999997</x:v>
      </x:c>
      <x:c r="H6" s="80" t="n">
        <x:f>Forecast!H4*3%</x:f>
        <x:v>30661.885314</x:v>
      </x:c>
      <x:c r="I6" s="80" t="n">
        <x:f>Forecast!I4*3%</x:f>
        <x:v>31036.961543999998</x:v>
      </x:c>
      <x:c r="J6" s="80" t="n">
        <x:f>Forecast!J4*3%</x:f>
        <x:v>30800.636028</x:v>
      </x:c>
      <x:c r="K6" s="80" t="n">
        <x:f>Forecast!K4*3%</x:f>
        <x:v>30380.355144</x:v>
      </x:c>
      <x:c r="L6" s="80" t="n">
        <x:f>Forecast!L4*3%</x:f>
        <x:v>30366.960666000006</x:v>
      </x:c>
      <x:c r="M6" s="80" t="n">
        <x:f>Forecast!M4*3%</x:f>
        <x:v>31018.516272000008</x:v>
      </x:c>
      <x:c r="N6" s="80" t="n">
        <x:f>SUM(B6:M6)</x:f>
        <x:v>358116.683574</x:v>
      </x:c>
      <x:c r="O6" s="47" t="str">
        <x:v>3% of revenue</x:v>
      </x:c>
    </x:row>
    <x:row r="7">
      <x:c r="A7" s="47" t="str">
        <x:v>Capex</x:v>
      </x:c>
      <x:c r="B7" s="80" t="n">
        <x:f>-Forecast!B4*3.5%</x:f>
        <x:v>-33892.99957400001</x:v>
      </x:c>
      <x:c r="C7" s="80" t="n">
        <x:f>-Forecast!C4*3.5%</x:f>
        <x:v>-33884.78044</x:v>
      </x:c>
      <x:c r="D7" s="80" t="n">
        <x:f>-Forecast!D4*3.5%</x:f>
        <x:v>-33443.11866700001</x:v>
      </x:c>
      <x:c r="E7" s="80" t="n">
        <x:f>-Forecast!E4*3.5%</x:f>
        <x:v>-33212.036865</x:v>
      </x:c>
      <x:c r="F7" s="80" t="n">
        <x:f>-Forecast!F4*3.5%</x:f>
        <x:v>-33670.291984</x:v>
      </x:c>
      <x:c r="G7" s="80" t="n">
        <x:f>-Forecast!G4*3.5%</x:f>
        <x:v>-34723.369177</x:v>
      </x:c>
      <x:c r="H7" s="80" t="n">
        <x:f>-Forecast!H4*3.5%</x:f>
        <x:v>-35772.199533000006</x:v>
      </x:c>
      <x:c r="I7" s="80" t="n">
        <x:f>-Forecast!I4*3.5%</x:f>
        <x:v>-36209.788468000006</x:v>
      </x:c>
      <x:c r="J7" s="80" t="n">
        <x:f>-Forecast!J4*3.5%</x:f>
        <x:v>-35934.075366000005</x:v>
      </x:c>
      <x:c r="K7" s="80" t="n">
        <x:f>-Forecast!K4*3.5%</x:f>
        <x:v>-35443.74766800001</x:v>
      </x:c>
      <x:c r="L7" s="80" t="n">
        <x:f>-Forecast!L4*3.5%</x:f>
        <x:v>-35428.12077700001</x:v>
      </x:c>
      <x:c r="M7" s="80" t="n">
        <x:f>-Forecast!M4*3.5%</x:f>
        <x:v>-36188.26898400001</x:v>
      </x:c>
      <x:c r="N7" s="80" t="n">
        <x:f>SUM(B7:M7)</x:f>
        <x:v>-417802.7975030001</x:v>
      </x:c>
      <x:c r="O7" s="47" t="str">
        <x:v>3.5% of revenue</x:v>
      </x:c>
    </x:row>
    <x:row r="8">
      <x:c r="A8" s="47" t="str">
        <x:v>Change in NWC</x:v>
      </x:c>
      <x:c r="B8" s="80" t="n">
        <x:f>-(Forecast!B4-'Monthly P&amp;L'!M4)*6%</x:f>
        <x:v>423.21741600000297</x:v>
      </x:c>
      <x:c r="C8" s="80" t="n">
        <x:f>-(Forecast!C4-Forecast!B4)*6%</x:f>
        <x:v>14.089944000004325</x:v>
      </x:c>
      <x:c r="D8" s="80" t="n">
        <x:f>-(Forecast!D4-Forecast!C4)*6%</x:f>
        <x:v>757.1344679999956</x:v>
      </x:c>
      <x:c r="E8" s="80" t="n">
        <x:f>-(Forecast!E4-Forecast!D4)*6%</x:f>
        <x:v>396.140232000011</x:v>
      </x:c>
      <x:c r="F8" s="80" t="n">
        <x:f>-(Forecast!F4-Forecast!E4)*6%</x:f>
        <x:v>-785.5802040000096</x:v>
      </x:c>
      <x:c r="G8" s="80" t="n">
        <x:f>-(Forecast!G4-Forecast!F4)*6%</x:f>
        <x:v>-1805.2751879999948</x:v>
      </x:c>
      <x:c r="H8" s="80" t="n">
        <x:f>-(Forecast!H4-Forecast!G4)*6%</x:f>
        <x:v>-1797.994896000002</x:v>
      </x:c>
      <x:c r="I8" s="80" t="n">
        <x:f>-(Forecast!I4-Forecast!H4)*6%</x:f>
        <x:v>-750.1524599999981</x:v>
      </x:c>
      <x:c r="J8" s="80" t="n">
        <x:f>-(Forecast!J4-Forecast!I4)*6%</x:f>
        <x:v>472.6510319999931</x:v>
      </x:c>
      <x:c r="K8" s="80" t="n">
        <x:f>-(Forecast!K4-Forecast!J4)*6%</x:f>
        <x:v>840.5617680000001</x:v>
      </x:c>
      <x:c r="L8" s="80" t="n">
        <x:f>-(Forecast!L4-Forecast!K4)*6%</x:f>
        <x:v>26.78895599999232</x:v>
      </x:c>
      <x:c r="M8" s="80" t="n">
        <x:f>-(Forecast!M4-Forecast!L4)*6%</x:f>
        <x:v>-1303.1112120000016</x:v>
      </x:c>
      <x:c r="N8" s="80" t="n">
        <x:f>SUM(B8:M8)</x:f>
        <x:v>-3511.530144000007</x:v>
      </x:c>
      <x:c r="O8" s="47" t="str">
        <x:v>6% NWC requirement</x:v>
      </x:c>
    </x:row>
    <x:row r="9">
      <x:c r="A9" s="47" t="str">
        <x:v>Cash Taxes</x:v>
      </x:c>
      <x:c r="B9" s="80" t="n">
        <x:f>-MAX(B5,0)*25%</x:f>
        <x:v>-21208.488928000006</x:v>
      </x:c>
      <x:c r="C9" s="80" t="n">
        <x:f>-MAX(C5,0)*25%</x:f>
        <x:v>-19453.34837999998</x:v>
      </x:c>
      <x:c r="D9" s="80" t="n">
        <x:f>-MAX(D5,0)*25%</x:f>
        <x:v>-12719.333674000009</x:v>
      </x:c>
      <x:c r="E9" s="80" t="n">
        <x:f>-MAX(E5,0)*25%</x:f>
        <x:v>-11820.094429999983</x:v>
      </x:c>
      <x:c r="F9" s="80" t="n">
        <x:f>-MAX(F5,0)*25%</x:f>
        <x:v>-14193.290523000003</x:v>
      </x:c>
      <x:c r="G9" s="80" t="n">
        <x:f>-MAX(G5,0)*25%</x:f>
        <x:v>-16950.406518999996</x:v>
      </x:c>
      <x:c r="H9" s="80" t="n">
        <x:f>-MAX(H5,0)*25%</x:f>
        <x:v>-20977.206901000012</x:v>
      </x:c>
      <x:c r="I9" s="80" t="n">
        <x:f>-MAX(I5,0)*25%</x:f>
        <x:v>-19617.208195999978</x:v>
      </x:c>
      <x:c r="J9" s="80" t="n">
        <x:f>-MAX(J5,0)*25%</x:f>
        <x:v>-15284.06352700002</x:v>
      </x:c>
      <x:c r="K9" s="80" t="n">
        <x:f>-MAX(K5,0)*25%</x:f>
        <x:v>-15875.77779600001</x:v>
      </x:c>
      <x:c r="L9" s="80" t="n">
        <x:f>-MAX(L5,0)*25%</x:f>
        <x:v>-15760.239293999999</x:v>
      </x:c>
      <x:c r="M9" s="80" t="n">
        <x:f>-MAX(M5,0)*25%</x:f>
        <x:v>-14408.782348000037</x:v>
      </x:c>
      <x:c r="N9" s="80" t="n">
        <x:f>SUM(B9:M9)</x:f>
        <x:v>-198268.24051600005</x:v>
      </x:c>
      <x:c r="O9" s="47" t="str">
        <x:v>25% of positive operating profit</x:v>
      </x:c>
    </x:row>
    <x:row r="10">
      <x:c r="A10" s="47" t="str">
        <x:v>Free Cash Flow</x:v>
      </x:c>
      <x:c r="B10" s="80" t="n">
        <x:f>SUM(B5:B9)</x:f>
        <x:v>59206.827118000016</x:v>
      </x:c>
      <x:c r="C10" s="80" t="n">
        <x:f>SUM(C5:C9)</x:f>
        <x:v>53533.452163999944</x:v>
      </x:c>
      <x:c r="D10" s="80" t="n">
        <x:f>SUM(D5:D9)</x:f>
        <x:v>34137.54710900001</x:v>
      </x:c>
      <x:c r="E10" s="80" t="n">
        <x:f>SUM(E5:E9)</x:f>
        <x:v>31111.84682699995</x:v>
      </x:c>
      <x:c r="F10" s="80" t="n">
        <x:f>SUM(F5:F9)</x:f>
        <x:v>36984.249653</x:v>
      </x:c>
      <x:c r="G10" s="80" t="n">
        <x:f>SUM(G5:G9)</x:f>
        <x:v>44085.463058</x:v>
      </x:c>
      <x:c r="H10" s="80" t="n">
        <x:f>SUM(H5:H9)</x:f>
        <x:v>56023.311588000026</x:v>
      </x:c>
      <x:c r="I10" s="80" t="n">
        <x:f>SUM(I5:I9)</x:f>
        <x:v>52928.64520399991</x:v>
      </x:c>
      <x:c r="J10" s="80" t="n">
        <x:f>SUM(J5:J9)</x:f>
        <x:v>41191.40227500006</x:v>
      </x:c>
      <x:c r="K10" s="80" t="n">
        <x:f>SUM(K5:K9)</x:f>
        <x:v>43404.50263200002</x:v>
      </x:c>
      <x:c r="L10" s="80" t="n">
        <x:f>SUM(L5:L9)</x:f>
        <x:v>42246.346726999975</x:v>
      </x:c>
      <x:c r="M10" s="80" t="n">
        <x:f>SUM(M5:M9)</x:f>
        <x:v>36753.483120000106</x:v>
      </x:c>
      <x:c r="N10" s="80" t="n">
        <x:f>SUM(B10:M10)</x:f>
        <x:v>531607.0774749999</x:v>
      </x:c>
      <x:c r="O10" s="47" t="str">
        <x:v>Operating cash after reinvestment</x:v>
      </x:c>
    </x:row>
    <x:row r="11">
      <x:c r="A11" s="47" t="str">
        <x:v>Financing / Other</x:v>
      </x:c>
      <x:c r="B11" s="80" t="n">
        <x:v>0</x:v>
      </x:c>
      <x:c r="C11" s="80" t="n">
        <x:v>0</x:v>
      </x:c>
      <x:c r="D11" s="80" t="n">
        <x:v>0</x:v>
      </x:c>
      <x:c r="E11" s="80" t="n">
        <x:v>0</x:v>
      </x:c>
      <x:c r="F11" s="80" t="n">
        <x:v>0</x:v>
      </x:c>
      <x:c r="G11" s="80" t="n">
        <x:v>0</x:v>
      </x:c>
      <x:c r="H11" s="80" t="n">
        <x:v>0</x:v>
      </x:c>
      <x:c r="I11" s="80" t="n">
        <x:v>0</x:v>
      </x:c>
      <x:c r="J11" s="80" t="n">
        <x:v>0</x:v>
      </x:c>
      <x:c r="K11" s="80" t="n">
        <x:v>0</x:v>
      </x:c>
      <x:c r="L11" s="80" t="n">
        <x:v>0</x:v>
      </x:c>
      <x:c r="M11" s="80" t="n">
        <x:v>0</x:v>
      </x:c>
      <x:c r="N11" s="80" t="n">
        <x:f>SUM(B11:M11)</x:f>
        <x:v>0</x:v>
      </x:c>
      <x:c r="O11" s="47" t="str">
        <x:v>Illustrative financing/other</x:v>
      </x:c>
    </x:row>
    <x:row r="12">
      <x:c r="A12" s="47" t="str">
        <x:v>Ending Cash</x:v>
      </x:c>
      <x:c r="B12" s="80" t="n">
        <x:f>B4+B10+B11</x:f>
        <x:v>1559206.827118</x:v>
      </x:c>
      <x:c r="C12" s="80" t="n">
        <x:f>C4+C10+C11</x:f>
        <x:v>1612740.279282</x:v>
      </x:c>
      <x:c r="D12" s="80" t="n">
        <x:f>D4+D10+D11</x:f>
        <x:v>1646877.8263909998</x:v>
      </x:c>
      <x:c r="E12" s="80" t="n">
        <x:f>E4+E10+E11</x:f>
        <x:v>1677989.6732179997</x:v>
      </x:c>
      <x:c r="F12" s="80" t="n">
        <x:f>F4+F10+F11</x:f>
        <x:v>1714973.9228709997</x:v>
      </x:c>
      <x:c r="G12" s="80" t="n">
        <x:f>G4+G10+G11</x:f>
        <x:v>1759059.3859289996</x:v>
      </x:c>
      <x:c r="H12" s="80" t="n">
        <x:f>H4+H10+H11</x:f>
        <x:v>1815082.6975169997</x:v>
      </x:c>
      <x:c r="I12" s="80" t="n">
        <x:f>I4+I10+I11</x:f>
        <x:v>1868011.3427209996</x:v>
      </x:c>
      <x:c r="J12" s="80" t="n">
        <x:f>J4+J10+J11</x:f>
        <x:v>1909202.7449959996</x:v>
      </x:c>
      <x:c r="K12" s="80" t="n">
        <x:f>K4+K10+K11</x:f>
        <x:v>1952607.2476279996</x:v>
      </x:c>
      <x:c r="L12" s="80" t="n">
        <x:f>L4+L10+L11</x:f>
        <x:v>1994853.5943549997</x:v>
      </x:c>
      <x:c r="M12" s="80" t="n">
        <x:f>M4+M10+M11</x:f>
        <x:v>2031607.0774749997</x:v>
      </x:c>
      <x:c r="N12" s="80" t="n">
        <x:f>M12</x:f>
        <x:v>2031607.0774749997</x:v>
      </x:c>
      <x:c r="O12" s="47" t="str">
        <x:v>Calculated ending cash</x:v>
      </x:c>
    </x:row>
    <x:row r="13">
      <x:c r="A13" s="47" t="str">
        <x:v>Minimum Cash Threshold</x:v>
      </x:c>
      <x:c r="B13" s="80" t="n">
        <x:v>750000</x:v>
      </x:c>
      <x:c r="C13" s="80" t="n">
        <x:v>750000</x:v>
      </x:c>
      <x:c r="D13" s="80" t="n">
        <x:v>750000</x:v>
      </x:c>
      <x:c r="E13" s="80" t="n">
        <x:v>750000</x:v>
      </x:c>
      <x:c r="F13" s="80" t="n">
        <x:v>750000</x:v>
      </x:c>
      <x:c r="G13" s="80" t="n">
        <x:v>750000</x:v>
      </x:c>
      <x:c r="H13" s="80" t="n">
        <x:v>750000</x:v>
      </x:c>
      <x:c r="I13" s="80" t="n">
        <x:v>750000</x:v>
      </x:c>
      <x:c r="J13" s="80" t="n">
        <x:v>750000</x:v>
      </x:c>
      <x:c r="K13" s="80" t="n">
        <x:v>750000</x:v>
      </x:c>
      <x:c r="L13" s="80" t="n">
        <x:v>750000</x:v>
      </x:c>
      <x:c r="M13" s="80" t="n">
        <x:v>750000</x:v>
      </x:c>
      <x:c r="N13" s="80" t="n">
        <x:f>M13</x:f>
        <x:v>750000</x:v>
      </x:c>
      <x:c r="O13" s="47" t="str">
        <x:v>Corporate liquidity floor</x:v>
      </x:c>
    </x:row>
    <x:row r="14">
      <x:c r="A14" s="47" t="str">
        <x:v>Liquidity Status</x:v>
      </x:c>
      <x:c r="B14" s="47" t="str">
        <x:f>IF(B12&lt;B13,"Below Threshold","Adequate")</x:f>
        <x:v>Adequate</x:v>
      </x:c>
      <x:c r="C14" s="47" t="str">
        <x:f>IF(C12&lt;C13,"Below Threshold","Adequate")</x:f>
        <x:v>Adequate</x:v>
      </x:c>
      <x:c r="D14" s="47" t="str">
        <x:f>IF(D12&lt;D13,"Below Threshold","Adequate")</x:f>
        <x:v>Adequate</x:v>
      </x:c>
      <x:c r="E14" s="47" t="str">
        <x:f>IF(E12&lt;E13,"Below Threshold","Adequate")</x:f>
        <x:v>Adequate</x:v>
      </x:c>
      <x:c r="F14" s="47" t="str">
        <x:f>IF(F12&lt;F13,"Below Threshold","Adequate")</x:f>
        <x:v>Adequate</x:v>
      </x:c>
      <x:c r="G14" s="47" t="str">
        <x:f>IF(G12&lt;G13,"Below Threshold","Adequate")</x:f>
        <x:v>Adequate</x:v>
      </x:c>
      <x:c r="H14" s="47" t="str">
        <x:f>IF(H12&lt;H13,"Below Threshold","Adequate")</x:f>
        <x:v>Adequate</x:v>
      </x:c>
      <x:c r="I14" s="47" t="str">
        <x:f>IF(I12&lt;I13,"Below Threshold","Adequate")</x:f>
        <x:v>Adequate</x:v>
      </x:c>
      <x:c r="J14" s="47" t="str">
        <x:f>IF(J12&lt;J13,"Below Threshold","Adequate")</x:f>
        <x:v>Adequate</x:v>
      </x:c>
      <x:c r="K14" s="47" t="str">
        <x:f>IF(K12&lt;K13,"Below Threshold","Adequate")</x:f>
        <x:v>Adequate</x:v>
      </x:c>
      <x:c r="L14" s="47" t="str">
        <x:f>IF(L12&lt;L13,"Below Threshold","Adequate")</x:f>
        <x:v>Adequate</x:v>
      </x:c>
      <x:c r="M14" s="47" t="str">
        <x:f>IF(M12&lt;M13,"Below Threshold","Adequate")</x:f>
        <x:v>Adequate</x:v>
      </x:c>
      <x:c r="N14" s="47" t="str">
        <x:f>M14</x:f>
        <x:v>Adequate</x:v>
      </x:c>
      <x:c r="O14" s="47" t="str">
        <x:v>Flag if below threshold</x:v>
      </x:c>
    </x:row>
  </x:sheetData>
  <x:mergeCells>
    <x:mergeCell ref="A1:O1"/>
  </x:mergeCells>
  <x:conditionalFormatting sqref="B14:N14">
    <x:cfRule type="expression" dxfId="2" priority="1">
      <x:formula>B14="Below Threshold"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74" t="str">
        <x:v>Sensitivity Analysis | FY 2026 Operating Profit</x:v>
      </x:c>
      <x:c r="B1" s="74"/>
      <x:c r="C1" s="74"/>
      <x:c r="D1" s="74"/>
      <x:c r="E1" s="74"/>
      <x:c r="F1" s="74"/>
      <x:c r="G1" s="74"/>
      <x:c r="H1" s="74"/>
    </x:row>
    <x:row r="3">
      <x:c r="A3" s="78" t="str">
        <x:v>Revenue Growth \ COGS %</x:v>
      </x:c>
      <x:c r="B3" s="78" t="str">
        <x:v>39%</x:v>
      </x:c>
      <x:c r="C3" s="78" t="str">
        <x:v>40%</x:v>
      </x:c>
      <x:c r="D3" s="78" t="str">
        <x:v>41%</x:v>
      </x:c>
      <x:c r="E3" s="78" t="str">
        <x:v>42%</x:v>
      </x:c>
      <x:c r="F3" s="78" t="str">
        <x:v>43%</x:v>
      </x:c>
      <x:c r="G3" s="78" t="str">
        <x:v>44%</x:v>
      </x:c>
      <x:c r="H3" s="78" t="str">
        <x:v>45%</x:v>
      </x:c>
    </x:row>
    <x:row r="4">
      <x:c r="A4" s="30" t="n">
        <x:v>0</x:v>
      </x:c>
      <x:c r="B4" s="28" t="n">
        <x:f>('Monthly P&amp;L'!$N$4*(1+$A4))*(1-0.39)-('Monthly P&amp;L'!$N$8*(1+Assumptions!$C$6)+'Monthly P&amp;L'!$N$9*(1+Assumptions!$C$7)+'Monthly P&amp;L'!$N$10*(1+Assumptions!$C$8)+'Monthly P&amp;L'!$N$11*(1+Assumptions!$C$9)+'Monthly P&amp;L'!$N$12*(1+Assumptions!$C$10))</x:f>
        <x:v>739017.6136000017</x:v>
      </x:c>
      <x:c r="C4" s="28" t="n">
        <x:f>('Monthly P&amp;L'!$N$4*(1+$A4))*(1-0.4)-('Monthly P&amp;L'!$N$8*(1+Assumptions!$C$6)+'Monthly P&amp;L'!$N$9*(1+Assumptions!$C$7)+'Monthly P&amp;L'!$N$10*(1+Assumptions!$C$8)+'Monthly P&amp;L'!$N$11*(1+Assumptions!$C$9)+'Monthly P&amp;L'!$N$12*(1+Assumptions!$C$10))</x:f>
        <x:v>626402.3043000018</x:v>
      </x:c>
      <x:c r="D4" s="28" t="n">
        <x:f>('Monthly P&amp;L'!$N$4*(1+$A4))*(1-0.41)-('Monthly P&amp;L'!$N$8*(1+Assumptions!$C$6)+'Monthly P&amp;L'!$N$9*(1+Assumptions!$C$7)+'Monthly P&amp;L'!$N$10*(1+Assumptions!$C$8)+'Monthly P&amp;L'!$N$11*(1+Assumptions!$C$9)+'Monthly P&amp;L'!$N$12*(1+Assumptions!$C$10))</x:f>
        <x:v>513786.9950000029</x:v>
      </x:c>
      <x:c r="E4" s="28" t="n">
        <x:f>('Monthly P&amp;L'!$N$4*(1+$A4))*(1-0.42)-('Monthly P&amp;L'!$N$8*(1+Assumptions!$C$6)+'Monthly P&amp;L'!$N$9*(1+Assumptions!$C$7)+'Monthly P&amp;L'!$N$10*(1+Assumptions!$C$8)+'Monthly P&amp;L'!$N$11*(1+Assumptions!$C$9)+'Monthly P&amp;L'!$N$12*(1+Assumptions!$C$10))</x:f>
        <x:v>401171.6857000021</x:v>
      </x:c>
      <x:c r="F4" s="28" t="n">
        <x:f>('Monthly P&amp;L'!$N$4*(1+$A4))*(1-0.43)-('Monthly P&amp;L'!$N$8*(1+Assumptions!$C$6)+'Monthly P&amp;L'!$N$9*(1+Assumptions!$C$7)+'Monthly P&amp;L'!$N$10*(1+Assumptions!$C$8)+'Monthly P&amp;L'!$N$11*(1+Assumptions!$C$9)+'Monthly P&amp;L'!$N$12*(1+Assumptions!$C$10))</x:f>
        <x:v>288556.3764000023</x:v>
      </x:c>
      <x:c r="G4" s="28" t="n">
        <x:f>('Monthly P&amp;L'!$N$4*(1+$A4))*(1-0.44)-('Monthly P&amp;L'!$N$8*(1+Assumptions!$C$6)+'Monthly P&amp;L'!$N$9*(1+Assumptions!$C$7)+'Monthly P&amp;L'!$N$10*(1+Assumptions!$C$8)+'Monthly P&amp;L'!$N$11*(1+Assumptions!$C$9)+'Monthly P&amp;L'!$N$12*(1+Assumptions!$C$10))</x:f>
        <x:v>175941.06710000243</x:v>
      </x:c>
      <x:c r="H4" s="28" t="n">
        <x:f>('Monthly P&amp;L'!$N$4*(1+$A4))*(1-0.45)-('Monthly P&amp;L'!$N$8*(1+Assumptions!$C$6)+'Monthly P&amp;L'!$N$9*(1+Assumptions!$C$7)+'Monthly P&amp;L'!$N$10*(1+Assumptions!$C$8)+'Monthly P&amp;L'!$N$11*(1+Assumptions!$C$9)+'Monthly P&amp;L'!$N$12*(1+Assumptions!$C$10))</x:f>
        <x:v>63325.75780000165</x:v>
      </x:c>
    </x:row>
    <x:row r="5">
      <x:c r="A5" s="30" t="n">
        <x:v>0.02</x:v>
      </x:c>
      <x:c r="B5" s="28" t="n">
        <x:f>('Monthly P&amp;L'!$N$4*(1+$A5))*(1-0.39)-('Monthly P&amp;L'!$N$8*(1+Assumptions!$C$6)+'Monthly P&amp;L'!$N$9*(1+Assumptions!$C$7)+'Monthly P&amp;L'!$N$10*(1+Assumptions!$C$8)+'Monthly P&amp;L'!$N$11*(1+Assumptions!$C$9)+'Monthly P&amp;L'!$N$12*(1+Assumptions!$C$10))</x:f>
        <x:v>876408.2909460012</x:v>
      </x:c>
      <x:c r="C5" s="28" t="n">
        <x:f>('Monthly P&amp;L'!$N$4*(1+$A5))*(1-0.4)-('Monthly P&amp;L'!$N$8*(1+Assumptions!$C$6)+'Monthly P&amp;L'!$N$9*(1+Assumptions!$C$7)+'Monthly P&amp;L'!$N$10*(1+Assumptions!$C$8)+'Monthly P&amp;L'!$N$11*(1+Assumptions!$C$9)+'Monthly P&amp;L'!$N$12*(1+Assumptions!$C$10))</x:f>
        <x:v>761540.6754600015</x:v>
      </x:c>
      <x:c r="D5" s="28" t="n">
        <x:f>('Monthly P&amp;L'!$N$4*(1+$A5))*(1-0.41)-('Monthly P&amp;L'!$N$8*(1+Assumptions!$C$6)+'Monthly P&amp;L'!$N$9*(1+Assumptions!$C$7)+'Monthly P&amp;L'!$N$10*(1+Assumptions!$C$8)+'Monthly P&amp;L'!$N$11*(1+Assumptions!$C$9)+'Monthly P&amp;L'!$N$12*(1+Assumptions!$C$10))</x:f>
        <x:v>646673.0599740027</x:v>
      </x:c>
      <x:c r="E5" s="28" t="n">
        <x:f>('Monthly P&amp;L'!$N$4*(1+$A5))*(1-0.42)-('Monthly P&amp;L'!$N$8*(1+Assumptions!$C$6)+'Monthly P&amp;L'!$N$9*(1+Assumptions!$C$7)+'Monthly P&amp;L'!$N$10*(1+Assumptions!$C$8)+'Monthly P&amp;L'!$N$11*(1+Assumptions!$C$9)+'Monthly P&amp;L'!$N$12*(1+Assumptions!$C$10))</x:f>
        <x:v>531805.444488002</x:v>
      </x:c>
      <x:c r="F5" s="28" t="n">
        <x:f>('Monthly P&amp;L'!$N$4*(1+$A5))*(1-0.43)-('Monthly P&amp;L'!$N$8*(1+Assumptions!$C$6)+'Monthly P&amp;L'!$N$9*(1+Assumptions!$C$7)+'Monthly P&amp;L'!$N$10*(1+Assumptions!$C$8)+'Monthly P&amp;L'!$N$11*(1+Assumptions!$C$9)+'Monthly P&amp;L'!$N$12*(1+Assumptions!$C$10))</x:f>
        <x:v>416937.82900200225</x:v>
      </x:c>
      <x:c r="G5" s="28" t="n">
        <x:f>('Monthly P&amp;L'!$N$4*(1+$A5))*(1-0.44)-('Monthly P&amp;L'!$N$8*(1+Assumptions!$C$6)+'Monthly P&amp;L'!$N$9*(1+Assumptions!$C$7)+'Monthly P&amp;L'!$N$10*(1+Assumptions!$C$8)+'Monthly P&amp;L'!$N$11*(1+Assumptions!$C$9)+'Monthly P&amp;L'!$N$12*(1+Assumptions!$C$10))</x:f>
        <x:v>302070.2135160016</x:v>
      </x:c>
      <x:c r="H5" s="28" t="n">
        <x:f>('Monthly P&amp;L'!$N$4*(1+$A5))*(1-0.45)-('Monthly P&amp;L'!$N$8*(1+Assumptions!$C$6)+'Monthly P&amp;L'!$N$9*(1+Assumptions!$C$7)+'Monthly P&amp;L'!$N$10*(1+Assumptions!$C$8)+'Monthly P&amp;L'!$N$11*(1+Assumptions!$C$9)+'Monthly P&amp;L'!$N$12*(1+Assumptions!$C$10))</x:f>
        <x:v>187202.59803000186</x:v>
      </x:c>
    </x:row>
    <x:row r="6">
      <x:c r="A6" s="30" t="n">
        <x:v>0.04</x:v>
      </x:c>
      <x:c r="B6" s="28" t="n">
        <x:f>('Monthly P&amp;L'!$N$4*(1+$A6))*(1-0.39)-('Monthly P&amp;L'!$N$8*(1+Assumptions!$C$6)+'Monthly P&amp;L'!$N$9*(1+Assumptions!$C$7)+'Monthly P&amp;L'!$N$10*(1+Assumptions!$C$8)+'Monthly P&amp;L'!$N$11*(1+Assumptions!$C$9)+'Monthly P&amp;L'!$N$12*(1+Assumptions!$C$10))</x:f>
        <x:v>1013798.9682920026</x:v>
      </x:c>
      <x:c r="C6" s="28" t="n">
        <x:f>('Monthly P&amp;L'!$N$4*(1+$A6))*(1-0.4)-('Monthly P&amp;L'!$N$8*(1+Assumptions!$C$6)+'Monthly P&amp;L'!$N$9*(1+Assumptions!$C$7)+'Monthly P&amp;L'!$N$10*(1+Assumptions!$C$8)+'Monthly P&amp;L'!$N$11*(1+Assumptions!$C$9)+'Monthly P&amp;L'!$N$12*(1+Assumptions!$C$10))</x:f>
        <x:v>896679.046620002</x:v>
      </x:c>
      <x:c r="D6" s="28" t="n">
        <x:f>('Monthly P&amp;L'!$N$4*(1+$A6))*(1-0.41)-('Monthly P&amp;L'!$N$8*(1+Assumptions!$C$6)+'Monthly P&amp;L'!$N$9*(1+Assumptions!$C$7)+'Monthly P&amp;L'!$N$10*(1+Assumptions!$C$8)+'Monthly P&amp;L'!$N$11*(1+Assumptions!$C$9)+'Monthly P&amp;L'!$N$12*(1+Assumptions!$C$10))</x:f>
        <x:v>779559.1249480033</x:v>
      </x:c>
      <x:c r="E6" s="28" t="n">
        <x:f>('Monthly P&amp;L'!$N$4*(1+$A6))*(1-0.42)-('Monthly P&amp;L'!$N$8*(1+Assumptions!$C$6)+'Monthly P&amp;L'!$N$9*(1+Assumptions!$C$7)+'Monthly P&amp;L'!$N$10*(1+Assumptions!$C$8)+'Monthly P&amp;L'!$N$11*(1+Assumptions!$C$9)+'Monthly P&amp;L'!$N$12*(1+Assumptions!$C$10))</x:f>
        <x:v>662439.2032760028</x:v>
      </x:c>
      <x:c r="F6" s="28" t="n">
        <x:f>('Monthly P&amp;L'!$N$4*(1+$A6))*(1-0.43)-('Monthly P&amp;L'!$N$8*(1+Assumptions!$C$6)+'Monthly P&amp;L'!$N$9*(1+Assumptions!$C$7)+'Monthly P&amp;L'!$N$10*(1+Assumptions!$C$8)+'Monthly P&amp;L'!$N$11*(1+Assumptions!$C$9)+'Monthly P&amp;L'!$N$12*(1+Assumptions!$C$10))</x:f>
        <x:v>545319.2816040032</x:v>
      </x:c>
      <x:c r="G6" s="28" t="n">
        <x:f>('Monthly P&amp;L'!$N$4*(1+$A6))*(1-0.44)-('Monthly P&amp;L'!$N$8*(1+Assumptions!$C$6)+'Monthly P&amp;L'!$N$9*(1+Assumptions!$C$7)+'Monthly P&amp;L'!$N$10*(1+Assumptions!$C$8)+'Monthly P&amp;L'!$N$11*(1+Assumptions!$C$9)+'Monthly P&amp;L'!$N$12*(1+Assumptions!$C$10))</x:f>
        <x:v>428199.3599320026</x:v>
      </x:c>
      <x:c r="H6" s="28" t="n">
        <x:f>('Monthly P&amp;L'!$N$4*(1+$A6))*(1-0.45)-('Monthly P&amp;L'!$N$8*(1+Assumptions!$C$6)+'Monthly P&amp;L'!$N$9*(1+Assumptions!$C$7)+'Monthly P&amp;L'!$N$10*(1+Assumptions!$C$8)+'Monthly P&amp;L'!$N$11*(1+Assumptions!$C$9)+'Monthly P&amp;L'!$N$12*(1+Assumptions!$C$10))</x:f>
        <x:v>311079.438260003</x:v>
      </x:c>
    </x:row>
    <x:row r="7">
      <x:c r="A7" s="30" t="n">
        <x:v>0.06</x:v>
      </x:c>
      <x:c r="B7" s="28" t="n">
        <x:f>('Monthly P&amp;L'!$N$4*(1+$A7))*(1-0.39)-('Monthly P&amp;L'!$N$8*(1+Assumptions!$C$6)+'Monthly P&amp;L'!$N$9*(1+Assumptions!$C$7)+'Monthly P&amp;L'!$N$10*(1+Assumptions!$C$8)+'Monthly P&amp;L'!$N$11*(1+Assumptions!$C$9)+'Monthly P&amp;L'!$N$12*(1+Assumptions!$C$10))</x:f>
        <x:v>1151189.645638002</x:v>
      </x:c>
      <x:c r="C7" s="28" t="n">
        <x:f>('Monthly P&amp;L'!$N$4*(1+$A7))*(1-0.4)-('Monthly P&amp;L'!$N$8*(1+Assumptions!$C$6)+'Monthly P&amp;L'!$N$9*(1+Assumptions!$C$7)+'Monthly P&amp;L'!$N$10*(1+Assumptions!$C$8)+'Monthly P&amp;L'!$N$11*(1+Assumptions!$C$9)+'Monthly P&amp;L'!$N$12*(1+Assumptions!$C$10))</x:f>
        <x:v>1031817.4177800016</x:v>
      </x:c>
      <x:c r="D7" s="28" t="n">
        <x:f>('Monthly P&amp;L'!$N$4*(1+$A7))*(1-0.41)-('Monthly P&amp;L'!$N$8*(1+Assumptions!$C$6)+'Monthly P&amp;L'!$N$9*(1+Assumptions!$C$7)+'Monthly P&amp;L'!$N$10*(1+Assumptions!$C$8)+'Monthly P&amp;L'!$N$11*(1+Assumptions!$C$9)+'Monthly P&amp;L'!$N$12*(1+Assumptions!$C$10))</x:f>
        <x:v>912445.1899220031</x:v>
      </x:c>
      <x:c r="E7" s="28" t="n">
        <x:f>('Monthly P&amp;L'!$N$4*(1+$A7))*(1-0.42)-('Monthly P&amp;L'!$N$8*(1+Assumptions!$C$6)+'Monthly P&amp;L'!$N$9*(1+Assumptions!$C$7)+'Monthly P&amp;L'!$N$10*(1+Assumptions!$C$8)+'Monthly P&amp;L'!$N$11*(1+Assumptions!$C$9)+'Monthly P&amp;L'!$N$12*(1+Assumptions!$C$10))</x:f>
        <x:v>793072.9620640026</x:v>
      </x:c>
      <x:c r="F7" s="28" t="n">
        <x:f>('Monthly P&amp;L'!$N$4*(1+$A7))*(1-0.43)-('Monthly P&amp;L'!$N$8*(1+Assumptions!$C$6)+'Monthly P&amp;L'!$N$9*(1+Assumptions!$C$7)+'Monthly P&amp;L'!$N$10*(1+Assumptions!$C$8)+'Monthly P&amp;L'!$N$11*(1+Assumptions!$C$9)+'Monthly P&amp;L'!$N$12*(1+Assumptions!$C$10))</x:f>
        <x:v>673700.7342060031</x:v>
      </x:c>
      <x:c r="G7" s="28" t="n">
        <x:f>('Monthly P&amp;L'!$N$4*(1+$A7))*(1-0.44)-('Monthly P&amp;L'!$N$8*(1+Assumptions!$C$6)+'Monthly P&amp;L'!$N$9*(1+Assumptions!$C$7)+'Monthly P&amp;L'!$N$10*(1+Assumptions!$C$8)+'Monthly P&amp;L'!$N$11*(1+Assumptions!$C$9)+'Monthly P&amp;L'!$N$12*(1+Assumptions!$C$10))</x:f>
        <x:v>554328.5063480027</x:v>
      </x:c>
      <x:c r="H7" s="28" t="n">
        <x:f>('Monthly P&amp;L'!$N$4*(1+$A7))*(1-0.45)-('Monthly P&amp;L'!$N$8*(1+Assumptions!$C$6)+'Monthly P&amp;L'!$N$9*(1+Assumptions!$C$7)+'Monthly P&amp;L'!$N$10*(1+Assumptions!$C$8)+'Monthly P&amp;L'!$N$11*(1+Assumptions!$C$9)+'Monthly P&amp;L'!$N$12*(1+Assumptions!$C$10))</x:f>
        <x:v>434956.27849000227</x:v>
      </x:c>
    </x:row>
    <x:row r="8">
      <x:c r="A8" s="30" t="n">
        <x:v>0.08</x:v>
      </x:c>
      <x:c r="B8" s="28" t="n">
        <x:f>('Monthly P&amp;L'!$N$4*(1+$A8))*(1-0.39)-('Monthly P&amp;L'!$N$8*(1+Assumptions!$C$6)+'Monthly P&amp;L'!$N$9*(1+Assumptions!$C$7)+'Monthly P&amp;L'!$N$10*(1+Assumptions!$C$8)+'Monthly P&amp;L'!$N$11*(1+Assumptions!$C$9)+'Monthly P&amp;L'!$N$12*(1+Assumptions!$C$10))</x:f>
        <x:v>1288580.3229840016</x:v>
      </x:c>
      <x:c r="C8" s="28" t="n">
        <x:f>('Monthly P&amp;L'!$N$4*(1+$A8))*(1-0.4)-('Monthly P&amp;L'!$N$8*(1+Assumptions!$C$6)+'Monthly P&amp;L'!$N$9*(1+Assumptions!$C$7)+'Monthly P&amp;L'!$N$10*(1+Assumptions!$C$8)+'Monthly P&amp;L'!$N$11*(1+Assumptions!$C$9)+'Monthly P&amp;L'!$N$12*(1+Assumptions!$C$10))</x:f>
        <x:v>1166955.7889400022</x:v>
      </x:c>
      <x:c r="D8" s="28" t="n">
        <x:f>('Monthly P&amp;L'!$N$4*(1+$A8))*(1-0.41)-('Monthly P&amp;L'!$N$8*(1+Assumptions!$C$6)+'Monthly P&amp;L'!$N$9*(1+Assumptions!$C$7)+'Monthly P&amp;L'!$N$10*(1+Assumptions!$C$8)+'Monthly P&amp;L'!$N$11*(1+Assumptions!$C$9)+'Monthly P&amp;L'!$N$12*(1+Assumptions!$C$10))</x:f>
        <x:v>1045331.2548960028</x:v>
      </x:c>
      <x:c r="E8" s="28" t="n">
        <x:f>('Monthly P&amp;L'!$N$4*(1+$A8))*(1-0.42)-('Monthly P&amp;L'!$N$8*(1+Assumptions!$C$6)+'Monthly P&amp;L'!$N$9*(1+Assumptions!$C$7)+'Monthly P&amp;L'!$N$10*(1+Assumptions!$C$8)+'Monthly P&amp;L'!$N$11*(1+Assumptions!$C$9)+'Monthly P&amp;L'!$N$12*(1+Assumptions!$C$10))</x:f>
        <x:v>923706.7208520025</x:v>
      </x:c>
      <x:c r="F8" s="28" t="n">
        <x:f>('Monthly P&amp;L'!$N$4*(1+$A8))*(1-0.43)-('Monthly P&amp;L'!$N$8*(1+Assumptions!$C$6)+'Monthly P&amp;L'!$N$9*(1+Assumptions!$C$7)+'Monthly P&amp;L'!$N$10*(1+Assumptions!$C$8)+'Monthly P&amp;L'!$N$11*(1+Assumptions!$C$9)+'Monthly P&amp;L'!$N$12*(1+Assumptions!$C$10))</x:f>
        <x:v>802082.1868080031</x:v>
      </x:c>
      <x:c r="G8" s="28" t="n">
        <x:f>('Monthly P&amp;L'!$N$4*(1+$A8))*(1-0.44)-('Monthly P&amp;L'!$N$8*(1+Assumptions!$C$6)+'Monthly P&amp;L'!$N$9*(1+Assumptions!$C$7)+'Monthly P&amp;L'!$N$10*(1+Assumptions!$C$8)+'Monthly P&amp;L'!$N$11*(1+Assumptions!$C$9)+'Monthly P&amp;L'!$N$12*(1+Assumptions!$C$10))</x:f>
        <x:v>680457.6527640028</x:v>
      </x:c>
      <x:c r="H8" s="28" t="n">
        <x:f>('Monthly P&amp;L'!$N$4*(1+$A8))*(1-0.45)-('Monthly P&amp;L'!$N$8*(1+Assumptions!$C$6)+'Monthly P&amp;L'!$N$9*(1+Assumptions!$C$7)+'Monthly P&amp;L'!$N$10*(1+Assumptions!$C$8)+'Monthly P&amp;L'!$N$11*(1+Assumptions!$C$9)+'Monthly P&amp;L'!$N$12*(1+Assumptions!$C$10))</x:f>
        <x:v>558833.1187200025</x:v>
      </x:c>
    </x:row>
    <x:row r="9">
      <x:c r="A9" s="30" t="n">
        <x:v>0.1</x:v>
      </x:c>
      <x:c r="B9" s="28" t="n">
        <x:f>('Monthly P&amp;L'!$N$4*(1+$A9))*(1-0.39)-('Monthly P&amp;L'!$N$8*(1+Assumptions!$C$6)+'Monthly P&amp;L'!$N$9*(1+Assumptions!$C$7)+'Monthly P&amp;L'!$N$10*(1+Assumptions!$C$8)+'Monthly P&amp;L'!$N$11*(1+Assumptions!$C$9)+'Monthly P&amp;L'!$N$12*(1+Assumptions!$C$10))</x:f>
        <x:v>1425971.000330002</x:v>
      </x:c>
      <x:c r="C9" s="28" t="n">
        <x:f>('Monthly P&amp;L'!$N$4*(1+$A9))*(1-0.4)-('Monthly P&amp;L'!$N$8*(1+Assumptions!$C$6)+'Monthly P&amp;L'!$N$9*(1+Assumptions!$C$7)+'Monthly P&amp;L'!$N$10*(1+Assumptions!$C$8)+'Monthly P&amp;L'!$N$11*(1+Assumptions!$C$9)+'Monthly P&amp;L'!$N$12*(1+Assumptions!$C$10))</x:f>
        <x:v>1302094.1601000018</x:v>
      </x:c>
      <x:c r="D9" s="28" t="n">
        <x:f>('Monthly P&amp;L'!$N$4*(1+$A9))*(1-0.41)-('Monthly P&amp;L'!$N$8*(1+Assumptions!$C$6)+'Monthly P&amp;L'!$N$9*(1+Assumptions!$C$7)+'Monthly P&amp;L'!$N$10*(1+Assumptions!$C$8)+'Monthly P&amp;L'!$N$11*(1+Assumptions!$C$9)+'Monthly P&amp;L'!$N$12*(1+Assumptions!$C$10))</x:f>
        <x:v>1178217.3198700026</x:v>
      </x:c>
      <x:c r="E9" s="28" t="n">
        <x:f>('Monthly P&amp;L'!$N$4*(1+$A9))*(1-0.42)-('Monthly P&amp;L'!$N$8*(1+Assumptions!$C$6)+'Monthly P&amp;L'!$N$9*(1+Assumptions!$C$7)+'Monthly P&amp;L'!$N$10*(1+Assumptions!$C$8)+'Monthly P&amp;L'!$N$11*(1+Assumptions!$C$9)+'Monthly P&amp;L'!$N$12*(1+Assumptions!$C$10))</x:f>
        <x:v>1054340.4796400024</x:v>
      </x:c>
      <x:c r="F9" s="28" t="n">
        <x:f>('Monthly P&amp;L'!$N$4*(1+$A9))*(1-0.43)-('Monthly P&amp;L'!$N$8*(1+Assumptions!$C$6)+'Monthly P&amp;L'!$N$9*(1+Assumptions!$C$7)+'Monthly P&amp;L'!$N$10*(1+Assumptions!$C$8)+'Monthly P&amp;L'!$N$11*(1+Assumptions!$C$9)+'Monthly P&amp;L'!$N$12*(1+Assumptions!$C$10))</x:f>
        <x:v>930463.6394100022</x:v>
      </x:c>
      <x:c r="G9" s="28" t="n">
        <x:f>('Monthly P&amp;L'!$N$4*(1+$A9))*(1-0.44)-('Monthly P&amp;L'!$N$8*(1+Assumptions!$C$6)+'Monthly P&amp;L'!$N$9*(1+Assumptions!$C$7)+'Monthly P&amp;L'!$N$10*(1+Assumptions!$C$8)+'Monthly P&amp;L'!$N$11*(1+Assumptions!$C$9)+'Monthly P&amp;L'!$N$12*(1+Assumptions!$C$10))</x:f>
        <x:v>806586.7991800029</x:v>
      </x:c>
      <x:c r="H9" s="28" t="n">
        <x:f>('Monthly P&amp;L'!$N$4*(1+$A9))*(1-0.45)-('Monthly P&amp;L'!$N$8*(1+Assumptions!$C$6)+'Monthly P&amp;L'!$N$9*(1+Assumptions!$C$7)+'Monthly P&amp;L'!$N$10*(1+Assumptions!$C$8)+'Monthly P&amp;L'!$N$11*(1+Assumptions!$C$9)+'Monthly P&amp;L'!$N$12*(1+Assumptions!$C$10))</x:f>
        <x:v>682709.9589500027</x:v>
      </x:c>
    </x:row>
    <x:row r="10">
      <x:c r="A10" s="30" t="n">
        <x:v>0.12</x:v>
      </x:c>
      <x:c r="B10" s="28" t="n">
        <x:f>('Monthly P&amp;L'!$N$4*(1+$A10))*(1-0.39)-('Monthly P&amp;L'!$N$8*(1+Assumptions!$C$6)+'Monthly P&amp;L'!$N$9*(1+Assumptions!$C$7)+'Monthly P&amp;L'!$N$10*(1+Assumptions!$C$8)+'Monthly P&amp;L'!$N$11*(1+Assumptions!$C$9)+'Monthly P&amp;L'!$N$12*(1+Assumptions!$C$10))</x:f>
        <x:v>1563361.6776760025</x:v>
      </x:c>
      <x:c r="C10" s="28" t="n">
        <x:f>('Monthly P&amp;L'!$N$4*(1+$A10))*(1-0.4)-('Monthly P&amp;L'!$N$8*(1+Assumptions!$C$6)+'Monthly P&amp;L'!$N$9*(1+Assumptions!$C$7)+'Monthly P&amp;L'!$N$10*(1+Assumptions!$C$8)+'Monthly P&amp;L'!$N$11*(1+Assumptions!$C$9)+'Monthly P&amp;L'!$N$12*(1+Assumptions!$C$10))</x:f>
        <x:v>1437232.5312600024</x:v>
      </x:c>
      <x:c r="D10" s="28" t="n">
        <x:f>('Monthly P&amp;L'!$N$4*(1+$A10))*(1-0.41)-('Monthly P&amp;L'!$N$8*(1+Assumptions!$C$6)+'Monthly P&amp;L'!$N$9*(1+Assumptions!$C$7)+'Monthly P&amp;L'!$N$10*(1+Assumptions!$C$8)+'Monthly P&amp;L'!$N$11*(1+Assumptions!$C$9)+'Monthly P&amp;L'!$N$12*(1+Assumptions!$C$10))</x:f>
        <x:v>1311103.3848440042</x:v>
      </x:c>
      <x:c r="E10" s="28" t="n">
        <x:f>('Monthly P&amp;L'!$N$4*(1+$A10))*(1-0.42)-('Monthly P&amp;L'!$N$8*(1+Assumptions!$C$6)+'Monthly P&amp;L'!$N$9*(1+Assumptions!$C$7)+'Monthly P&amp;L'!$N$10*(1+Assumptions!$C$8)+'Monthly P&amp;L'!$N$11*(1+Assumptions!$C$9)+'Monthly P&amp;L'!$N$12*(1+Assumptions!$C$10))</x:f>
        <x:v>1184974.2384280032</x:v>
      </x:c>
      <x:c r="F10" s="28" t="n">
        <x:f>('Monthly P&amp;L'!$N$4*(1+$A10))*(1-0.43)-('Monthly P&amp;L'!$N$8*(1+Assumptions!$C$6)+'Monthly P&amp;L'!$N$9*(1+Assumptions!$C$7)+'Monthly P&amp;L'!$N$10*(1+Assumptions!$C$8)+'Monthly P&amp;L'!$N$11*(1+Assumptions!$C$9)+'Monthly P&amp;L'!$N$12*(1+Assumptions!$C$10))</x:f>
        <x:v>1058845.092012003</x:v>
      </x:c>
      <x:c r="G10" s="28" t="n">
        <x:f>('Monthly P&amp;L'!$N$4*(1+$A10))*(1-0.44)-('Monthly P&amp;L'!$N$8*(1+Assumptions!$C$6)+'Monthly P&amp;L'!$N$9*(1+Assumptions!$C$7)+'Monthly P&amp;L'!$N$10*(1+Assumptions!$C$8)+'Monthly P&amp;L'!$N$11*(1+Assumptions!$C$9)+'Monthly P&amp;L'!$N$12*(1+Assumptions!$C$10))</x:f>
        <x:v>932715.945596003</x:v>
      </x:c>
      <x:c r="H10" s="28" t="n">
        <x:f>('Monthly P&amp;L'!$N$4*(1+$A10))*(1-0.45)-('Monthly P&amp;L'!$N$8*(1+Assumptions!$C$6)+'Monthly P&amp;L'!$N$9*(1+Assumptions!$C$7)+'Monthly P&amp;L'!$N$10*(1+Assumptions!$C$8)+'Monthly P&amp;L'!$N$11*(1+Assumptions!$C$9)+'Monthly P&amp;L'!$N$12*(1+Assumptions!$C$10))</x:f>
        <x:v>806586.7991800029</x:v>
      </x:c>
    </x:row>
  </x:sheetData>
  <x:mergeCells>
    <x:mergeCell ref="A1:H1"/>
  </x:mergeCells>
  <x:conditionalFormatting sqref="B4:H10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2" hidden="0" customWidth="1"/>
    <x:col min="7" max="7" width="20" hidden="0" customWidth="1"/>
    <x:col min="8" max="8" width="20" hidden="0" customWidth="1"/>
  </x:cols>
  <x:sheetData>
    <x:row r="1" ht="28" customHeight="1">
      <x:c r="A1" s="74" t="str">
        <x:v>Forecast Assumption Change Log</x:v>
      </x:c>
      <x:c r="B1" s="74"/>
      <x:c r="C1" s="74"/>
      <x:c r="D1" s="74"/>
      <x:c r="E1" s="74"/>
      <x:c r="F1" s="74"/>
      <x:c r="G1" s="74"/>
      <x:c r="H1" s="74"/>
    </x:row>
    <x:row r="3">
      <x:c r="A3" s="79" t="str">
        <x:v>Version</x:v>
      </x:c>
      <x:c r="B3" s="79" t="str">
        <x:v>Date</x:v>
      </x:c>
      <x:c r="C3" s="79" t="str">
        <x:v>Assumption</x:v>
      </x:c>
      <x:c r="D3" s="79" t="str">
        <x:v>Prior Value</x:v>
      </x:c>
      <x:c r="E3" s="79" t="str">
        <x:v>New Value</x:v>
      </x:c>
      <x:c r="F3" s="79" t="str">
        <x:v>Change Rationale</x:v>
      </x:c>
      <x:c r="G3" s="79" t="str">
        <x:v>Owner</x:v>
      </x:c>
      <x:c r="H3" s="79" t="str">
        <x:v>Approval Status</x:v>
      </x:c>
    </x:row>
    <x:row r="4">
      <x:c r="A4" s="47" t="str">
        <x:v>v1.0</x:v>
      </x:c>
      <x:c r="B4" s="47" t="str">
        <x:v>2026-01-05</x:v>
      </x:c>
      <x:c r="C4" s="47" t="str">
        <x:v>Revenue growth</x:v>
      </x:c>
      <x:c r="D4" s="91" t="n">
        <x:v>0.05</x:v>
      </x:c>
      <x:c r="E4" s="91" t="n">
        <x:v>0.06</x:v>
      </x:c>
      <x:c r="F4" s="47" t="str">
        <x:v>Updated commercial outlook after annual planning review</x:v>
      </x:c>
      <x:c r="G4" s="47" t="str">
        <x:v>FP&amp;A</x:v>
      </x:c>
      <x:c r="H4" s="47" t="str">
        <x:v>Approved</x:v>
      </x:c>
    </x:row>
    <x:row r="5">
      <x:c r="A5" s="47" t="str">
        <x:v>v1.0</x:v>
      </x:c>
      <x:c r="B5" s="47" t="str">
        <x:v>2026-01-05</x:v>
      </x:c>
      <x:c r="C5" s="47" t="str">
        <x:v>COGS % of Revenue</x:v>
      </x:c>
      <x:c r="D5" s="91" t="n">
        <x:v>0.43</x:v>
      </x:c>
      <x:c r="E5" s="91" t="n">
        <x:v>0.42</x:v>
      </x:c>
      <x:c r="F5" s="47" t="str">
        <x:v>Improved supplier mix and gross-margin expectation</x:v>
      </x:c>
      <x:c r="G5" s="47" t="str">
        <x:v>FP&amp;A</x:v>
      </x:c>
      <x:c r="H5" s="47" t="str">
        <x:v>Approved</x:v>
      </x:c>
    </x:row>
    <x:row r="6">
      <x:c r="A6" s="47" t="str">
        <x:v>v1.0</x:v>
      </x:c>
      <x:c r="B6" s="47" t="str">
        <x:v>2026-01-05</x:v>
      </x:c>
      <x:c r="C6" s="47" t="str">
        <x:v>Software inflation</x:v>
      </x:c>
      <x:c r="D6" s="91" t="n">
        <x:v>0.06</x:v>
      </x:c>
      <x:c r="E6" s="91" t="n">
        <x:v>0.08</x:v>
      </x:c>
      <x:c r="F6" s="47" t="str">
        <x:v>Renewal pricing and expanded licenses</x:v>
      </x:c>
      <x:c r="G6" s="47" t="str">
        <x:v>FP&amp;A / IT</x:v>
      </x:c>
      <x:c r="H6" s="47" t="str">
        <x:v>Approved</x:v>
      </x:c>
    </x:row>
    <x:row r="7">
      <x:c r="A7" s="47" t="str">
        <x:v>v1.0</x:v>
      </x:c>
      <x:c r="B7" s="47" t="str">
        <x:v>2026-01-05</x:v>
      </x:c>
      <x:c r="C7" s="47" t="str">
        <x:v>Travel inflation</x:v>
      </x:c>
      <x:c r="D7" s="91" t="n">
        <x:v>0.05</x:v>
      </x:c>
      <x:c r="E7" s="91" t="n">
        <x:v>0.06</x:v>
      </x:c>
      <x:c r="F7" s="47" t="str">
        <x:v>Higher customer and field activity</x:v>
      </x:c>
      <x:c r="G7" s="47" t="str">
        <x:v>FP&amp;A / Sales</x:v>
      </x:c>
      <x:c r="H7" s="47" t="str">
        <x:v>Approved</x:v>
      </x:c>
    </x:row>
  </x:sheetData>
  <x:mergeCells>
    <x:mergeCell ref="A1:H1"/>
  </x:mergeCells>
  <x:dataValidations count="1">
    <x:dataValidation type="list" sqref="H4:H100">
      <x:formula1>"Draft,Pending Review,Approved,Rejected"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48" hidden="0" customWidth="1"/>
    <x:col min="4" max="4" width="20" hidden="0" customWidth="1"/>
    <x:col min="5" max="5" width="20" hidden="0" customWidth="1"/>
    <x:col min="6" max="6" width="20" hidden="0" customWidth="1"/>
    <x:col min="7" max="7" width="44" hidden="0" customWidth="1"/>
  </x:cols>
  <x:sheetData>
    <x:row r="1" ht="28" customHeight="1">
      <x:c r="A1" s="74" t="str">
        <x:v>Model Version Control &amp; Governance</x:v>
      </x:c>
      <x:c r="B1" s="74"/>
      <x:c r="C1" s="74"/>
      <x:c r="D1" s="74"/>
      <x:c r="E1" s="74"/>
      <x:c r="F1" s="74"/>
      <x:c r="G1" s="74"/>
    </x:row>
    <x:row r="3">
      <x:c r="A3" s="79" t="str">
        <x:v>Version</x:v>
      </x:c>
      <x:c r="B3" s="79" t="str">
        <x:v>Date</x:v>
      </x:c>
      <x:c r="C3" s="79" t="str">
        <x:v>Change Summary</x:v>
      </x:c>
      <x:c r="D3" s="79" t="str">
        <x:v>Prepared By</x:v>
      </x:c>
      <x:c r="E3" s="79" t="str">
        <x:v>Reviewed By</x:v>
      </x:c>
      <x:c r="F3" s="79" t="str">
        <x:v>Status</x:v>
      </x:c>
      <x:c r="G3" s="79" t="str">
        <x:v>Notes</x:v>
      </x:c>
    </x:row>
    <x:row r="4">
      <x:c r="A4" s="47" t="str">
        <x:v>v1.0</x:v>
      </x:c>
      <x:c r="B4" s="47" t="str">
        <x:v>2026-01-05</x:v>
      </x:c>
      <x:c r="C4" s="47" t="str">
        <x:v>Initial corporate-ready FP&amp;A model</x:v>
      </x:c>
      <x:c r="D4" s="47" t="str">
        <x:v>Jamie Christian</x:v>
      </x:c>
      <x:c r="E4" s="47" t="str">
        <x:v>Portfolio QA</x:v>
      </x:c>
      <x:c r="F4" s="47" t="str">
        <x:v>Final</x:v>
      </x:c>
      <x:c r="G4" s="47" t="str">
        <x:v>Budget, actual, forecast, scenarios, DCF, controls</x:v>
      </x:c>
    </x:row>
    <x:row r="5">
      <x:c r="A5" s="47" t="str">
        <x:v>v1.1</x:v>
      </x:c>
      <x:c r="B5" s="47" t="str">
        <x:v>2026-09-10</x:v>
      </x:c>
      <x:c r="C5" s="47" t="str">
        <x:v>Added KPI scorecard, forecast bridge, headcount plan, cash flow forecast, sensitivity analysis, assumption log and BI deployment pack</x:v>
      </x:c>
      <x:c r="D5" s="47" t="str">
        <x:v>Jamie Christian</x:v>
      </x:c>
      <x:c r="E5" s="47" t="str">
        <x:v>Portfolio QA</x:v>
      </x:c>
      <x:c r="F5" s="47" t="str">
        <x:v>Final</x:v>
      </x:c>
      <x:c r="G5" s="47" t="str">
        <x:v>Expanded to full corporate-style management planning package</x:v>
      </x:c>
    </x:row>
  </x:sheetData>
  <x:mergeCells>
    <x:mergeCell ref="A1:G1"/>
  </x:mergeCells>
  <x:dataValidations count="1">
    <x:dataValidation type="list" sqref="F4:F100">
      <x:formula1>"Draft,In Review,Final,Superseded"</x:formula1>
    </x:dataValidation>
  </x:dataValidations>
  <x:pageMargins left="0.7" right="0.7" top="0.75" bottom="0.75" header="0.3" footer="0.3"/>
</x:worksheet>
</file>