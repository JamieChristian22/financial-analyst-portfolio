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294d29938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1c7815be52e487c"/>
    <x:sheet xmlns:r="http://schemas.openxmlformats.org/officeDocument/2006/relationships" name="KPI Scorecard" sheetId="2" r:id="R69159a9aec124f0b"/>
    <x:sheet xmlns:r="http://schemas.openxmlformats.org/officeDocument/2006/relationships" name="Assumptions" sheetId="3" r:id="R946d7bd7332e4799"/>
    <x:sheet xmlns:r="http://schemas.openxmlformats.org/officeDocument/2006/relationships" name="Raw Orders" sheetId="4" r:id="R968027a7af57499c"/>
    <x:sheet xmlns:r="http://schemas.openxmlformats.org/officeDocument/2006/relationships" name="Monthly Marketplace P&amp;L" sheetId="5" r:id="R7a673675fbd14b79"/>
    <x:sheet xmlns:r="http://schemas.openxmlformats.org/officeDocument/2006/relationships" name="Seller Scorecard" sheetId="6" r:id="R084e41e5fafd4727"/>
    <x:sheet xmlns:r="http://schemas.openxmlformats.org/officeDocument/2006/relationships" name="Category Profitability" sheetId="7" r:id="R50c2929200a84046"/>
    <x:sheet xmlns:r="http://schemas.openxmlformats.org/officeDocument/2006/relationships" name="Unit Economics" sheetId="8" r:id="Rc77e378523eb4da8"/>
    <x:sheet xmlns:r="http://schemas.openxmlformats.org/officeDocument/2006/relationships" name="Refund Leakage" sheetId="9" r:id="R75b2cd2e009f47f1"/>
    <x:sheet xmlns:r="http://schemas.openxmlformats.org/officeDocument/2006/relationships" name="Forecast" sheetId="10" r:id="R1f53a768fae143cc"/>
    <x:sheet xmlns:r="http://schemas.openxmlformats.org/officeDocument/2006/relationships" name="Scenario Planning" sheetId="11" r:id="R744c78022b03407d"/>
    <x:sheet xmlns:r="http://schemas.openxmlformats.org/officeDocument/2006/relationships" name="Marketing Efficiency" sheetId="12" r:id="Rb44758538d0c4fe9"/>
    <x:sheet xmlns:r="http://schemas.openxmlformats.org/officeDocument/2006/relationships" name="Fulfillment Economics" sheetId="13" r:id="Rfb540449dedb4cae"/>
    <x:sheet xmlns:r="http://schemas.openxmlformats.org/officeDocument/2006/relationships" name="Working Capital" sheetId="14" r:id="R6f08b17ea9be4e03"/>
    <x:sheet xmlns:r="http://schemas.openxmlformats.org/officeDocument/2006/relationships" name="Management Commentary" sheetId="15" r:id="R4766f5afc36c4b8d"/>
    <x:sheet xmlns:r="http://schemas.openxmlformats.org/officeDocument/2006/relationships" name="Controls" sheetId="16" r:id="R7decbc637cc3472e"/>
    <x:sheet xmlns:r="http://schemas.openxmlformats.org/officeDocument/2006/relationships" name="Data Dictionary" sheetId="17" r:id="R462f948096804644"/>
    <x:sheet xmlns:r="http://schemas.openxmlformats.org/officeDocument/2006/relationships" name="Version Control" sheetId="18" r:id="R2f3400a95289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$#,##0;[Red]($#,##0);-"/>
    <x:numFmt numFmtId="202" formatCode="mmm-yy"/>
    <x:numFmt numFmtId="203" formatCode="$#,##0.00;[Red]($#,##0.00);-"/>
    <x:numFmt numFmtId="204" formatCode="#,##0;[Red](#,##0);-"/>
    <x:numFmt numFmtId="205" formatCode="0.0x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b/>
      <x:sz val="14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2" fillId="0" borderId="1" xfId="0" applyNumberFormat="1" applyFont="1" applyFill="1" applyBorder="1"/>
    <x:xf numFmtId="200" fontId="2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4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201" fontId="6" fillId="0" borderId="1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center"/>
    </x:xf>
    <x:xf numFmtId="20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f6d1ac3644822" /><Relationship Type="http://schemas.openxmlformats.org/officeDocument/2006/relationships/theme" Target="/xl/theme/theme1.xml" Id="Rbf5047768a05443a" /><Relationship Type="http://schemas.openxmlformats.org/officeDocument/2006/relationships/sharedStrings" Target="/xl/sharedStrings.xml" Id="Rf842fe54708f42aa" /><Relationship Type="http://schemas.openxmlformats.org/officeDocument/2006/relationships/worksheet" Target="/xl/worksheets/sheet1.xml" Id="R81c7815be52e487c" /><Relationship Type="http://schemas.openxmlformats.org/officeDocument/2006/relationships/worksheet" Target="/xl/worksheets/sheet2.xml" Id="R69159a9aec124f0b" /><Relationship Type="http://schemas.openxmlformats.org/officeDocument/2006/relationships/worksheet" Target="/xl/worksheets/sheet3.xml" Id="R946d7bd7332e4799" /><Relationship Type="http://schemas.openxmlformats.org/officeDocument/2006/relationships/worksheet" Target="/xl/worksheets/sheet4.xml" Id="R968027a7af57499c" /><Relationship Type="http://schemas.openxmlformats.org/officeDocument/2006/relationships/worksheet" Target="/xl/worksheets/sheet5.xml" Id="R7a673675fbd14b79" /><Relationship Type="http://schemas.openxmlformats.org/officeDocument/2006/relationships/worksheet" Target="/xl/worksheets/sheet6.xml" Id="R084e41e5fafd4727" /><Relationship Type="http://schemas.openxmlformats.org/officeDocument/2006/relationships/worksheet" Target="/xl/worksheets/sheet7.xml" Id="R50c2929200a84046" /><Relationship Type="http://schemas.openxmlformats.org/officeDocument/2006/relationships/worksheet" Target="/xl/worksheets/sheet8.xml" Id="Rc77e378523eb4da8" /><Relationship Type="http://schemas.openxmlformats.org/officeDocument/2006/relationships/worksheet" Target="/xl/worksheets/sheet9.xml" Id="R75b2cd2e009f47f1" /><Relationship Type="http://schemas.openxmlformats.org/officeDocument/2006/relationships/worksheet" Target="/xl/worksheets/sheet10.xml" Id="R1f53a768fae143cc" /><Relationship Type="http://schemas.openxmlformats.org/officeDocument/2006/relationships/worksheet" Target="/xl/worksheets/sheet11.xml" Id="R744c78022b03407d" /><Relationship Type="http://schemas.openxmlformats.org/officeDocument/2006/relationships/worksheet" Target="/xl/worksheets/sheet12.xml" Id="Rb44758538d0c4fe9" /><Relationship Type="http://schemas.openxmlformats.org/officeDocument/2006/relationships/worksheet" Target="/xl/worksheets/sheet13.xml" Id="Rfb540449dedb4cae" /><Relationship Type="http://schemas.openxmlformats.org/officeDocument/2006/relationships/worksheet" Target="/xl/worksheets/sheet14.xml" Id="R6f08b17ea9be4e03" /><Relationship Type="http://schemas.openxmlformats.org/officeDocument/2006/relationships/worksheet" Target="/xl/worksheets/sheet15.xml" Id="R4766f5afc36c4b8d" /><Relationship Type="http://schemas.openxmlformats.org/officeDocument/2006/relationships/worksheet" Target="/xl/worksheets/sheet16.xml" Id="R7decbc637cc3472e" /><Relationship Type="http://schemas.openxmlformats.org/officeDocument/2006/relationships/worksheet" Target="/xl/worksheets/sheet17.xml" Id="R462f948096804644" /><Relationship Type="http://schemas.openxmlformats.org/officeDocument/2006/relationships/worksheet" Target="/xl/worksheets/sheet18.xml" Id="R2f3400a9528946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189e47b2704937" /><Relationship Type="http://schemas.openxmlformats.org/officeDocument/2006/relationships/chart" Target="/xl/drawings/charts/chart2.xml" Id="R1ebdf5d12dec4f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GMV &amp; Contribution Margin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GMV</c:v>
          </c:tx>
          <c:cat>
            <c:strRef>
              <c:f>'Executive Dashboard'!$A$19:$A$24</c:f>
              <c:strCache>
                <c:ptCount val="0"/>
              </c:strCache>
            </c:strRef>
          </c:cat>
          <c:val>
            <c:numRef>
              <c:f>'Executive Dashboard'!$B$19:$B$24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Contribution Margin</c:v>
          </c:tx>
          <c:cat>
            <c:strRef>
              <c:f>'Executive Dashboard'!$A$19:$A$24</c:f>
              <c:strCache>
                <c:ptCount val="0"/>
              </c:strCache>
            </c:strRef>
          </c:cat>
          <c:val>
            <c:numRef>
              <c:f>'Executive Dashboard'!$C$19:$C$24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GMV &amp; Marketplace Revenue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GMV</c:v>
          </c:tx>
          <c:marker>
            <c:symbol val="none"/>
          </c:marker>
          <c:cat>
            <c:strRef>
              <c:f>'Executive Dashboard'!$E$19:$E$30</c:f>
              <c:strCache>
                <c:ptCount val="0"/>
              </c:strCache>
            </c:strRef>
          </c:cat>
          <c:val>
            <c:numRef>
              <c:f>'Executive Dashboard'!$F$19:$F$30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Marketplace Revenue</c:v>
          </c:tx>
          <c:marker>
            <c:symbol val="none"/>
          </c:marker>
          <c:cat>
            <c:strRef>
              <c:f>'Executive Dashboard'!$E$19:$E$30</c:f>
              <c:strCache>
                <c:ptCount val="0"/>
              </c:strCache>
            </c:strRef>
          </c:cat>
          <c:val>
            <c:numRef>
              <c:f>'Executive Dashboard'!$G$19:$G$30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89e47b2704937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bdf5d12dec4f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ketplaceOrders" displayName="MarketplaceOrders" ref="A3:S1968" headerRowCount="1" totalsRowCount="0" totalsRowShown="0">
  <x:tableColumns count="19">
    <x:tableColumn id="1" name="OrderID"/>
    <x:tableColumn id="2" name="OrderDate"/>
    <x:tableColumn id="3" name="SellerID"/>
    <x:tableColumn id="4" name="SellerName"/>
    <x:tableColumn id="5" name="SellerTier"/>
    <x:tableColumn id="6" name="Region"/>
    <x:tableColumn id="7" name="Category"/>
    <x:tableColumn id="8" name="Units"/>
    <x:tableColumn id="9" name="UnitPrice"/>
    <x:tableColumn id="10" name="GMV"/>
    <x:tableColumn id="11" name="TakeRate"/>
    <x:tableColumn id="12" name="MarketplaceRevenue"/>
    <x:tableColumn id="13" name="RefundFlag"/>
    <x:tableColumn id="14" name="RefundAmount"/>
    <x:tableColumn id="15" name="PaymentFee"/>
    <x:tableColumn id="16" name="SupportCost"/>
    <x:tableColumn id="17" name="FulfillmentCost"/>
    <x:tableColumn id="18" name="PromoCost"/>
    <x:tableColumn id="19" name="Contribution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ad5d956ef5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eb57234ccc845d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4" t="str">
        <x:v>Amazon Marketplace Analytics | Executive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57" t="str">
        <x:v>Executive Marketplace Performance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5">
      <x:c r="A5" s="62" t="str">
        <x:v>GMV</x:v>
      </x:c>
      <x:c r="D5" s="62" t="str">
        <x:v>Revenue</x:v>
      </x:c>
      <x:c r="G5" s="62" t="str">
        <x:v>Take Rate</x:v>
      </x:c>
      <x:c r="J5" s="62" t="str">
        <x:v>Contribution Margin</x:v>
      </x:c>
      <x:c r="M5" s="62" t="str">
        <x:v>Operating Profit</x:v>
      </x:c>
    </x:row>
    <x:row r="6">
      <x:c r="A6" s="68" t="n">
        <x:f>'Monthly Marketplace P&amp;L'!N4</x:f>
        <x:v>10220323.799999999</x:v>
      </x:c>
      <x:c r="D6" s="68" t="n">
        <x:f>'Monthly Marketplace P&amp;L'!N5</x:f>
        <x:v>1333702.8399999999</x:v>
      </x:c>
      <x:c r="G6" s="73" t="n">
        <x:f>IFERROR('Monthly Marketplace P&amp;L'!N5/'Monthly Marketplace P&amp;L'!N4,0)</x:f>
        <x:v>0.13049516493792496</x:v>
      </x:c>
      <x:c r="J6" s="68" t="n">
        <x:f>'Monthly Marketplace P&amp;L'!N12</x:f>
        <x:v>895646.2300000001</x:v>
      </x:c>
      <x:c r="M6" s="68" t="n">
        <x:f>'Monthly Marketplace P&amp;L'!N14</x:f>
        <x:v>475646.2299999884</x:v>
      </x:c>
    </x:row>
    <x:row r="9">
      <x:c r="A9" s="57" t="str">
        <x:v>Management Priorities</x:v>
      </x:c>
      <x:c r="B9" s="57"/>
      <x:c r="C9" s="57"/>
      <x:c r="D9" s="57"/>
      <x:c r="E9" s="57"/>
      <x:c r="F9" s="57"/>
    </x:row>
    <x:row r="10">
      <x:c r="A10" s="41" t="str">
        <x:v>1</x:v>
      </x:c>
      <x:c r="B10" s="41" t="str">
        <x:v>Refund leakage</x:v>
      </x:c>
      <x:c r="C10" s="41" t="str">
        <x:v>Focus on Electronics/Apparel returns</x:v>
      </x:c>
      <x:c r="D10" s="41" t="str"/>
      <x:c r="E10" s="41" t="str"/>
      <x:c r="F10" s="41" t="str"/>
    </x:row>
    <x:row r="11">
      <x:c r="A11" s="41" t="str">
        <x:v>2</x:v>
      </x:c>
      <x:c r="B11" s="41" t="str">
        <x:v>Seller growth</x:v>
      </x:c>
      <x:c r="C11" s="41" t="str">
        <x:v>Protect Platinum; graduate strong Gold sellers</x:v>
      </x:c>
      <x:c r="D11" s="41" t="str"/>
      <x:c r="E11" s="41" t="str"/>
      <x:c r="F11" s="41" t="str"/>
    </x:row>
    <x:row r="12">
      <x:c r="A12" s="41" t="str">
        <x:v>3</x:v>
      </x:c>
      <x:c r="B12" s="41" t="str">
        <x:v>Category allocation</x:v>
      </x:c>
      <x:c r="C12" s="41" t="str">
        <x:v>Favor high-CM, low-refund categories</x:v>
      </x:c>
      <x:c r="D12" s="41" t="str"/>
      <x:c r="E12" s="41" t="str"/>
      <x:c r="F12" s="41" t="str"/>
    </x:row>
    <x:row r="13">
      <x:c r="A13" s="41" t="str">
        <x:v>4</x:v>
      </x:c>
      <x:c r="B13" s="41" t="str">
        <x:v>Promo efficiency</x:v>
      </x:c>
      <x:c r="C13" s="41" t="str">
        <x:v>Use CM / promo $ before increasing spend</x:v>
      </x:c>
      <x:c r="D13" s="41" t="str"/>
      <x:c r="E13" s="41" t="str"/>
      <x:c r="F13" s="41" t="str"/>
    </x:row>
    <x:row r="14">
      <x:c r="A14" s="41" t="str">
        <x:v>5</x:v>
      </x:c>
      <x:c r="B14" s="41" t="str">
        <x:v>Forecast governance</x:v>
      </x:c>
      <x:c r="C14" s="41" t="str">
        <x:v>Test take-rate and GMV scenarios before decisions</x:v>
      </x:c>
      <x:c r="D14" s="41" t="str"/>
      <x:c r="E14" s="41" t="str"/>
      <x:c r="F14" s="41" t="str"/>
    </x:row>
    <x:row r="18">
      <x:c r="A18" s="32" t="str">
        <x:v>Category</x:v>
      </x:c>
      <x:c r="B18" s="32" t="str">
        <x:v>GMV</x:v>
      </x:c>
      <x:c r="C18" s="32" t="str">
        <x:v>Contribution Margin</x:v>
      </x:c>
      <x:c r="E18" s="32" t="str">
        <x:v>Month</x:v>
      </x:c>
      <x:c r="F18" s="32" t="str">
        <x:v>GMV</x:v>
      </x:c>
      <x:c r="G18" s="32" t="str">
        <x:v>Marketplace Revenue</x:v>
      </x:c>
    </x:row>
    <x:row r="19">
      <x:c r="A19" t="str">
        <x:v>Electronics</x:v>
      </x:c>
      <x:c r="B19" s="30" t="n">
        <x:v>62436.65</x:v>
      </x:c>
      <x:c r="C19" s="30" t="n">
        <x:v>1189.81</x:v>
      </x:c>
      <x:c r="E19" t="str">
        <x:v>Jan</x:v>
      </x:c>
      <x:c r="F19" s="30" t="n">
        <x:f>'Monthly Marketplace P&amp;L'!B4</x:f>
        <x:v>795710.4000000003</x:v>
      </x:c>
      <x:c r="G19" s="30" t="n">
        <x:f>'Monthly Marketplace P&amp;L'!B5</x:f>
        <x:v>102966.37000000001</x:v>
      </x:c>
    </x:row>
    <x:row r="20">
      <x:c r="A20" t="str">
        <x:v>Home &amp; Kitchen</x:v>
      </x:c>
      <x:c r="B20" s="30" t="n">
        <x:v>35349.95</x:v>
      </x:c>
      <x:c r="C20" s="30" t="n">
        <x:v>450.25</x:v>
      </x:c>
      <x:c r="E20" t="str">
        <x:v>Feb</x:v>
      </x:c>
      <x:c r="F20" s="30" t="n">
        <x:f>'Monthly Marketplace P&amp;L'!C4</x:f>
        <x:v>742040.3999999999</x:v>
      </x:c>
      <x:c r="G20" s="30" t="n">
        <x:f>'Monthly Marketplace P&amp;L'!C5</x:f>
        <x:v>95638.80000000002</x:v>
      </x:c>
    </x:row>
    <x:row r="21">
      <x:c r="A21" t="str">
        <x:v>Sports</x:v>
      </x:c>
      <x:c r="B21" s="30" t="n">
        <x:v>25322.16</x:v>
      </x:c>
      <x:c r="C21" s="30" t="n">
        <x:v>125.61</x:v>
      </x:c>
      <x:c r="E21" t="str">
        <x:v>Mar</x:v>
      </x:c>
      <x:c r="F21" s="30" t="n">
        <x:f>'Monthly Marketplace P&amp;L'!D4</x:f>
        <x:v>820100.9999999999</x:v>
      </x:c>
      <x:c r="G21" s="30" t="n">
        <x:f>'Monthly Marketplace P&amp;L'!D5</x:f>
        <x:v>106397.36999999997</x:v>
      </x:c>
    </x:row>
    <x:row r="22">
      <x:c r="A22" t="str">
        <x:v>Beauty</x:v>
      </x:c>
      <x:c r="B22" s="30" t="n">
        <x:v>8648.45</x:v>
      </x:c>
      <x:c r="C22" s="30" t="n">
        <x:v>-142.07</x:v>
      </x:c>
      <x:c r="E22" t="str">
        <x:v>Apr</x:v>
      </x:c>
      <x:c r="F22" s="30" t="n">
        <x:f>'Monthly Marketplace P&amp;L'!E4</x:f>
        <x:v>752749.1999999998</x:v>
      </x:c>
      <x:c r="G22" s="30" t="n">
        <x:f>'Monthly Marketplace P&amp;L'!E5</x:f>
        <x:v>97031.73000000001</x:v>
      </x:c>
    </x:row>
    <x:row r="23">
      <x:c r="A23" t="str">
        <x:v>Pet Supplies</x:v>
      </x:c>
      <x:c r="B23" s="30" t="n">
        <x:v>23973.88</x:v>
      </x:c>
      <x:c r="C23" s="30" t="n">
        <x:v>-402.36</x:v>
      </x:c>
      <x:c r="E23" t="str">
        <x:v>May</x:v>
      </x:c>
      <x:c r="F23" s="30" t="n">
        <x:f>'Monthly Marketplace P&amp;L'!F4</x:f>
        <x:v>737146.7999999996</x:v>
      </x:c>
      <x:c r="G23" s="30" t="n">
        <x:f>'Monthly Marketplace P&amp;L'!F5</x:f>
        <x:v>95479.19999999997</x:v>
      </x:c>
    </x:row>
    <x:row r="24">
      <x:c r="A24" t="str">
        <x:v>Apparel</x:v>
      </x:c>
      <x:c r="B24" s="30" t="n">
        <x:v>14607.64</x:v>
      </x:c>
      <x:c r="C24" s="30" t="n">
        <x:v>-205.96</x:v>
      </x:c>
      <x:c r="E24" t="str">
        <x:v>Jun</x:v>
      </x:c>
      <x:c r="F24" s="30" t="n">
        <x:f>'Monthly Marketplace P&amp;L'!G4</x:f>
        <x:v>642228.0000000001</x:v>
      </x:c>
      <x:c r="G24" s="30" t="n">
        <x:f>'Monthly Marketplace P&amp;L'!G5</x:f>
        <x:v>83127.28000000003</x:v>
      </x:c>
    </x:row>
    <x:row r="25">
      <x:c r="E25" t="str">
        <x:v>Jul</x:v>
      </x:c>
      <x:c r="F25" s="30" t="n">
        <x:f>'Monthly Marketplace P&amp;L'!H4</x:f>
        <x:v>745078.2000000003</x:v>
      </x:c>
      <x:c r="G25" s="30" t="n">
        <x:f>'Monthly Marketplace P&amp;L'!H5</x:f>
        <x:v>96099.73999999995</x:v>
      </x:c>
    </x:row>
    <x:row r="26">
      <x:c r="E26" t="str">
        <x:v>Aug</x:v>
      </x:c>
      <x:c r="F26" s="30" t="n">
        <x:f>'Monthly Marketplace P&amp;L'!I4</x:f>
        <x:v>807136.2000000002</x:v>
      </x:c>
      <x:c r="G26" s="30" t="n">
        <x:f>'Monthly Marketplace P&amp;L'!I5</x:f>
        <x:v>104439.79</x:v>
      </x:c>
    </x:row>
    <x:row r="27">
      <x:c r="E27" t="str">
        <x:v>Sep</x:v>
      </x:c>
      <x:c r="F27" s="30" t="n">
        <x:f>'Monthly Marketplace P&amp;L'!J4</x:f>
        <x:v>795304.7999999999</x:v>
      </x:c>
      <x:c r="G27" s="30" t="n">
        <x:f>'Monthly Marketplace P&amp;L'!J5</x:f>
        <x:v>101830.31999999988</x:v>
      </x:c>
    </x:row>
    <x:row r="28">
      <x:c r="E28" t="str">
        <x:v>Oct</x:v>
      </x:c>
      <x:c r="F28" s="30" t="n">
        <x:f>'Monthly Marketplace P&amp;L'!K4</x:f>
        <x:v>1231233</x:v>
      </x:c>
      <x:c r="G28" s="30" t="n">
        <x:f>'Monthly Marketplace P&amp;L'!K5</x:f>
        <x:v>159499.91000000006</x:v>
      </x:c>
    </x:row>
    <x:row r="29">
      <x:c r="E29" t="str">
        <x:v>Nov</x:v>
      </x:c>
      <x:c r="F29" s="30" t="n">
        <x:f>'Monthly Marketplace P&amp;L'!L4</x:f>
        <x:v>1229479.2000000002</x:v>
      </x:c>
      <x:c r="G29" s="30" t="n">
        <x:f>'Monthly Marketplace P&amp;L'!L5</x:f>
        <x:v>166141.41999999998</x:v>
      </x:c>
    </x:row>
    <x:row r="30">
      <x:c r="E30" t="str">
        <x:v>Dec</x:v>
      </x:c>
      <x:c r="F30" s="30" t="n">
        <x:f>'Monthly Marketplace P&amp;L'!M4</x:f>
        <x:v>922116.6</x:v>
      </x:c>
      <x:c r="G30" s="30" t="n">
        <x:f>'Monthly Marketplace P&amp;L'!M5</x:f>
        <x:v>125050.90999999993</x:v>
      </x:c>
    </x:row>
    <x:row r="36">
      <x:c r="A36" s="57" t="str">
        <x:v>Decision Framework</x:v>
      </x:c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</x:row>
    <x:row r="38">
      <x:c r="A38" s="76" t="str">
        <x:v>Area</x:v>
      </x:c>
      <x:c r="B38" s="76" t="str">
        <x:v>KPI</x:v>
      </x:c>
      <x:c r="C38" s="76" t="str">
        <x:v>Trigger</x:v>
      </x:c>
      <x:c r="D38" s="76" t="str">
        <x:v>Question</x:v>
      </x:c>
      <x:c r="E38" s="76" t="str">
        <x:v>Action</x:v>
      </x:c>
    </x:row>
    <x:row r="39">
      <x:c r="A39" s="41" t="str">
        <x:v>Seller</x:v>
      </x:c>
      <x:c r="B39" s="41" t="str">
        <x:v>Seller CM % / Refund Rate</x:v>
      </x:c>
      <x:c r="C39" s="41" t="str">
        <x:v>Low CM or high returns</x:v>
      </x:c>
      <x:c r="D39" s="41" t="str">
        <x:v>Is performance structural or fixable?</x:v>
      </x:c>
      <x:c r="E39" s="41" t="str">
        <x:v>Enable, reprice, or intervene</x:v>
      </x:c>
    </x:row>
    <x:row r="40">
      <x:c r="A40" s="41" t="str">
        <x:v>Category</x:v>
      </x:c>
      <x:c r="B40" s="41" t="str">
        <x:v>Opportunity Score</x:v>
      </x:c>
      <x:c r="C40" s="41" t="str">
        <x:v>Weak economics</x:v>
      </x:c>
      <x:c r="D40" s="41" t="str">
        <x:v>Is growth dilutive?</x:v>
      </x:c>
      <x:c r="E40" s="41" t="str">
        <x:v>Shift spend / assortment</x:v>
      </x:c>
    </x:row>
    <x:row r="41">
      <x:c r="A41" s="41" t="str">
        <x:v>Monetization</x:v>
      </x:c>
      <x:c r="B41" s="41" t="str">
        <x:v>Take Rate</x:v>
      </x:c>
      <x:c r="C41" s="41" t="str">
        <x:v>Below plan</x:v>
      </x:c>
      <x:c r="D41" s="41" t="str">
        <x:v>Is pricing competitive and sustainable?</x:v>
      </x:c>
      <x:c r="E41" s="41" t="str">
        <x:v>Test fee changes</x:v>
      </x:c>
    </x:row>
    <x:row r="42">
      <x:c r="A42" s="41" t="str">
        <x:v>Refunds</x:v>
      </x:c>
      <x:c r="B42" s="41" t="str">
        <x:v>Refund Rate</x:v>
      </x:c>
      <x:c r="C42" s="41" t="str">
        <x:v>&gt;6%</x:v>
      </x:c>
      <x:c r="D42" s="41" t="str">
        <x:v>Which SKUs/sellers drive leakage?</x:v>
      </x:c>
      <x:c r="E42" s="41" t="str">
        <x:v>Root-cause returns</x:v>
      </x:c>
    </x:row>
    <x:row r="43">
      <x:c r="A43" s="41" t="str">
        <x:v>Profitability</x:v>
      </x:c>
      <x:c r="B43" s="41" t="str">
        <x:v>Operating Profit</x:v>
      </x:c>
      <x:c r="C43" s="41" t="str">
        <x:v>Below plan</x:v>
      </x:c>
      <x:c r="D43" s="41" t="str">
        <x:v>Is growth creating value?</x:v>
      </x:c>
      <x:c r="E43" s="41" t="str">
        <x:v>Rebalance costs and growth</x:v>
      </x:c>
    </x:row>
  </x:sheetData>
  <x:mergeCells>
    <x:mergeCell ref="A1:N1"/>
    <x:mergeCell ref="A3:N3"/>
    <x:mergeCell ref="A9:F9"/>
    <x:mergeCell ref="A36:N36"/>
  </x:mergeCells>
  <x:pageMargins left="0.7" right="0.7" top="0.75" bottom="0.75" header="0.3" footer="0.3"/>
  <x:drawing xmlns:r="http://schemas.openxmlformats.org/officeDocument/2006/relationships" r:id="Rf9ad5d956ef54332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8" customHeight="1">
      <x:c r="A1" s="4" t="str">
        <x:v>Marketplace Executive KPI Scorecard</x:v>
      </x:c>
      <x:c r="B1" s="4"/>
      <x:c r="C1" s="4"/>
      <x:c r="D1" s="4"/>
      <x:c r="E1" s="4"/>
      <x:c r="F1" s="4"/>
      <x:c r="G1" s="4"/>
      <x:c r="H1" s="4"/>
    </x:row>
    <x:row r="3">
      <x:c r="A3" s="40" t="str">
        <x:v>KPI</x:v>
      </x:c>
      <x:c r="B3" s="40" t="str">
        <x:v>Actual</x:v>
      </x:c>
      <x:c r="C3" s="40" t="str">
        <x:v>Target / Benchmark</x:v>
      </x:c>
      <x:c r="D3" s="40" t="str">
        <x:v>Variance</x:v>
      </x:c>
      <x:c r="E3" s="40" t="str">
        <x:v>Status</x:v>
      </x:c>
      <x:c r="F3" s="40" t="str">
        <x:v>Owner</x:v>
      </x:c>
      <x:c r="G3" s="40" t="str">
        <x:v>Cadence</x:v>
      </x:c>
      <x:c r="H3" s="40" t="str">
        <x:v>Decision Use</x:v>
      </x:c>
    </x:row>
    <x:row r="4">
      <x:c r="A4" s="41" t="str">
        <x:v>GMV</x:v>
      </x:c>
      <x:c r="B4" s="42" t="n">
        <x:f>'Monthly Marketplace P&amp;L'!N4</x:f>
        <x:v>10220323.799999999</x:v>
      </x:c>
      <x:c r="C4" s="42" t="n">
        <x:v>10500000</x:v>
      </x:c>
      <x:c r="D4" s="42" t="n">
        <x:f>B4-C4</x:f>
        <x:v>-279676.2000000011</x:v>
      </x:c>
      <x:c r="E4" s="41" t="str">
        <x:f>IF(B4&gt;=C4,"On Track",IF(B4&gt;=C4*0.9,"Watch","Action"))</x:f>
        <x:v>Watch</x:v>
      </x:c>
      <x:c r="F4" s="41" t="str">
        <x:v>Marketplace Finance</x:v>
      </x:c>
      <x:c r="G4" s="41" t="str">
        <x:v>Monthly</x:v>
      </x:c>
      <x:c r="H4" s="41" t="str">
        <x:v>Scale and seller volume</x:v>
      </x:c>
    </x:row>
    <x:row r="5">
      <x:c r="A5" s="41" t="str">
        <x:v>Marketplace Revenue</x:v>
      </x:c>
      <x:c r="B5" s="42" t="n">
        <x:f>'Monthly Marketplace P&amp;L'!N5</x:f>
        <x:v>1333702.8399999999</x:v>
      </x:c>
      <x:c r="C5" s="42" t="n">
        <x:v>1350000</x:v>
      </x:c>
      <x:c r="D5" s="42" t="n">
        <x:f>B5-C5</x:f>
        <x:v>-16297.160000000149</x:v>
      </x:c>
      <x:c r="E5" s="41" t="str">
        <x:f>IF(B5&gt;=C5,"On Track",IF(B5&gt;=C5*0.9,"Watch","Action"))</x:f>
        <x:v>Watch</x:v>
      </x:c>
      <x:c r="F5" s="41" t="str">
        <x:v>Marketplace Finance</x:v>
      </x:c>
      <x:c r="G5" s="41" t="str">
        <x:v>Monthly</x:v>
      </x:c>
      <x:c r="H5" s="41" t="str">
        <x:v>Monetization</x:v>
      </x:c>
    </x:row>
    <x:row r="6">
      <x:c r="A6" s="41" t="str">
        <x:v>Average Take Rate</x:v>
      </x:c>
      <x:c r="B6" s="43" t="n">
        <x:f>IFERROR(B5/B4,0)</x:f>
        <x:v>0.13049516493792496</x:v>
      </x:c>
      <x:c r="C6" s="43" t="n">
        <x:v>0.13</x:v>
      </x:c>
      <x:c r="D6" s="43" t="n">
        <x:f>B6-C6</x:f>
        <x:v>0.0004951649379249523</x:v>
      </x:c>
      <x:c r="E6" s="41" t="str">
        <x:f>IF(B6&gt;=C6,"On Track",IF(B6&gt;=C6*0.9,"Watch","Action"))</x:f>
        <x:v>On Track</x:v>
      </x:c>
      <x:c r="F6" s="41" t="str">
        <x:v>Commercial</x:v>
      </x:c>
      <x:c r="G6" s="41" t="str">
        <x:v>Monthly</x:v>
      </x:c>
      <x:c r="H6" s="41" t="str">
        <x:v>Pricing / monetization</x:v>
      </x:c>
    </x:row>
    <x:row r="7">
      <x:c r="A7" s="41" t="str">
        <x:v>Refund Rate</x:v>
      </x:c>
      <x:c r="B7" s="43" t="n">
        <x:f>IFERROR(SUM('Raw Orders'!$N:$N)/SUM('Raw Orders'!$J:$J),0)</x:f>
        <x:v>0.043065895818291004</x:v>
      </x:c>
      <x:c r="C7" s="43" t="n">
        <x:v>0.04</x:v>
      </x:c>
      <x:c r="D7" s="43" t="n">
        <x:f>B7-C7</x:f>
        <x:v>0.0030658958182910034</x:v>
      </x:c>
      <x:c r="E7" s="41" t="str">
        <x:f>IF(B7&lt;=C7,"On Track",IF(B7&lt;=C7*1.15,"Watch","Action"))</x:f>
        <x:v>Watch</x:v>
      </x:c>
      <x:c r="F7" s="41" t="str">
        <x:v>Operations</x:v>
      </x:c>
      <x:c r="G7" s="41" t="str">
        <x:v>Monthly</x:v>
      </x:c>
      <x:c r="H7" s="41" t="str">
        <x:v>Leakage / customer experience</x:v>
      </x:c>
    </x:row>
    <x:row r="8">
      <x:c r="A8" s="41" t="str">
        <x:v>Contribution Margin</x:v>
      </x:c>
      <x:c r="B8" s="42" t="n">
        <x:f>'Monthly Marketplace P&amp;L'!N12</x:f>
        <x:v>895646.2300000001</x:v>
      </x:c>
      <x:c r="C8" s="42" t="n">
        <x:v>900000</x:v>
      </x:c>
      <x:c r="D8" s="42" t="n">
        <x:f>B8-C8</x:f>
        <x:v>-4353.769999999902</x:v>
      </x:c>
      <x:c r="E8" s="41" t="str">
        <x:f>IF(B8&gt;=C8,"On Track",IF(B8&gt;=C8*0.9,"Watch","Action"))</x:f>
        <x:v>Watch</x:v>
      </x:c>
      <x:c r="F8" s="41" t="str">
        <x:v>Finance</x:v>
      </x:c>
      <x:c r="G8" s="41" t="str">
        <x:v>Monthly</x:v>
      </x:c>
      <x:c r="H8" s="41" t="str">
        <x:v>Unit economics</x:v>
      </x:c>
    </x:row>
    <x:row r="9">
      <x:c r="A9" s="41" t="str">
        <x:v>Contribution Margin %</x:v>
      </x:c>
      <x:c r="B9" s="43" t="n">
        <x:f>'Monthly Marketplace P&amp;L'!N15</x:f>
        <x:v>0.6715485662458365</x:v>
      </x:c>
      <x:c r="C9" s="43" t="n">
        <x:v>0.65</x:v>
      </x:c>
      <x:c r="D9" s="43" t="n">
        <x:f>B9-C9</x:f>
        <x:v>0.021548566245836454</x:v>
      </x:c>
      <x:c r="E9" s="41" t="str">
        <x:f>IF(B9&gt;=C9,"On Track",IF(B9&gt;=C9*0.9,"Watch","Action"))</x:f>
        <x:v>On Track</x:v>
      </x:c>
      <x:c r="F9" s="41" t="str">
        <x:v>Finance</x:v>
      </x:c>
      <x:c r="G9" s="41" t="str">
        <x:v>Monthly</x:v>
      </x:c>
      <x:c r="H9" s="41" t="str">
        <x:v>Profit quality</x:v>
      </x:c>
    </x:row>
    <x:row r="10">
      <x:c r="A10" s="41" t="str">
        <x:v>Operating Profit</x:v>
      </x:c>
      <x:c r="B10" s="42" t="n">
        <x:f>'Monthly Marketplace P&amp;L'!N14</x:f>
        <x:v>475646.2299999884</x:v>
      </x:c>
      <x:c r="C10" s="42" t="n">
        <x:v>350000</x:v>
      </x:c>
      <x:c r="D10" s="42" t="n">
        <x:f>B10-C10</x:f>
        <x:v>125646.2299999884</x:v>
      </x:c>
      <x:c r="E10" s="41" t="str">
        <x:f>IF(B10&gt;=C10,"On Track",IF(B10&gt;=C10*0.9,"Watch","Action"))</x:f>
        <x:v>On Track</x:v>
      </x:c>
      <x:c r="F10" s="41" t="str">
        <x:v>Finance</x:v>
      </x:c>
      <x:c r="G10" s="41" t="str">
        <x:v>Monthly</x:v>
      </x:c>
      <x:c r="H10" s="41" t="str">
        <x:v>Overall economics</x:v>
      </x:c>
    </x:row>
    <x:row r="11">
      <x:c r="A11" s="41" t="str">
        <x:v>Active Sellers</x:v>
      </x:c>
      <x:c r="B11" s="44" t="n">
        <x:f>COUNTA(_xlfn.UNIQUE('Raw Orders'!$C$4:$C$2500))</x:f>
        <x:v>80</x:v>
      </x:c>
      <x:c r="C11" s="44" t="n">
        <x:v>70</x:v>
      </x:c>
      <x:c r="D11" s="44" t="n">
        <x:f>B11-C11</x:f>
        <x:v>10</x:v>
      </x:c>
      <x:c r="E11" s="41" t="str">
        <x:f>IF(B11&gt;=C11,"On Track",IF(B11&gt;=C11*0.9,"Watch","Action"))</x:f>
        <x:v>On Track</x:v>
      </x:c>
      <x:c r="F11" s="41" t="str">
        <x:v>Seller Growth</x:v>
      </x:c>
      <x:c r="G11" s="41" t="str">
        <x:v>Monthly</x:v>
      </x:c>
      <x:c r="H11" s="41" t="str">
        <x:v>Marketplace supply</x:v>
      </x:c>
    </x:row>
    <x:row r="12">
      <x:c r="A12" s="41" t="str">
        <x:v>AOV</x:v>
      </x:c>
      <x:c r="B12" s="42" t="n">
        <x:f>IFERROR('Monthly Marketplace P&amp;L'!N4/COUNTA('Raw Orders'!$A$4:$A$2500),0)</x:f>
        <x:v>5201.182595419847</x:v>
      </x:c>
      <x:c r="C12" s="42" t="n">
        <x:v>5000</x:v>
      </x:c>
      <x:c r="D12" s="42" t="n">
        <x:f>B12-C12</x:f>
        <x:v>201.18259541984662</x:v>
      </x:c>
      <x:c r="E12" s="41" t="str">
        <x:f>IF(B12&gt;=C12,"On Track",IF(B12&gt;=C12*0.9,"Watch","Action"))</x:f>
        <x:v>On Track</x:v>
      </x:c>
      <x:c r="F12" s="41" t="str">
        <x:v>Commercial</x:v>
      </x:c>
      <x:c r="G12" s="41" t="str">
        <x:v>Monthly</x:v>
      </x:c>
      <x:c r="H12" s="41" t="str">
        <x:v>Order quality</x:v>
      </x:c>
    </x:row>
  </x:sheetData>
  <x:mergeCells>
    <x:mergeCell ref="A1:H1"/>
  </x:mergeCells>
  <x:conditionalFormatting sqref="E4:E12">
    <x:cfRule type="expression" dxfId="0" priority="1">
      <x:formula>E4="Action"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2" hidden="0" customWidth="1"/>
    <x:col min="7" max="7" width="32" hidden="0" customWidth="1"/>
  </x:cols>
  <x:sheetData>
    <x:row r="1" ht="28" customHeight="1">
      <x:c r="A1" s="4" t="str">
        <x:v>Marketplace Analytics | Assumptions &amp; Planning Drivers</x:v>
      </x:c>
      <x:c r="B1" s="4"/>
      <x:c r="C1" s="4"/>
      <x:c r="D1" s="4"/>
      <x:c r="E1" s="4"/>
      <x:c r="F1" s="4"/>
      <x:c r="G1" s="4"/>
    </x:row>
    <x:row r="3">
      <x:c r="A3" s="11" t="str">
        <x:v>Driver</x:v>
      </x:c>
      <x:c r="B3" s="11" t="str">
        <x:v>Base</x:v>
      </x:c>
      <x:c r="C3" s="11" t="str">
        <x:v>Upside</x:v>
      </x:c>
      <x:c r="D3" s="11" t="str">
        <x:v>Downside</x:v>
      </x:c>
      <x:c r="E3" s="11" t="str">
        <x:v>Unit</x:v>
      </x:c>
      <x:c r="F3" s="11" t="str">
        <x:v>Business Use</x:v>
      </x:c>
      <x:c r="G3" s="11" t="str">
        <x:v>Notes</x:v>
      </x:c>
    </x:row>
    <x:row r="4">
      <x:c r="A4" t="str">
        <x:v>GMV Growth</x:v>
      </x:c>
      <x:c r="B4" s="20" t="n">
        <x:v>0.1</x:v>
      </x:c>
      <x:c r="C4" s="20" t="n">
        <x:v>0.16</x:v>
      </x:c>
      <x:c r="D4" s="20" t="n">
        <x:v>0.04</x:v>
      </x:c>
      <x:c r="E4" t="str">
        <x:v>%</x:v>
      </x:c>
      <x:c r="F4" t="str">
        <x:v>Forecast</x:v>
      </x:c>
      <x:c r="G4" t="str">
        <x:v>Annual marketplace volume growth</x:v>
      </x:c>
    </x:row>
    <x:row r="5">
      <x:c r="A5" t="str">
        <x:v>Take Rate</x:v>
      </x:c>
      <x:c r="B5" s="20" t="n">
        <x:v>0.13</x:v>
      </x:c>
      <x:c r="C5" s="20" t="n">
        <x:v>0.14</x:v>
      </x:c>
      <x:c r="D5" s="20" t="n">
        <x:v>0.12</x:v>
      </x:c>
      <x:c r="E5" t="str">
        <x:v>%</x:v>
      </x:c>
      <x:c r="F5" t="str">
        <x:v>Revenue</x:v>
      </x:c>
      <x:c r="G5" t="str">
        <x:v>Marketplace monetization</x:v>
      </x:c>
    </x:row>
    <x:row r="6">
      <x:c r="A6" t="str">
        <x:v>Refund Rate</x:v>
      </x:c>
      <x:c r="B6" s="20" t="n">
        <x:v>0.04</x:v>
      </x:c>
      <x:c r="C6" s="20" t="n">
        <x:v>0.032</x:v>
      </x:c>
      <x:c r="D6" s="20" t="n">
        <x:v>0.055</x:v>
      </x:c>
      <x:c r="E6" t="str">
        <x:v>%</x:v>
      </x:c>
      <x:c r="F6" t="str">
        <x:v>Leakage</x:v>
      </x:c>
      <x:c r="G6" t="str">
        <x:v>Refund / return risk</x:v>
      </x:c>
    </x:row>
    <x:row r="7">
      <x:c r="A7" t="str">
        <x:v>Payment Fee %</x:v>
      </x:c>
      <x:c r="B7" s="20" t="n">
        <x:v>0.0185</x:v>
      </x:c>
      <x:c r="C7" s="20" t="n">
        <x:v>0.0175</x:v>
      </x:c>
      <x:c r="D7" s="20" t="n">
        <x:v>0.02</x:v>
      </x:c>
      <x:c r="E7" t="str">
        <x:v>%</x:v>
      </x:c>
      <x:c r="F7" t="str">
        <x:v>Variable cost</x:v>
      </x:c>
      <x:c r="G7" t="str">
        <x:v>Payment processing</x:v>
      </x:c>
    </x:row>
    <x:row r="8">
      <x:c r="A8" t="str">
        <x:v>Promo Cost % GMV</x:v>
      </x:c>
      <x:c r="B8" s="20" t="n">
        <x:v>0.0105</x:v>
      </x:c>
      <x:c r="C8" s="20" t="n">
        <x:v>0.0085</x:v>
      </x:c>
      <x:c r="D8" s="20" t="n">
        <x:v>0.014</x:v>
      </x:c>
      <x:c r="E8" t="str">
        <x:v>%</x:v>
      </x:c>
      <x:c r="F8" t="str">
        <x:v>Growth spend</x:v>
      </x:c>
      <x:c r="G8" t="str">
        <x:v>Seller/customer incentives</x:v>
      </x:c>
    </x:row>
    <x:row r="9">
      <x:c r="A9" t="str">
        <x:v>Support Cost % GMV</x:v>
      </x:c>
      <x:c r="B9" s="20" t="n">
        <x:v>0.0045</x:v>
      </x:c>
      <x:c r="C9" s="20" t="n">
        <x:v>0.0038</x:v>
      </x:c>
      <x:c r="D9" s="20" t="n">
        <x:v>0.006</x:v>
      </x:c>
      <x:c r="E9" t="str">
        <x:v>%</x:v>
      </x:c>
      <x:c r="F9" t="str">
        <x:v>Service cost</x:v>
      </x:c>
      <x:c r="G9" t="str">
        <x:v>Support load</x:v>
      </x:c>
    </x:row>
    <x:row r="10">
      <x:c r="A10" t="str">
        <x:v>Fixed Platform Cost</x:v>
      </x:c>
      <x:c r="B10" s="22" t="n">
        <x:v>420000</x:v>
      </x:c>
      <x:c r="C10" s="22" t="n">
        <x:v>390000</x:v>
      </x:c>
      <x:c r="D10" s="22" t="n">
        <x:v>470000</x:v>
      </x:c>
      <x:c r="E10" t="str">
        <x:v>$</x:v>
      </x:c>
      <x:c r="F10" t="str">
        <x:v>P&amp;L</x:v>
      </x:c>
      <x:c r="G10" t="str">
        <x:v>Annual tech/ops fixed cost</x:v>
      </x:c>
    </x:row>
    <x:row r="11">
      <x:c r="A11" t="str">
        <x:v>Marketing Budget</x:v>
      </x:c>
      <x:c r="B11" s="22" t="n">
        <x:v>500000</x:v>
      </x:c>
      <x:c r="C11" s="22" t="n">
        <x:v>600000</x:v>
      </x:c>
      <x:c r="D11" s="22" t="n">
        <x:v>400000</x:v>
      </x:c>
      <x:c r="E11" t="str">
        <x:v>$</x:v>
      </x:c>
      <x:c r="F11" t="str">
        <x:v>Growth</x:v>
      </x:c>
      <x:c r="G11" t="str">
        <x:v>Annual paid acquisition budget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8" customHeight="1">
      <x:c r="A1" s="4" t="str">
        <x:v>Marketplace Order-Level Source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>
      <x:c r="A3" s="11" t="str">
        <x:v>OrderID</x:v>
      </x:c>
      <x:c r="B3" s="11" t="str">
        <x:v>OrderDate</x:v>
      </x:c>
      <x:c r="C3" s="11" t="str">
        <x:v>SellerID</x:v>
      </x:c>
      <x:c r="D3" s="11" t="str">
        <x:v>SellerName</x:v>
      </x:c>
      <x:c r="E3" s="11" t="str">
        <x:v>SellerTier</x:v>
      </x:c>
      <x:c r="F3" s="11" t="str">
        <x:v>Region</x:v>
      </x:c>
      <x:c r="G3" s="11" t="str">
        <x:v>Category</x:v>
      </x:c>
      <x:c r="H3" s="11" t="str">
        <x:v>Units</x:v>
      </x:c>
      <x:c r="I3" s="11" t="str">
        <x:v>UnitPrice</x:v>
      </x:c>
      <x:c r="J3" s="11" t="str">
        <x:v>GMV</x:v>
      </x:c>
      <x:c r="K3" s="11" t="str">
        <x:v>TakeRate</x:v>
      </x:c>
      <x:c r="L3" s="11" t="str">
        <x:v>MarketplaceRevenue</x:v>
      </x:c>
      <x:c r="M3" s="11" t="str">
        <x:v>RefundFlag</x:v>
      </x:c>
      <x:c r="N3" s="11" t="str">
        <x:v>RefundAmount</x:v>
      </x:c>
      <x:c r="O3" s="11" t="str">
        <x:v>PaymentFee</x:v>
      </x:c>
      <x:c r="P3" s="11" t="str">
        <x:v>SupportCost</x:v>
      </x:c>
      <x:c r="Q3" s="11" t="str">
        <x:v>FulfillmentCost</x:v>
      </x:c>
      <x:c r="R3" s="11" t="str">
        <x:v>PromoCost</x:v>
      </x:c>
      <x:c r="S3" s="11" t="str">
        <x:v>ContributionMargin</x:v>
      </x:c>
    </x:row>
    <x:row r="4">
      <x:c r="A4" t="n">
        <x:v>500001</x:v>
      </x:c>
      <x:c r="B4" s="24" t="n">
        <x:v>45659</x:v>
      </x:c>
      <x:c r="C4" t="n">
        <x:v>1072</x:v>
      </x:c>
      <x:c r="D4" t="str">
        <x:v>Seller 1072</x:v>
      </x:c>
      <x:c r="E4" t="str">
        <x:v>Bronze</x:v>
      </x:c>
      <x:c r="F4" t="str">
        <x:v>South</x:v>
      </x:c>
      <x:c r="G4" t="str">
        <x:v>Home &amp; Kitchen</x:v>
      </x:c>
      <x:c r="H4" t="n">
        <x:v>2</x:v>
      </x:c>
      <x:c r="I4" s="26" t="n">
        <x:v>2481.6</x:v>
      </x:c>
      <x:c r="J4" s="26" t="n">
        <x:v>3253.2</x:v>
      </x:c>
      <x:c r="K4" s="28" t="n">
        <x:v>0.1282</x:v>
      </x:c>
      <x:c r="L4" s="26" t="n">
        <x:v>417.06</x:v>
      </x:c>
      <x:c r="M4" t="n">
        <x:v>0</x:v>
      </x:c>
      <x:c r="N4" s="26" t="n">
        <x:v>0</x:v>
      </x:c>
      <x:c r="O4" s="26" t="n">
        <x:v>60.18</x:v>
      </x:c>
      <x:c r="P4" s="26" t="n">
        <x:v>14.64</x:v>
      </x:c>
      <x:c r="Q4" s="26" t="n">
        <x:v>27.65</x:v>
      </x:c>
      <x:c r="R4" s="26" t="n">
        <x:v>34.16</x:v>
      </x:c>
      <x:c r="S4" s="26" t="n">
        <x:v>280.43</x:v>
      </x:c>
    </x:row>
    <x:row r="5">
      <x:c r="A5" t="n">
        <x:v>500002</x:v>
      </x:c>
      <x:c r="B5" s="24" t="n">
        <x:v>45660</x:v>
      </x:c>
      <x:c r="C5" t="n">
        <x:v>1041</x:v>
      </x:c>
      <x:c r="D5" t="str">
        <x:v>Seller 1041</x:v>
      </x:c>
      <x:c r="E5" t="str">
        <x:v>Silver</x:v>
      </x:c>
      <x:c r="F5" t="str">
        <x:v>West</x:v>
      </x:c>
      <x:c r="G5" t="str">
        <x:v>Apparel</x:v>
      </x:c>
      <x:c r="H5" t="n">
        <x:v>1</x:v>
      </x:c>
      <x:c r="I5" s="26" t="n">
        <x:v>3657</x:v>
      </x:c>
      <x:c r="J5" s="26" t="n">
        <x:v>3402.6</x:v>
      </x:c>
      <x:c r="K5" s="28" t="n">
        <x:v>0.1285</x:v>
      </x:c>
      <x:c r="L5" s="26" t="n">
        <x:v>437.23</x:v>
      </x:c>
      <x:c r="M5" t="n">
        <x:v>0</x:v>
      </x:c>
      <x:c r="N5" s="26" t="n">
        <x:v>0</x:v>
      </x:c>
      <x:c r="O5" s="26" t="n">
        <x:v>62.95</x:v>
      </x:c>
      <x:c r="P5" s="26" t="n">
        <x:v>15.31</x:v>
      </x:c>
      <x:c r="Q5" s="26" t="n">
        <x:v>28.92</x:v>
      </x:c>
      <x:c r="R5" s="26" t="n">
        <x:v>35.73</x:v>
      </x:c>
      <x:c r="S5" s="26" t="n">
        <x:v>294.32</x:v>
      </x:c>
    </x:row>
    <x:row r="6">
      <x:c r="A6" t="n">
        <x:v>500003</x:v>
      </x:c>
      <x:c r="B6" s="24" t="n">
        <x:v>45676</x:v>
      </x:c>
      <x:c r="C6" t="n">
        <x:v>1024</x:v>
      </x:c>
      <x:c r="D6" t="str">
        <x:v>Seller 1024</x:v>
      </x:c>
      <x:c r="E6" t="str">
        <x:v>Gold</x:v>
      </x:c>
      <x:c r="F6" t="str">
        <x:v>West</x:v>
      </x:c>
      <x:c r="G6" t="str">
        <x:v>Pet Supplies</x:v>
      </x:c>
      <x:c r="H6" t="n">
        <x:v>4</x:v>
      </x:c>
      <x:c r="I6" s="26" t="n">
        <x:v>985.8</x:v>
      </x:c>
      <x:c r="J6" s="26" t="n">
        <x:v>4794</x:v>
      </x:c>
      <x:c r="K6" s="28" t="n">
        <x:v>0.1297</x:v>
      </x:c>
      <x:c r="L6" s="26" t="n">
        <x:v>621.78</x:v>
      </x:c>
      <x:c r="M6" t="n">
        <x:v>0</x:v>
      </x:c>
      <x:c r="N6" s="26" t="n">
        <x:v>0</x:v>
      </x:c>
      <x:c r="O6" s="26" t="n">
        <x:v>88.69</x:v>
      </x:c>
      <x:c r="P6" s="26" t="n">
        <x:v>21.57</x:v>
      </x:c>
      <x:c r="Q6" s="26" t="n">
        <x:v>40.75</x:v>
      </x:c>
      <x:c r="R6" s="26" t="n">
        <x:v>50.34</x:v>
      </x:c>
      <x:c r="S6" s="26" t="n">
        <x:v>420.43</x:v>
      </x:c>
    </x:row>
    <x:row r="7">
      <x:c r="A7" t="n">
        <x:v>500004</x:v>
      </x:c>
      <x:c r="B7" s="24" t="n">
        <x:v>45679</x:v>
      </x:c>
      <x:c r="C7" t="n">
        <x:v>1077</x:v>
      </x:c>
      <x:c r="D7" t="str">
        <x:v>Seller 1077</x:v>
      </x:c>
      <x:c r="E7" t="str">
        <x:v>Bronze</x:v>
      </x:c>
      <x:c r="F7" t="str">
        <x:v>South</x:v>
      </x:c>
      <x:c r="G7" t="str">
        <x:v>Home &amp; Kitchen</x:v>
      </x:c>
      <x:c r="H7" t="n">
        <x:v>3</x:v>
      </x:c>
      <x:c r="I7" s="26" t="n">
        <x:v>1923.6000000000001</x:v>
      </x:c>
      <x:c r="J7" s="26" t="n">
        <x:v>3783.6</x:v>
      </x:c>
      <x:c r="K7" s="28" t="n">
        <x:v>0.1366</x:v>
      </x:c>
      <x:c r="L7" s="26" t="n">
        <x:v>516.84</x:v>
      </x:c>
      <x:c r="M7" t="n">
        <x:v>0</x:v>
      </x:c>
      <x:c r="N7" s="26" t="n">
        <x:v>0</x:v>
      </x:c>
      <x:c r="O7" s="26" t="n">
        <x:v>70</x:v>
      </x:c>
      <x:c r="P7" s="26" t="n">
        <x:v>17.03</x:v>
      </x:c>
      <x:c r="Q7" s="26" t="n">
        <x:v>32.16</x:v>
      </x:c>
      <x:c r="R7" s="26" t="n">
        <x:v>39.73</x:v>
      </x:c>
      <x:c r="S7" s="26" t="n">
        <x:v>357.93</x:v>
      </x:c>
    </x:row>
    <x:row r="8">
      <x:c r="A8" t="n">
        <x:v>500005</x:v>
      </x:c>
      <x:c r="B8" s="24" t="n">
        <x:v>45660</x:v>
      </x:c>
      <x:c r="C8" t="n">
        <x:v>1041</x:v>
      </x:c>
      <x:c r="D8" t="str">
        <x:v>Seller 1041</x:v>
      </x:c>
      <x:c r="E8" t="str">
        <x:v>Silver</x:v>
      </x:c>
      <x:c r="F8" t="str">
        <x:v>West</x:v>
      </x:c>
      <x:c r="G8" t="str">
        <x:v>Apparel</x:v>
      </x:c>
      <x:c r="H8" t="n">
        <x:v>1</x:v>
      </x:c>
      <x:c r="I8" s="26" t="n">
        <x:v>4119</x:v>
      </x:c>
      <x:c r="J8" s="26" t="n">
        <x:v>3832.8</x:v>
      </x:c>
      <x:c r="K8" s="28" t="n">
        <x:v>0.1152</x:v>
      </x:c>
      <x:c r="L8" s="26" t="n">
        <x:v>441.54</x:v>
      </x:c>
      <x:c r="M8" t="n">
        <x:v>0</x:v>
      </x:c>
      <x:c r="N8" s="26" t="n">
        <x:v>0</x:v>
      </x:c>
      <x:c r="O8" s="26" t="n">
        <x:v>70.91</x:v>
      </x:c>
      <x:c r="P8" s="26" t="n">
        <x:v>17.25</x:v>
      </x:c>
      <x:c r="Q8" s="26" t="n">
        <x:v>32.58</x:v>
      </x:c>
      <x:c r="R8" s="26" t="n">
        <x:v>40.24</x:v>
      </x:c>
      <x:c r="S8" s="26" t="n">
        <x:v>280.56</x:v>
      </x:c>
    </x:row>
    <x:row r="9">
      <x:c r="A9" t="n">
        <x:v>500006</x:v>
      </x:c>
      <x:c r="B9" s="24" t="n">
        <x:v>45687</x:v>
      </x:c>
      <x:c r="C9" t="n">
        <x:v>1002</x:v>
      </x:c>
      <x:c r="D9" t="str">
        <x:v>Seller 1002</x:v>
      </x:c>
      <x:c r="E9" t="str">
        <x:v>Platinum</x:v>
      </x:c>
      <x:c r="F9" t="str">
        <x:v>Central</x:v>
      </x:c>
      <x:c r="G9" t="str">
        <x:v>Home &amp; Kitchen</x:v>
      </x:c>
      <x:c r="H9" t="n">
        <x:v>5</x:v>
      </x:c>
      <x:c r="I9" s="26" t="n">
        <x:v>971.4000000000001</x:v>
      </x:c>
      <x:c r="J9" s="26" t="n">
        <x:v>7959.6</x:v>
      </x:c>
      <x:c r="K9" s="28" t="n">
        <x:v>0.1248</x:v>
      </x:c>
      <x:c r="L9" s="26" t="n">
        <x:v>993.36</x:v>
      </x:c>
      <x:c r="M9" t="n">
        <x:v>0</x:v>
      </x:c>
      <x:c r="N9" s="26" t="n">
        <x:v>0</x:v>
      </x:c>
      <x:c r="O9" s="26" t="n">
        <x:v>147.25</x:v>
      </x:c>
      <x:c r="P9" s="26" t="n">
        <x:v>35.82</x:v>
      </x:c>
      <x:c r="Q9" s="26" t="n">
        <x:v>67.66</x:v>
      </x:c>
      <x:c r="R9" s="26" t="n">
        <x:v>83.58</x:v>
      </x:c>
      <x:c r="S9" s="26" t="n">
        <x:v>659.05</x:v>
      </x:c>
    </x:row>
    <x:row r="10">
      <x:c r="A10" t="n">
        <x:v>500007</x:v>
      </x:c>
      <x:c r="B10" s="24" t="n">
        <x:v>45683</x:v>
      </x:c>
      <x:c r="C10" t="n">
        <x:v>1045</x:v>
      </x:c>
      <x:c r="D10" t="str">
        <x:v>Seller 1045</x:v>
      </x:c>
      <x:c r="E10" t="str">
        <x:v>Silver</x:v>
      </x:c>
      <x:c r="F10" t="str">
        <x:v>Central</x:v>
      </x:c>
      <x:c r="G10" t="str">
        <x:v>Home &amp; Kitchen</x:v>
      </x:c>
      <x:c r="H10" t="n">
        <x:v>2</x:v>
      </x:c>
      <x:c r="I10" s="26" t="n">
        <x:v>2628.6000000000004</x:v>
      </x:c>
      <x:c r="J10" s="26" t="n">
        <x:v>4891.8</x:v>
      </x:c>
      <x:c r="K10" s="28" t="n">
        <x:v>0.143</x:v>
      </x:c>
      <x:c r="L10" s="26" t="n">
        <x:v>699.53</x:v>
      </x:c>
      <x:c r="M10" t="n">
        <x:v>0</x:v>
      </x:c>
      <x:c r="N10" s="26" t="n">
        <x:v>0</x:v>
      </x:c>
      <x:c r="O10" s="26" t="n">
        <x:v>90.5</x:v>
      </x:c>
      <x:c r="P10" s="26" t="n">
        <x:v>22.01</x:v>
      </x:c>
      <x:c r="Q10" s="26" t="n">
        <x:v>41.58</x:v>
      </x:c>
      <x:c r="R10" s="26" t="n">
        <x:v>51.36</x:v>
      </x:c>
      <x:c r="S10" s="26" t="n">
        <x:v>494.07</x:v>
      </x:c>
    </x:row>
    <x:row r="11">
      <x:c r="A11" t="n">
        <x:v>500008</x:v>
      </x:c>
      <x:c r="B11" s="24" t="n">
        <x:v>45661</x:v>
      </x:c>
      <x:c r="C11" t="n">
        <x:v>1068</x:v>
      </x:c>
      <x:c r="D11" t="str">
        <x:v>Seller 1068</x:v>
      </x:c>
      <x:c r="E11" t="str">
        <x:v>Bronze</x:v>
      </x:c>
      <x:c r="F11" t="str">
        <x:v>South</x:v>
      </x:c>
      <x:c r="G11" t="str">
        <x:v>Pet Supplies</x:v>
      </x:c>
      <x:c r="H11" t="n">
        <x:v>2</x:v>
      </x:c>
      <x:c r="I11" s="26" t="n">
        <x:v>1368</x:v>
      </x:c>
      <x:c r="J11" s="26" t="n">
        <x:v>1793.4</x:v>
      </x:c>
      <x:c r="K11" s="28" t="n">
        <x:v>0.1359</x:v>
      </x:c>
      <x:c r="L11" s="26" t="n">
        <x:v>243.72</x:v>
      </x:c>
      <x:c r="M11" t="n">
        <x:v>0</x:v>
      </x:c>
      <x:c r="N11" s="26" t="n">
        <x:v>0</x:v>
      </x:c>
      <x:c r="O11" s="26" t="n">
        <x:v>33.18</x:v>
      </x:c>
      <x:c r="P11" s="26" t="n">
        <x:v>8.07</x:v>
      </x:c>
      <x:c r="Q11" s="26" t="n">
        <x:v>15.24</x:v>
      </x:c>
      <x:c r="R11" s="26" t="n">
        <x:v>18.83</x:v>
      </x:c>
      <x:c r="S11" s="26" t="n">
        <x:v>168.4</x:v>
      </x:c>
    </x:row>
    <x:row r="12">
      <x:c r="A12" t="n">
        <x:v>500009</x:v>
      </x:c>
      <x:c r="B12" s="24" t="n">
        <x:v>45666</x:v>
      </x:c>
      <x:c r="C12" t="n">
        <x:v>1014</x:v>
      </x:c>
      <x:c r="D12" t="str">
        <x:v>Seller 1014</x:v>
      </x:c>
      <x:c r="E12" t="str">
        <x:v>Gold</x:v>
      </x:c>
      <x:c r="F12" t="str">
        <x:v>East</x:v>
      </x:c>
      <x:c r="G12" t="str">
        <x:v>Home &amp; Kitchen</x:v>
      </x:c>
      <x:c r="H12" t="n">
        <x:v>2</x:v>
      </x:c>
      <x:c r="I12" s="26" t="n">
        <x:v>2991</x:v>
      </x:c>
      <x:c r="J12" s="26" t="n">
        <x:v>7274.4</x:v>
      </x:c>
      <x:c r="K12" s="28" t="n">
        <x:v>0.1402</x:v>
      </x:c>
      <x:c r="L12" s="26" t="n">
        <x:v>1019.87</x:v>
      </x:c>
      <x:c r="M12" t="n">
        <x:v>0</x:v>
      </x:c>
      <x:c r="N12" s="26" t="n">
        <x:v>0</x:v>
      </x:c>
      <x:c r="O12" s="26" t="n">
        <x:v>134.58</x:v>
      </x:c>
      <x:c r="P12" s="26" t="n">
        <x:v>32.73</x:v>
      </x:c>
      <x:c r="Q12" s="26" t="n">
        <x:v>61.83</x:v>
      </x:c>
      <x:c r="R12" s="26" t="n">
        <x:v>76.38</x:v>
      </x:c>
      <x:c r="S12" s="26" t="n">
        <x:v>714.35</x:v>
      </x:c>
    </x:row>
    <x:row r="13">
      <x:c r="A13" t="n">
        <x:v>500010</x:v>
      </x:c>
      <x:c r="B13" s="24" t="n">
        <x:v>45658</x:v>
      </x:c>
      <x:c r="C13" t="n">
        <x:v>1065</x:v>
      </x:c>
      <x:c r="D13" t="str">
        <x:v>Seller 1065</x:v>
      </x:c>
      <x:c r="E13" t="str">
        <x:v>Bronze</x:v>
      </x:c>
      <x:c r="F13" t="str">
        <x:v>South</x:v>
      </x:c>
      <x:c r="G13" t="str">
        <x:v>Home &amp; Kitchen</x:v>
      </x:c>
      <x:c r="H13" t="n">
        <x:v>4</x:v>
      </x:c>
      <x:c r="I13" s="26" t="n">
        <x:v>803.4000000000001</x:v>
      </x:c>
      <x:c r="J13" s="26" t="n">
        <x:v>2106.6</x:v>
      </x:c>
      <x:c r="K13" s="28" t="n">
        <x:v>0.1252</x:v>
      </x:c>
      <x:c r="L13" s="26" t="n">
        <x:v>263.75</x:v>
      </x:c>
      <x:c r="M13" t="n">
        <x:v>0</x:v>
      </x:c>
      <x:c r="N13" s="26" t="n">
        <x:v>0</x:v>
      </x:c>
      <x:c r="O13" s="26" t="n">
        <x:v>38.97</x:v>
      </x:c>
      <x:c r="P13" s="26" t="n">
        <x:v>9.48</x:v>
      </x:c>
      <x:c r="Q13" s="26" t="n">
        <x:v>17.91</x:v>
      </x:c>
      <x:c r="R13" s="26" t="n">
        <x:v>22.12</x:v>
      </x:c>
      <x:c r="S13" s="26" t="n">
        <x:v>175.27</x:v>
      </x:c>
    </x:row>
    <x:row r="14">
      <x:c r="A14" t="n">
        <x:v>500011</x:v>
      </x:c>
      <x:c r="B14" s="24" t="n">
        <x:v>45661</x:v>
      </x:c>
      <x:c r="C14" t="n">
        <x:v>1043</x:v>
      </x:c>
      <x:c r="D14" t="str">
        <x:v>Seller 1043</x:v>
      </x:c>
      <x:c r="E14" t="str">
        <x:v>Silver</x:v>
      </x:c>
      <x:c r="F14" t="str">
        <x:v>West</x:v>
      </x:c>
      <x:c r="G14" t="str">
        <x:v>Pet Supplies</x:v>
      </x:c>
      <x:c r="H14" t="n">
        <x:v>3</x:v>
      </x:c>
      <x:c r="I14" s="26" t="n">
        <x:v>1021.1999999999999</x:v>
      </x:c>
      <x:c r="J14" s="26" t="n">
        <x:v>2850.6</x:v>
      </x:c>
      <x:c r="K14" s="28" t="n">
        <x:v>0.1306</x:v>
      </x:c>
      <x:c r="L14" s="26" t="n">
        <x:v>372.29</x:v>
      </x:c>
      <x:c r="M14" t="n">
        <x:v>0</x:v>
      </x:c>
      <x:c r="N14" s="26" t="n">
        <x:v>0</x:v>
      </x:c>
      <x:c r="O14" s="26" t="n">
        <x:v>52.74</x:v>
      </x:c>
      <x:c r="P14" s="26" t="n">
        <x:v>12.83</x:v>
      </x:c>
      <x:c r="Q14" s="26" t="n">
        <x:v>24.23</x:v>
      </x:c>
      <x:c r="R14" s="26" t="n">
        <x:v>29.93</x:v>
      </x:c>
      <x:c r="S14" s="26" t="n">
        <x:v>252.56</x:v>
      </x:c>
    </x:row>
    <x:row r="15">
      <x:c r="A15" t="n">
        <x:v>500012</x:v>
      </x:c>
      <x:c r="B15" s="24" t="n">
        <x:v>45662</x:v>
      </x:c>
      <x:c r="C15" t="n">
        <x:v>1010</x:v>
      </x:c>
      <x:c r="D15" t="str">
        <x:v>Seller 1010</x:v>
      </x:c>
      <x:c r="E15" t="str">
        <x:v>Platinum</x:v>
      </x:c>
      <x:c r="F15" t="str">
        <x:v>West</x:v>
      </x:c>
      <x:c r="G15" t="str">
        <x:v>Pet Supplies</x:v>
      </x:c>
      <x:c r="H15" t="n">
        <x:v>3</x:v>
      </x:c>
      <x:c r="I15" s="26" t="n">
        <x:v>862.1999999999999</x:v>
      </x:c>
      <x:c r="J15" s="26" t="n">
        <x:v>4238.4</x:v>
      </x:c>
      <x:c r="K15" s="28" t="n">
        <x:v>0.14</x:v>
      </x:c>
      <x:c r="L15" s="26" t="n">
        <x:v>593.38</x:v>
      </x:c>
      <x:c r="M15" t="n">
        <x:v>0</x:v>
      </x:c>
      <x:c r="N15" s="26" t="n">
        <x:v>0</x:v>
      </x:c>
      <x:c r="O15" s="26" t="n">
        <x:v>78.41</x:v>
      </x:c>
      <x:c r="P15" s="26" t="n">
        <x:v>19.07</x:v>
      </x:c>
      <x:c r="Q15" s="26" t="n">
        <x:v>36.03</x:v>
      </x:c>
      <x:c r="R15" s="26" t="n">
        <x:v>44.5</x:v>
      </x:c>
      <x:c r="S15" s="26" t="n">
        <x:v>415.36</x:v>
      </x:c>
    </x:row>
    <x:row r="16">
      <x:c r="A16" t="n">
        <x:v>500013</x:v>
      </x:c>
      <x:c r="B16" s="24" t="n">
        <x:v>45665</x:v>
      </x:c>
      <x:c r="C16" t="n">
        <x:v>1006</x:v>
      </x:c>
      <x:c r="D16" t="str">
        <x:v>Seller 1006</x:v>
      </x:c>
      <x:c r="E16" t="str">
        <x:v>Platinum</x:v>
      </x:c>
      <x:c r="F16" t="str">
        <x:v>East</x:v>
      </x:c>
      <x:c r="G16" t="str">
        <x:v>Sports</x:v>
      </x:c>
      <x:c r="H16" t="n">
        <x:v>3</x:v>
      </x:c>
      <x:c r="I16" s="26" t="n">
        <x:v>1134</x:v>
      </x:c>
      <x:c r="J16" s="26" t="n">
        <x:v>5577</x:v>
      </x:c>
      <x:c r="K16" s="28" t="n">
        <x:v>0.1367</x:v>
      </x:c>
      <x:c r="L16" s="26" t="n">
        <x:v>762.38</x:v>
      </x:c>
      <x:c r="M16" t="n">
        <x:v>0</x:v>
      </x:c>
      <x:c r="N16" s="26" t="n">
        <x:v>0</x:v>
      </x:c>
      <x:c r="O16" s="26" t="n">
        <x:v>103.17</x:v>
      </x:c>
      <x:c r="P16" s="26" t="n">
        <x:v>25.1</x:v>
      </x:c>
      <x:c r="Q16" s="26" t="n">
        <x:v>47.4</x:v>
      </x:c>
      <x:c r="R16" s="26" t="n">
        <x:v>58.56</x:v>
      </x:c>
      <x:c r="S16" s="26" t="n">
        <x:v>528.14</x:v>
      </x:c>
    </x:row>
    <x:row r="17">
      <x:c r="A17" t="n">
        <x:v>500014</x:v>
      </x:c>
      <x:c r="B17" s="24" t="n">
        <x:v>45665</x:v>
      </x:c>
      <x:c r="C17" t="n">
        <x:v>1014</x:v>
      </x:c>
      <x:c r="D17" t="str">
        <x:v>Seller 1014</x:v>
      </x:c>
      <x:c r="E17" t="str">
        <x:v>Gold</x:v>
      </x:c>
      <x:c r="F17" t="str">
        <x:v>East</x:v>
      </x:c>
      <x:c r="G17" t="str">
        <x:v>Apparel</x:v>
      </x:c>
      <x:c r="H17" t="n">
        <x:v>1</x:v>
      </x:c>
      <x:c r="I17" s="26" t="n">
        <x:v>3610.2000000000003</x:v>
      </x:c>
      <x:c r="J17" s="26" t="n">
        <x:v>4389.6</x:v>
      </x:c>
      <x:c r="K17" s="28" t="n">
        <x:v>0.1314</x:v>
      </x:c>
      <x:c r="L17" s="26" t="n">
        <x:v>576.79</x:v>
      </x:c>
      <x:c r="M17" t="n">
        <x:v>0</x:v>
      </x:c>
      <x:c r="N17" s="26" t="n">
        <x:v>0</x:v>
      </x:c>
      <x:c r="O17" s="26" t="n">
        <x:v>81.21</x:v>
      </x:c>
      <x:c r="P17" s="26" t="n">
        <x:v>19.75</x:v>
      </x:c>
      <x:c r="Q17" s="26" t="n">
        <x:v>37.31</x:v>
      </x:c>
      <x:c r="R17" s="26" t="n">
        <x:v>46.09</x:v>
      </x:c>
      <x:c r="S17" s="26" t="n">
        <x:v>392.43</x:v>
      </x:c>
    </x:row>
    <x:row r="18">
      <x:c r="A18" t="n">
        <x:v>500015</x:v>
      </x:c>
      <x:c r="B18" s="24" t="n">
        <x:v>45683</x:v>
      </x:c>
      <x:c r="C18" t="n">
        <x:v>1021</x:v>
      </x:c>
      <x:c r="D18" t="str">
        <x:v>Seller 1021</x:v>
      </x:c>
      <x:c r="E18" t="str">
        <x:v>Gold</x:v>
      </x:c>
      <x:c r="F18" t="str">
        <x:v>Central</x:v>
      </x:c>
      <x:c r="G18" t="str">
        <x:v>Home &amp; Kitchen</x:v>
      </x:c>
      <x:c r="H18" t="n">
        <x:v>2</x:v>
      </x:c>
      <x:c r="I18" s="26" t="n">
        <x:v>2400</x:v>
      </x:c>
      <x:c r="J18" s="26" t="n">
        <x:v>5837.4</x:v>
      </x:c>
      <x:c r="K18" s="28" t="n">
        <x:v>0.1407</x:v>
      </x:c>
      <x:c r="L18" s="26" t="n">
        <x:v>821.32</x:v>
      </x:c>
      <x:c r="M18" t="n">
        <x:v>0</x:v>
      </x:c>
      <x:c r="N18" s="26" t="n">
        <x:v>0</x:v>
      </x:c>
      <x:c r="O18" s="26" t="n">
        <x:v>107.99</x:v>
      </x:c>
      <x:c r="P18" s="26" t="n">
        <x:v>26.27</x:v>
      </x:c>
      <x:c r="Q18" s="26" t="n">
        <x:v>49.62</x:v>
      </x:c>
      <x:c r="R18" s="26" t="n">
        <x:v>61.29</x:v>
      </x:c>
      <x:c r="S18" s="26" t="n">
        <x:v>576.15</x:v>
      </x:c>
    </x:row>
    <x:row r="19">
      <x:c r="A19" t="n">
        <x:v>500016</x:v>
      </x:c>
      <x:c r="B19" s="24" t="n">
        <x:v>45684</x:v>
      </x:c>
      <x:c r="C19" t="n">
        <x:v>1032</x:v>
      </x:c>
      <x:c r="D19" t="str">
        <x:v>Seller 1032</x:v>
      </x:c>
      <x:c r="E19" t="str">
        <x:v>Silver</x:v>
      </x:c>
      <x:c r="F19" t="str">
        <x:v>West</x:v>
      </x:c>
      <x:c r="G19" t="str">
        <x:v>Pet Supplies</x:v>
      </x:c>
      <x:c r="H19" t="n">
        <x:v>2</x:v>
      </x:c>
      <x:c r="I19" s="26" t="n">
        <x:v>1443.6</x:v>
      </x:c>
      <x:c r="J19" s="26" t="n">
        <x:v>2686.8</x:v>
      </x:c>
      <x:c r="K19" s="28" t="n">
        <x:v>0.1409</x:v>
      </x:c>
      <x:c r="L19" s="26" t="n">
        <x:v>378.57</x:v>
      </x:c>
      <x:c r="M19" t="n">
        <x:v>0</x:v>
      </x:c>
      <x:c r="N19" s="26" t="n">
        <x:v>0</x:v>
      </x:c>
      <x:c r="O19" s="26" t="n">
        <x:v>49.71</x:v>
      </x:c>
      <x:c r="P19" s="26" t="n">
        <x:v>12.09</x:v>
      </x:c>
      <x:c r="Q19" s="26" t="n">
        <x:v>22.84</x:v>
      </x:c>
      <x:c r="R19" s="26" t="n">
        <x:v>28.21</x:v>
      </x:c>
      <x:c r="S19" s="26" t="n">
        <x:v>265.72</x:v>
      </x:c>
    </x:row>
    <x:row r="20">
      <x:c r="A20" t="n">
        <x:v>500017</x:v>
      </x:c>
      <x:c r="B20" s="24" t="n">
        <x:v>45666</x:v>
      </x:c>
      <x:c r="C20" t="n">
        <x:v>1059</x:v>
      </x:c>
      <x:c r="D20" t="str">
        <x:v>Seller 1059</x:v>
      </x:c>
      <x:c r="E20" t="str">
        <x:v>Bronze</x:v>
      </x:c>
      <x:c r="F20" t="str">
        <x:v>Central</x:v>
      </x:c>
      <x:c r="G20" t="str">
        <x:v>Sports</x:v>
      </x:c>
      <x:c r="H20" t="n">
        <x:v>3</x:v>
      </x:c>
      <x:c r="I20" s="26" t="n">
        <x:v>852.6</x:v>
      </x:c>
      <x:c r="J20" s="26" t="n">
        <x:v>1677</x:v>
      </x:c>
      <x:c r="K20" s="28" t="n">
        <x:v>0.1214</x:v>
      </x:c>
      <x:c r="L20" s="26" t="n">
        <x:v>203.59</x:v>
      </x:c>
      <x:c r="M20" t="n">
        <x:v>0</x:v>
      </x:c>
      <x:c r="N20" s="26" t="n">
        <x:v>0</x:v>
      </x:c>
      <x:c r="O20" s="26" t="n">
        <x:v>31.02</x:v>
      </x:c>
      <x:c r="P20" s="26" t="n">
        <x:v>7.55</x:v>
      </x:c>
      <x:c r="Q20" s="26" t="n">
        <x:v>14.25</x:v>
      </x:c>
      <x:c r="R20" s="26" t="n">
        <x:v>17.61</x:v>
      </x:c>
      <x:c r="S20" s="26" t="n">
        <x:v>133.15</x:v>
      </x:c>
    </x:row>
    <x:row r="21">
      <x:c r="A21" t="n">
        <x:v>500018</x:v>
      </x:c>
      <x:c r="B21" s="24" t="n">
        <x:v>45658</x:v>
      </x:c>
      <x:c r="C21" t="n">
        <x:v>1009</x:v>
      </x:c>
      <x:c r="D21" t="str">
        <x:v>Seller 1009</x:v>
      </x:c>
      <x:c r="E21" t="str">
        <x:v>Platinum</x:v>
      </x:c>
      <x:c r="F21" t="str">
        <x:v>Central</x:v>
      </x:c>
      <x:c r="G21" t="str">
        <x:v>Beauty</x:v>
      </x:c>
      <x:c r="H21" t="n">
        <x:v>1</x:v>
      </x:c>
      <x:c r="I21" s="26" t="n">
        <x:v>2842.8</x:v>
      </x:c>
      <x:c r="J21" s="26" t="n">
        <x:v>4659</x:v>
      </x:c>
      <x:c r="K21" s="28" t="n">
        <x:v>0.1493</x:v>
      </x:c>
      <x:c r="L21" s="26" t="n">
        <x:v>695.59</x:v>
      </x:c>
      <x:c r="M21" t="n">
        <x:v>0</x:v>
      </x:c>
      <x:c r="N21" s="26" t="n">
        <x:v>0</x:v>
      </x:c>
      <x:c r="O21" s="26" t="n">
        <x:v>86.19</x:v>
      </x:c>
      <x:c r="P21" s="26" t="n">
        <x:v>20.97</x:v>
      </x:c>
      <x:c r="Q21" s="26" t="n">
        <x:v>39.6</x:v>
      </x:c>
      <x:c r="R21" s="26" t="n">
        <x:v>48.92</x:v>
      </x:c>
      <x:c r="S21" s="26" t="n">
        <x:v>499.91</x:v>
      </x:c>
    </x:row>
    <x:row r="22">
      <x:c r="A22" t="n">
        <x:v>500019</x:v>
      </x:c>
      <x:c r="B22" s="24" t="n">
        <x:v>45681</x:v>
      </x:c>
      <x:c r="C22" t="n">
        <x:v>1015</x:v>
      </x:c>
      <x:c r="D22" t="str">
        <x:v>Seller 1015</x:v>
      </x:c>
      <x:c r="E22" t="str">
        <x:v>Gold</x:v>
      </x:c>
      <x:c r="F22" t="str">
        <x:v>West</x:v>
      </x:c>
      <x:c r="G22" t="str">
        <x:v>Beauty</x:v>
      </x:c>
      <x:c r="H22" t="n">
        <x:v>3</x:v>
      </x:c>
      <x:c r="I22" s="26" t="n">
        <x:v>1367.3999999999999</x:v>
      </x:c>
      <x:c r="J22" s="26" t="n">
        <x:v>4989</x:v>
      </x:c>
      <x:c r="K22" s="28" t="n">
        <x:v>0.1394</x:v>
      </x:c>
      <x:c r="L22" s="26" t="n">
        <x:v>695.47</x:v>
      </x:c>
      <x:c r="M22" t="n">
        <x:v>0</x:v>
      </x:c>
      <x:c r="N22" s="26" t="n">
        <x:v>0</x:v>
      </x:c>
      <x:c r="O22" s="26" t="n">
        <x:v>92.3</x:v>
      </x:c>
      <x:c r="P22" s="26" t="n">
        <x:v>22.45</x:v>
      </x:c>
      <x:c r="Q22" s="26" t="n">
        <x:v>42.41</x:v>
      </x:c>
      <x:c r="R22" s="26" t="n">
        <x:v>52.38</x:v>
      </x:c>
      <x:c r="S22" s="26" t="n">
        <x:v>485.93</x:v>
      </x:c>
    </x:row>
    <x:row r="23">
      <x:c r="A23" t="n">
        <x:v>500020</x:v>
      </x:c>
      <x:c r="B23" s="24" t="n">
        <x:v>45674</x:v>
      </x:c>
      <x:c r="C23" t="n">
        <x:v>1041</x:v>
      </x:c>
      <x:c r="D23" t="str">
        <x:v>Seller 1041</x:v>
      </x:c>
      <x:c r="E23" t="str">
        <x:v>Silver</x:v>
      </x:c>
      <x:c r="F23" t="str">
        <x:v>West</x:v>
      </x:c>
      <x:c r="G23" t="str">
        <x:v>Apparel</x:v>
      </x:c>
      <x:c r="H23" t="n">
        <x:v>3</x:v>
      </x:c>
      <x:c r="I23" s="26" t="n">
        <x:v>1264.8</x:v>
      </x:c>
      <x:c r="J23" s="26" t="n">
        <x:v>3531</x:v>
      </x:c>
      <x:c r="K23" s="28" t="n">
        <x:v>0.1296</x:v>
      </x:c>
      <x:c r="L23" s="26" t="n">
        <x:v>457.62</x:v>
      </x:c>
      <x:c r="M23" t="n">
        <x:v>1</x:v>
      </x:c>
      <x:c r="N23" s="26" t="n">
        <x:v>2635.2</x:v>
      </x:c>
      <x:c r="O23" s="26" t="n">
        <x:v>65.32</x:v>
      </x:c>
      <x:c r="P23" s="26" t="n">
        <x:v>15.89</x:v>
      </x:c>
      <x:c r="Q23" s="26" t="n">
        <x:v>30.01</x:v>
      </x:c>
      <x:c r="R23" s="26" t="n">
        <x:v>37.08</x:v>
      </x:c>
      <x:c r="S23" s="26" t="n">
        <x:v>256.61</x:v>
      </x:c>
    </x:row>
    <x:row r="24">
      <x:c r="A24" t="n">
        <x:v>500021</x:v>
      </x:c>
      <x:c r="B24" s="24" t="n">
        <x:v>45687</x:v>
      </x:c>
      <x:c r="C24" t="n">
        <x:v>1069</x:v>
      </x:c>
      <x:c r="D24" t="str">
        <x:v>Seller 1069</x:v>
      </x:c>
      <x:c r="E24" t="str">
        <x:v>Bronze</x:v>
      </x:c>
      <x:c r="F24" t="str">
        <x:v>East</x:v>
      </x:c>
      <x:c r="G24" t="str">
        <x:v>Electronics</x:v>
      </x:c>
      <x:c r="H24" t="n">
        <x:v>3</x:v>
      </x:c>
      <x:c r="I24" s="26" t="n">
        <x:v>2482.8</x:v>
      </x:c>
      <x:c r="J24" s="26" t="n">
        <x:v>4883.4</x:v>
      </x:c>
      <x:c r="K24" s="28" t="n">
        <x:v>0.1177</x:v>
      </x:c>
      <x:c r="L24" s="26" t="n">
        <x:v>574.78</x:v>
      </x:c>
      <x:c r="M24" t="n">
        <x:v>0</x:v>
      </x:c>
      <x:c r="N24" s="26" t="n">
        <x:v>0</x:v>
      </x:c>
      <x:c r="O24" s="26" t="n">
        <x:v>90.34</x:v>
      </x:c>
      <x:c r="P24" s="26" t="n">
        <x:v>21.98</x:v>
      </x:c>
      <x:c r="Q24" s="26" t="n">
        <x:v>41.51</x:v>
      </x:c>
      <x:c r="R24" s="26" t="n">
        <x:v>51.28</x:v>
      </x:c>
      <x:c r="S24" s="26" t="n">
        <x:v>369.67</x:v>
      </x:c>
    </x:row>
    <x:row r="25">
      <x:c r="A25" t="n">
        <x:v>500022</x:v>
      </x:c>
      <x:c r="B25" s="24" t="n">
        <x:v>45668</x:v>
      </x:c>
      <x:c r="C25" t="n">
        <x:v>1043</x:v>
      </x:c>
      <x:c r="D25" t="str">
        <x:v>Seller 1043</x:v>
      </x:c>
      <x:c r="E25" t="str">
        <x:v>Silver</x:v>
      </x:c>
      <x:c r="F25" t="str">
        <x:v>West</x:v>
      </x:c>
      <x:c r="G25" t="str">
        <x:v>Sports</x:v>
      </x:c>
      <x:c r="H25" t="n">
        <x:v>2</x:v>
      </x:c>
      <x:c r="I25" s="26" t="n">
        <x:v>2119.2</x:v>
      </x:c>
      <x:c r="J25" s="26" t="n">
        <x:v>3943.2</x:v>
      </x:c>
      <x:c r="K25" s="28" t="n">
        <x:v>0.1376</x:v>
      </x:c>
      <x:c r="L25" s="26" t="n">
        <x:v>542.58</x:v>
      </x:c>
      <x:c r="M25" t="n">
        <x:v>0</x:v>
      </x:c>
      <x:c r="N25" s="26" t="n">
        <x:v>0</x:v>
      </x:c>
      <x:c r="O25" s="26" t="n">
        <x:v>72.95</x:v>
      </x:c>
      <x:c r="P25" s="26" t="n">
        <x:v>17.74</x:v>
      </x:c>
      <x:c r="Q25" s="26" t="n">
        <x:v>33.52</x:v>
      </x:c>
      <x:c r="R25" s="26" t="n">
        <x:v>41.4</x:v>
      </x:c>
      <x:c r="S25" s="26" t="n">
        <x:v>376.97</x:v>
      </x:c>
    </x:row>
    <x:row r="26">
      <x:c r="A26" t="n">
        <x:v>500023</x:v>
      </x:c>
      <x:c r="B26" s="24" t="n">
        <x:v>45663</x:v>
      </x:c>
      <x:c r="C26" t="n">
        <x:v>1052</x:v>
      </x:c>
      <x:c r="D26" t="str">
        <x:v>Seller 1052</x:v>
      </x:c>
      <x:c r="E26" t="str">
        <x:v>Silver</x:v>
      </x:c>
      <x:c r="F26" t="str">
        <x:v>Central</x:v>
      </x:c>
      <x:c r="G26" t="str">
        <x:v>Pet Supplies</x:v>
      </x:c>
      <x:c r="H26" t="n">
        <x:v>2</x:v>
      </x:c>
      <x:c r="I26" s="26" t="n">
        <x:v>1505.4</x:v>
      </x:c>
      <x:c r="J26" s="26" t="n">
        <x:v>2801.4</x:v>
      </x:c>
      <x:c r="K26" s="28" t="n">
        <x:v>0.136</x:v>
      </x:c>
      <x:c r="L26" s="26" t="n">
        <x:v>380.99</x:v>
      </x:c>
      <x:c r="M26" t="n">
        <x:v>0</x:v>
      </x:c>
      <x:c r="N26" s="26" t="n">
        <x:v>0</x:v>
      </x:c>
      <x:c r="O26" s="26" t="n">
        <x:v>51.83</x:v>
      </x:c>
      <x:c r="P26" s="26" t="n">
        <x:v>12.61</x:v>
      </x:c>
      <x:c r="Q26" s="26" t="n">
        <x:v>23.81</x:v>
      </x:c>
      <x:c r="R26" s="26" t="n">
        <x:v>29.41</x:v>
      </x:c>
      <x:c r="S26" s="26" t="n">
        <x:v>263.33</x:v>
      </x:c>
    </x:row>
    <x:row r="27">
      <x:c r="A27" t="n">
        <x:v>500024</x:v>
      </x:c>
      <x:c r="B27" s="24" t="n">
        <x:v>45677</x:v>
      </x:c>
      <x:c r="C27" t="n">
        <x:v>1079</x:v>
      </x:c>
      <x:c r="D27" t="str">
        <x:v>Seller 1079</x:v>
      </x:c>
      <x:c r="E27" t="str">
        <x:v>Bronze</x:v>
      </x:c>
      <x:c r="F27" t="str">
        <x:v>South</x:v>
      </x:c>
      <x:c r="G27" t="str">
        <x:v>Beauty</x:v>
      </x:c>
      <x:c r="H27" t="n">
        <x:v>1</x:v>
      </x:c>
      <x:c r="I27" s="26" t="n">
        <x:v>2862.6</x:v>
      </x:c>
      <x:c r="J27" s="26" t="n">
        <x:v>1876.8</x:v>
      </x:c>
      <x:c r="K27" s="28" t="n">
        <x:v>0.1403</x:v>
      </x:c>
      <x:c r="L27" s="26" t="n">
        <x:v>263.32</x:v>
      </x:c>
      <x:c r="M27" t="n">
        <x:v>0</x:v>
      </x:c>
      <x:c r="N27" s="26" t="n">
        <x:v>0</x:v>
      </x:c>
      <x:c r="O27" s="26" t="n">
        <x:v>34.72</x:v>
      </x:c>
      <x:c r="P27" s="26" t="n">
        <x:v>8.45</x:v>
      </x:c>
      <x:c r="Q27" s="26" t="n">
        <x:v>15.95</x:v>
      </x:c>
      <x:c r="R27" s="26" t="n">
        <x:v>19.71</x:v>
      </x:c>
      <x:c r="S27" s="26" t="n">
        <x:v>184.49</x:v>
      </x:c>
    </x:row>
    <x:row r="28">
      <x:c r="A28" t="n">
        <x:v>500025</x:v>
      </x:c>
      <x:c r="B28" s="24" t="n">
        <x:v>45663</x:v>
      </x:c>
      <x:c r="C28" t="n">
        <x:v>1042</x:v>
      </x:c>
      <x:c r="D28" t="str">
        <x:v>Seller 1042</x:v>
      </x:c>
      <x:c r="E28" t="str">
        <x:v>Silver</x:v>
      </x:c>
      <x:c r="F28" t="str">
        <x:v>East</x:v>
      </x:c>
      <x:c r="G28" t="str">
        <x:v>Pet Supplies</x:v>
      </x:c>
      <x:c r="H28" t="n">
        <x:v>2</x:v>
      </x:c>
      <x:c r="I28" s="26" t="n">
        <x:v>1621.8000000000002</x:v>
      </x:c>
      <x:c r="J28" s="26" t="n">
        <x:v>3017.4</x:v>
      </x:c>
      <x:c r="K28" s="28" t="n">
        <x:v>0.1314</x:v>
      </x:c>
      <x:c r="L28" s="26" t="n">
        <x:v>396.49</x:v>
      </x:c>
      <x:c r="M28" t="n">
        <x:v>0</x:v>
      </x:c>
      <x:c r="N28" s="26" t="n">
        <x:v>0</x:v>
      </x:c>
      <x:c r="O28" s="26" t="n">
        <x:v>55.82</x:v>
      </x:c>
      <x:c r="P28" s="26" t="n">
        <x:v>13.58</x:v>
      </x:c>
      <x:c r="Q28" s="26" t="n">
        <x:v>25.65</x:v>
      </x:c>
      <x:c r="R28" s="26" t="n">
        <x:v>31.68</x:v>
      </x:c>
      <x:c r="S28" s="26" t="n">
        <x:v>269.76</x:v>
      </x:c>
    </x:row>
    <x:row r="29">
      <x:c r="A29" t="n">
        <x:v>500026</x:v>
      </x:c>
      <x:c r="B29" s="24" t="n">
        <x:v>45667</x:v>
      </x:c>
      <x:c r="C29" t="n">
        <x:v>1011</x:v>
      </x:c>
      <x:c r="D29" t="str">
        <x:v>Seller 1011</x:v>
      </x:c>
      <x:c r="E29" t="str">
        <x:v>Platinum</x:v>
      </x:c>
      <x:c r="F29" t="str">
        <x:v>West</x:v>
      </x:c>
      <x:c r="G29" t="str">
        <x:v>Electronics</x:v>
      </x:c>
      <x:c r="H29" t="n">
        <x:v>1</x:v>
      </x:c>
      <x:c r="I29" s="26" t="n">
        <x:v>7870.8</x:v>
      </x:c>
      <x:c r="J29" s="26" t="n">
        <x:v>12900</x:v>
      </x:c>
      <x:c r="K29" s="28" t="n">
        <x:v>0.1152</x:v>
      </x:c>
      <x:c r="L29" s="26" t="n">
        <x:v>1486.08</x:v>
      </x:c>
      <x:c r="M29" t="n">
        <x:v>0</x:v>
      </x:c>
      <x:c r="N29" s="26" t="n">
        <x:v>0</x:v>
      </x:c>
      <x:c r="O29" s="26" t="n">
        <x:v>238.65</x:v>
      </x:c>
      <x:c r="P29" s="26" t="n">
        <x:v>58.05</x:v>
      </x:c>
      <x:c r="Q29" s="26" t="n">
        <x:v>109.65</x:v>
      </x:c>
      <x:c r="R29" s="26" t="n">
        <x:v>135.45</x:v>
      </x:c>
      <x:c r="S29" s="26" t="n">
        <x:v>944.28</x:v>
      </x:c>
    </x:row>
    <x:row r="30">
      <x:c r="A30" t="n">
        <x:v>500027</x:v>
      </x:c>
      <x:c r="B30" s="24" t="n">
        <x:v>45671</x:v>
      </x:c>
      <x:c r="C30" t="n">
        <x:v>1029</x:v>
      </x:c>
      <x:c r="D30" t="str">
        <x:v>Seller 1029</x:v>
      </x:c>
      <x:c r="E30" t="str">
        <x:v>Gold</x:v>
      </x:c>
      <x:c r="F30" t="str">
        <x:v>West</x:v>
      </x:c>
      <x:c r="G30" t="str">
        <x:v>Home &amp; Kitchen</x:v>
      </x:c>
      <x:c r="H30" t="n">
        <x:v>3</x:v>
      </x:c>
      <x:c r="I30" s="26" t="n">
        <x:v>1684.8</x:v>
      </x:c>
      <x:c r="J30" s="26" t="n">
        <x:v>6147</x:v>
      </x:c>
      <x:c r="K30" s="28" t="n">
        <x:v>0.1344</x:v>
      </x:c>
      <x:c r="L30" s="26" t="n">
        <x:v>826.16</x:v>
      </x:c>
      <x:c r="M30" t="n">
        <x:v>0</x:v>
      </x:c>
      <x:c r="N30" s="26" t="n">
        <x:v>0</x:v>
      </x:c>
      <x:c r="O30" s="26" t="n">
        <x:v>113.72</x:v>
      </x:c>
      <x:c r="P30" s="26" t="n">
        <x:v>27.66</x:v>
      </x:c>
      <x:c r="Q30" s="26" t="n">
        <x:v>52.25</x:v>
      </x:c>
      <x:c r="R30" s="26" t="n">
        <x:v>64.54</x:v>
      </x:c>
      <x:c r="S30" s="26" t="n">
        <x:v>567.98</x:v>
      </x:c>
    </x:row>
    <x:row r="31">
      <x:c r="A31" t="n">
        <x:v>500028</x:v>
      </x:c>
      <x:c r="B31" s="24" t="n">
        <x:v>45682</x:v>
      </x:c>
      <x:c r="C31" t="n">
        <x:v>1074</x:v>
      </x:c>
      <x:c r="D31" t="str">
        <x:v>Seller 1074</x:v>
      </x:c>
      <x:c r="E31" t="str">
        <x:v>Bronze</x:v>
      </x:c>
      <x:c r="F31" t="str">
        <x:v>East</x:v>
      </x:c>
      <x:c r="G31" t="str">
        <x:v>Electronics</x:v>
      </x:c>
      <x:c r="H31" t="n">
        <x:v>2</x:v>
      </x:c>
      <x:c r="I31" s="26" t="n">
        <x:v>3582.6</x:v>
      </x:c>
      <x:c r="J31" s="26" t="n">
        <x:v>4698</x:v>
      </x:c>
      <x:c r="K31" s="28" t="n">
        <x:v>0.1189</x:v>
      </x:c>
      <x:c r="L31" s="26" t="n">
        <x:v>558.59</x:v>
      </x:c>
      <x:c r="M31" t="n">
        <x:v>1</x:v>
      </x:c>
      <x:c r="N31" s="26" t="n">
        <x:v>4171.2</x:v>
      </x:c>
      <x:c r="O31" s="26" t="n">
        <x:v>86.91</x:v>
      </x:c>
      <x:c r="P31" s="26" t="n">
        <x:v>21.14</x:v>
      </x:c>
      <x:c r="Q31" s="26" t="n">
        <x:v>39.93</x:v>
      </x:c>
      <x:c r="R31" s="26" t="n">
        <x:v>49.33</x:v>
      </x:c>
      <x:c r="S31" s="26" t="n">
        <x:v>277.85</x:v>
      </x:c>
    </x:row>
    <x:row r="32">
      <x:c r="A32" t="n">
        <x:v>500029</x:v>
      </x:c>
      <x:c r="B32" s="24" t="n">
        <x:v>45685</x:v>
      </x:c>
      <x:c r="C32" t="n">
        <x:v>1014</x:v>
      </x:c>
      <x:c r="D32" t="str">
        <x:v>Seller 1014</x:v>
      </x:c>
      <x:c r="E32" t="str">
        <x:v>Gold</x:v>
      </x:c>
      <x:c r="F32" t="str">
        <x:v>East</x:v>
      </x:c>
      <x:c r="G32" t="str">
        <x:v>Home &amp; Kitchen</x:v>
      </x:c>
      <x:c r="H32" t="n">
        <x:v>3</x:v>
      </x:c>
      <x:c r="I32" s="26" t="n">
        <x:v>2525.4</x:v>
      </x:c>
      <x:c r="J32" s="26" t="n">
        <x:v>9213</x:v>
      </x:c>
      <x:c r="K32" s="28" t="n">
        <x:v>0.1354</x:v>
      </x:c>
      <x:c r="L32" s="26" t="n">
        <x:v>1247.44</x:v>
      </x:c>
      <x:c r="M32" t="n">
        <x:v>0</x:v>
      </x:c>
      <x:c r="N32" s="26" t="n">
        <x:v>0</x:v>
      </x:c>
      <x:c r="O32" s="26" t="n">
        <x:v>170.44</x:v>
      </x:c>
      <x:c r="P32" s="26" t="n">
        <x:v>41.46</x:v>
      </x:c>
      <x:c r="Q32" s="26" t="n">
        <x:v>78.31</x:v>
      </x:c>
      <x:c r="R32" s="26" t="n">
        <x:v>96.74</x:v>
      </x:c>
      <x:c r="S32" s="26" t="n">
        <x:v>860.49</x:v>
      </x:c>
    </x:row>
    <x:row r="33">
      <x:c r="A33" t="n">
        <x:v>500030</x:v>
      </x:c>
      <x:c r="B33" s="24" t="n">
        <x:v>45686</x:v>
      </x:c>
      <x:c r="C33" t="n">
        <x:v>1016</x:v>
      </x:c>
      <x:c r="D33" t="str">
        <x:v>Seller 1016</x:v>
      </x:c>
      <x:c r="E33" t="str">
        <x:v>Gold</x:v>
      </x:c>
      <x:c r="F33" t="str">
        <x:v>West</x:v>
      </x:c>
      <x:c r="G33" t="str">
        <x:v>Sports</x:v>
      </x:c>
      <x:c r="H33" t="n">
        <x:v>3</x:v>
      </x:c>
      <x:c r="I33" s="26" t="n">
        <x:v>1006.8000000000001</x:v>
      </x:c>
      <x:c r="J33" s="26" t="n">
        <x:v>3672</x:v>
      </x:c>
      <x:c r="K33" s="28" t="n">
        <x:v>0.1397</x:v>
      </x:c>
      <x:c r="L33" s="26" t="n">
        <x:v>512.98</x:v>
      </x:c>
      <x:c r="M33" t="n">
        <x:v>0</x:v>
      </x:c>
      <x:c r="N33" s="26" t="n">
        <x:v>0</x:v>
      </x:c>
      <x:c r="O33" s="26" t="n">
        <x:v>67.93</x:v>
      </x:c>
      <x:c r="P33" s="26" t="n">
        <x:v>16.52</x:v>
      </x:c>
      <x:c r="Q33" s="26" t="n">
        <x:v>31.21</x:v>
      </x:c>
      <x:c r="R33" s="26" t="n">
        <x:v>38.56</x:v>
      </x:c>
      <x:c r="S33" s="26" t="n">
        <x:v>358.75</x:v>
      </x:c>
    </x:row>
    <x:row r="34">
      <x:c r="A34" t="n">
        <x:v>500031</x:v>
      </x:c>
      <x:c r="B34" s="24" t="n">
        <x:v>45681</x:v>
      </x:c>
      <x:c r="C34" t="n">
        <x:v>1057</x:v>
      </x:c>
      <x:c r="D34" t="str">
        <x:v>Seller 1057</x:v>
      </x:c>
      <x:c r="E34" t="str">
        <x:v>Bronze</x:v>
      </x:c>
      <x:c r="F34" t="str">
        <x:v>South</x:v>
      </x:c>
      <x:c r="G34" t="str">
        <x:v>Electronics</x:v>
      </x:c>
      <x:c r="H34" t="n">
        <x:v>2</x:v>
      </x:c>
      <x:c r="I34" s="26" t="n">
        <x:v>3540</x:v>
      </x:c>
      <x:c r="J34" s="26" t="n">
        <x:v>4641.6</x:v>
      </x:c>
      <x:c r="K34" s="28" t="n">
        <x:v>0.1329</x:v>
      </x:c>
      <x:c r="L34" s="26" t="n">
        <x:v>616.87</x:v>
      </x:c>
      <x:c r="M34" t="n">
        <x:v>0</x:v>
      </x:c>
      <x:c r="N34" s="26" t="n">
        <x:v>0</x:v>
      </x:c>
      <x:c r="O34" s="26" t="n">
        <x:v>85.87</x:v>
      </x:c>
      <x:c r="P34" s="26" t="n">
        <x:v>20.89</x:v>
      </x:c>
      <x:c r="Q34" s="26" t="n">
        <x:v>39.45</x:v>
      </x:c>
      <x:c r="R34" s="26" t="n">
        <x:v>48.74</x:v>
      </x:c>
      <x:c r="S34" s="26" t="n">
        <x:v>421.92</x:v>
      </x:c>
    </x:row>
    <x:row r="35">
      <x:c r="A35" t="n">
        <x:v>500032</x:v>
      </x:c>
      <x:c r="B35" s="24" t="n">
        <x:v>45665</x:v>
      </x:c>
      <x:c r="C35" t="n">
        <x:v>1061</x:v>
      </x:c>
      <x:c r="D35" t="str">
        <x:v>Seller 1061</x:v>
      </x:c>
      <x:c r="E35" t="str">
        <x:v>Bronze</x:v>
      </x:c>
      <x:c r="F35" t="str">
        <x:v>Central</x:v>
      </x:c>
      <x:c r="G35" t="str">
        <x:v>Electronics</x:v>
      </x:c>
      <x:c r="H35" t="n">
        <x:v>2</x:v>
      </x:c>
      <x:c r="I35" s="26" t="n">
        <x:v>3018</x:v>
      </x:c>
      <x:c r="J35" s="26" t="n">
        <x:v>3957</x:v>
      </x:c>
      <x:c r="K35" s="28" t="n">
        <x:v>0.1197</x:v>
      </x:c>
      <x:c r="L35" s="26" t="n">
        <x:v>473.65</x:v>
      </x:c>
      <x:c r="M35" t="n">
        <x:v>0</x:v>
      </x:c>
      <x:c r="N35" s="26" t="n">
        <x:v>0</x:v>
      </x:c>
      <x:c r="O35" s="26" t="n">
        <x:v>73.2</x:v>
      </x:c>
      <x:c r="P35" s="26" t="n">
        <x:v>17.81</x:v>
      </x:c>
      <x:c r="Q35" s="26" t="n">
        <x:v>33.63</x:v>
      </x:c>
      <x:c r="R35" s="26" t="n">
        <x:v>41.55</x:v>
      </x:c>
      <x:c r="S35" s="26" t="n">
        <x:v>307.46</x:v>
      </x:c>
    </x:row>
    <x:row r="36">
      <x:c r="A36" t="n">
        <x:v>500033</x:v>
      </x:c>
      <x:c r="B36" s="24" t="n">
        <x:v>45662</x:v>
      </x:c>
      <x:c r="C36" t="n">
        <x:v>1036</x:v>
      </x:c>
      <x:c r="D36" t="str">
        <x:v>Seller 1036</x:v>
      </x:c>
      <x:c r="E36" t="str">
        <x:v>Silver</x:v>
      </x:c>
      <x:c r="F36" t="str">
        <x:v>Central</x:v>
      </x:c>
      <x:c r="G36" t="str">
        <x:v>Pet Supplies</x:v>
      </x:c>
      <x:c r="H36" t="n">
        <x:v>2</x:v>
      </x:c>
      <x:c r="I36" s="26" t="n">
        <x:v>1382.3999999999999</x:v>
      </x:c>
      <x:c r="J36" s="26" t="n">
        <x:v>2572.2</x:v>
      </x:c>
      <x:c r="K36" s="28" t="n">
        <x:v>0.1281</x:v>
      </x:c>
      <x:c r="L36" s="26" t="n">
        <x:v>329.5</x:v>
      </x:c>
      <x:c r="M36" t="n">
        <x:v>0</x:v>
      </x:c>
      <x:c r="N36" s="26" t="n">
        <x:v>0</x:v>
      </x:c>
      <x:c r="O36" s="26" t="n">
        <x:v>47.59</x:v>
      </x:c>
      <x:c r="P36" s="26" t="n">
        <x:v>11.57</x:v>
      </x:c>
      <x:c r="Q36" s="26" t="n">
        <x:v>21.86</x:v>
      </x:c>
      <x:c r="R36" s="26" t="n">
        <x:v>27.01</x:v>
      </x:c>
      <x:c r="S36" s="26" t="n">
        <x:v>221.47</x:v>
      </x:c>
    </x:row>
    <x:row r="37">
      <x:c r="A37" t="n">
        <x:v>500034</x:v>
      </x:c>
      <x:c r="B37" s="24" t="n">
        <x:v>45659</x:v>
      </x:c>
      <x:c r="C37" t="n">
        <x:v>1030</x:v>
      </x:c>
      <x:c r="D37" t="str">
        <x:v>Seller 1030</x:v>
      </x:c>
      <x:c r="E37" t="str">
        <x:v>Gold</x:v>
      </x:c>
      <x:c r="F37" t="str">
        <x:v>South</x:v>
      </x:c>
      <x:c r="G37" t="str">
        <x:v>Pet Supplies</x:v>
      </x:c>
      <x:c r="H37" t="n">
        <x:v>2</x:v>
      </x:c>
      <x:c r="I37" s="26" t="n">
        <x:v>1701.6</x:v>
      </x:c>
      <x:c r="J37" s="26" t="n">
        <x:v>4138.8</x:v>
      </x:c>
      <x:c r="K37" s="28" t="n">
        <x:v>0.13</x:v>
      </x:c>
      <x:c r="L37" s="26" t="n">
        <x:v>538.04</x:v>
      </x:c>
      <x:c r="M37" t="n">
        <x:v>0</x:v>
      </x:c>
      <x:c r="N37" s="26" t="n">
        <x:v>0</x:v>
      </x:c>
      <x:c r="O37" s="26" t="n">
        <x:v>76.57</x:v>
      </x:c>
      <x:c r="P37" s="26" t="n">
        <x:v>18.62</x:v>
      </x:c>
      <x:c r="Q37" s="26" t="n">
        <x:v>35.18</x:v>
      </x:c>
      <x:c r="R37" s="26" t="n">
        <x:v>43.46</x:v>
      </x:c>
      <x:c r="S37" s="26" t="n">
        <x:v>364.21</x:v>
      </x:c>
    </x:row>
    <x:row r="38">
      <x:c r="A38" t="n">
        <x:v>500035</x:v>
      </x:c>
      <x:c r="B38" s="24" t="n">
        <x:v>45670</x:v>
      </x:c>
      <x:c r="C38" t="n">
        <x:v>1027</x:v>
      </x:c>
      <x:c r="D38" t="str">
        <x:v>Seller 1027</x:v>
      </x:c>
      <x:c r="E38" t="str">
        <x:v>Gold</x:v>
      </x:c>
      <x:c r="F38" t="str">
        <x:v>West</x:v>
      </x:c>
      <x:c r="G38" t="str">
        <x:v>Apparel</x:v>
      </x:c>
      <x:c r="H38" t="n">
        <x:v>3</x:v>
      </x:c>
      <x:c r="I38" s="26" t="n">
        <x:v>1051.2</x:v>
      </x:c>
      <x:c r="J38" s="26" t="n">
        <x:v>3834</x:v>
      </x:c>
      <x:c r="K38" s="28" t="n">
        <x:v>0.1247</x:v>
      </x:c>
      <x:c r="L38" s="26" t="n">
        <x:v>478.1</x:v>
      </x:c>
      <x:c r="M38" t="n">
        <x:v>0</x:v>
      </x:c>
      <x:c r="N38" s="26" t="n">
        <x:v>0</x:v>
      </x:c>
      <x:c r="O38" s="26" t="n">
        <x:v>70.93</x:v>
      </x:c>
      <x:c r="P38" s="26" t="n">
        <x:v>17.25</x:v>
      </x:c>
      <x:c r="Q38" s="26" t="n">
        <x:v>32.59</x:v>
      </x:c>
      <x:c r="R38" s="26" t="n">
        <x:v>40.26</x:v>
      </x:c>
      <x:c r="S38" s="26" t="n">
        <x:v>317.07</x:v>
      </x:c>
    </x:row>
    <x:row r="39">
      <x:c r="A39" t="n">
        <x:v>500036</x:v>
      </x:c>
      <x:c r="B39" s="24" t="n">
        <x:v>45681</x:v>
      </x:c>
      <x:c r="C39" t="n">
        <x:v>1062</x:v>
      </x:c>
      <x:c r="D39" t="str">
        <x:v>Seller 1062</x:v>
      </x:c>
      <x:c r="E39" t="str">
        <x:v>Bronze</x:v>
      </x:c>
      <x:c r="F39" t="str">
        <x:v>West</x:v>
      </x:c>
      <x:c r="G39" t="str">
        <x:v>Electronics</x:v>
      </x:c>
      <x:c r="H39" t="n">
        <x:v>1</x:v>
      </x:c>
      <x:c r="I39" s="26" t="n">
        <x:v>9634.800000000001</x:v>
      </x:c>
      <x:c r="J39" s="26" t="n">
        <x:v>6316.2</x:v>
      </x:c>
      <x:c r="K39" s="28" t="n">
        <x:v>0.1335</x:v>
      </x:c>
      <x:c r="L39" s="26" t="n">
        <x:v>843.21</x:v>
      </x:c>
      <x:c r="M39" t="n">
        <x:v>0</x:v>
      </x:c>
      <x:c r="N39" s="26" t="n">
        <x:v>0</x:v>
      </x:c>
      <x:c r="O39" s="26" t="n">
        <x:v>116.85</x:v>
      </x:c>
      <x:c r="P39" s="26" t="n">
        <x:v>28.42</x:v>
      </x:c>
      <x:c r="Q39" s="26" t="n">
        <x:v>53.69</x:v>
      </x:c>
      <x:c r="R39" s="26" t="n">
        <x:v>66.32</x:v>
      </x:c>
      <x:c r="S39" s="26" t="n">
        <x:v>577.93</x:v>
      </x:c>
    </x:row>
    <x:row r="40">
      <x:c r="A40" t="n">
        <x:v>500037</x:v>
      </x:c>
      <x:c r="B40" s="24" t="n">
        <x:v>45683</x:v>
      </x:c>
      <x:c r="C40" t="n">
        <x:v>1070</x:v>
      </x:c>
      <x:c r="D40" t="str">
        <x:v>Seller 1070</x:v>
      </x:c>
      <x:c r="E40" t="str">
        <x:v>Bronze</x:v>
      </x:c>
      <x:c r="F40" t="str">
        <x:v>West</x:v>
      </x:c>
      <x:c r="G40" t="str">
        <x:v>Home &amp; Kitchen</x:v>
      </x:c>
      <x:c r="H40" t="n">
        <x:v>1</x:v>
      </x:c>
      <x:c r="I40" s="26" t="n">
        <x:v>4943.4</x:v>
      </x:c>
      <x:c r="J40" s="26" t="n">
        <x:v>3240.6</x:v>
      </x:c>
      <x:c r="K40" s="28" t="n">
        <x:v>0.1347</x:v>
      </x:c>
      <x:c r="L40" s="26" t="n">
        <x:v>436.51</x:v>
      </x:c>
      <x:c r="M40" t="n">
        <x:v>0</x:v>
      </x:c>
      <x:c r="N40" s="26" t="n">
        <x:v>0</x:v>
      </x:c>
      <x:c r="O40" s="26" t="n">
        <x:v>59.95</x:v>
      </x:c>
      <x:c r="P40" s="26" t="n">
        <x:v>14.58</x:v>
      </x:c>
      <x:c r="Q40" s="26" t="n">
        <x:v>27.55</x:v>
      </x:c>
      <x:c r="R40" s="26" t="n">
        <x:v>34.03</x:v>
      </x:c>
      <x:c r="S40" s="26" t="n">
        <x:v>300.4</x:v>
      </x:c>
    </x:row>
    <x:row r="41">
      <x:c r="A41" t="n">
        <x:v>500038</x:v>
      </x:c>
      <x:c r="B41" s="24" t="n">
        <x:v>45676</x:v>
      </x:c>
      <x:c r="C41" t="n">
        <x:v>1052</x:v>
      </x:c>
      <x:c r="D41" t="str">
        <x:v>Seller 1052</x:v>
      </x:c>
      <x:c r="E41" t="str">
        <x:v>Silver</x:v>
      </x:c>
      <x:c r="F41" t="str">
        <x:v>Central</x:v>
      </x:c>
      <x:c r="G41" t="str">
        <x:v>Pet Supplies</x:v>
      </x:c>
      <x:c r="H41" t="n">
        <x:v>3</x:v>
      </x:c>
      <x:c r="I41" s="26" t="n">
        <x:v>567.6</x:v>
      </x:c>
      <x:c r="J41" s="26" t="n">
        <x:v>1585.2</x:v>
      </x:c>
      <x:c r="K41" s="28" t="n">
        <x:v>0.1435</x:v>
      </x:c>
      <x:c r="L41" s="26" t="n">
        <x:v>227.48</x:v>
      </x:c>
      <x:c r="M41" t="n">
        <x:v>0</x:v>
      </x:c>
      <x:c r="N41" s="26" t="n">
        <x:v>0</x:v>
      </x:c>
      <x:c r="O41" s="26" t="n">
        <x:v>29.33</x:v>
      </x:c>
      <x:c r="P41" s="26" t="n">
        <x:v>7.13</x:v>
      </x:c>
      <x:c r="Q41" s="26" t="n">
        <x:v>13.47</x:v>
      </x:c>
      <x:c r="R41" s="26" t="n">
        <x:v>16.64</x:v>
      </x:c>
      <x:c r="S41" s="26" t="n">
        <x:v>160.9</x:v>
      </x:c>
    </x:row>
    <x:row r="42">
      <x:c r="A42" t="n">
        <x:v>500039</x:v>
      </x:c>
      <x:c r="B42" s="24" t="n">
        <x:v>45668</x:v>
      </x:c>
      <x:c r="C42" t="n">
        <x:v>1073</x:v>
      </x:c>
      <x:c r="D42" t="str">
        <x:v>Seller 1073</x:v>
      </x:c>
      <x:c r="E42" t="str">
        <x:v>Bronze</x:v>
      </x:c>
      <x:c r="F42" t="str">
        <x:v>Central</x:v>
      </x:c>
      <x:c r="G42" t="str">
        <x:v>Electronics</x:v>
      </x:c>
      <x:c r="H42" t="n">
        <x:v>3</x:v>
      </x:c>
      <x:c r="I42" s="26" t="n">
        <x:v>3270.6</x:v>
      </x:c>
      <x:c r="J42" s="26" t="n">
        <x:v>6432.6</x:v>
      </x:c>
      <x:c r="K42" s="28" t="n">
        <x:v>0.1338</x:v>
      </x:c>
      <x:c r="L42" s="26" t="n">
        <x:v>860.68</x:v>
      </x:c>
      <x:c r="M42" t="n">
        <x:v>0</x:v>
      </x:c>
      <x:c r="N42" s="26" t="n">
        <x:v>0</x:v>
      </x:c>
      <x:c r="O42" s="26" t="n">
        <x:v>119</x:v>
      </x:c>
      <x:c r="P42" s="26" t="n">
        <x:v>28.95</x:v>
      </x:c>
      <x:c r="Q42" s="26" t="n">
        <x:v>54.68</x:v>
      </x:c>
      <x:c r="R42" s="26" t="n">
        <x:v>67.54</x:v>
      </x:c>
      <x:c r="S42" s="26" t="n">
        <x:v>590.51</x:v>
      </x:c>
    </x:row>
    <x:row r="43">
      <x:c r="A43" t="n">
        <x:v>500040</x:v>
      </x:c>
      <x:c r="B43" s="24" t="n">
        <x:v>45684</x:v>
      </x:c>
      <x:c r="C43" t="n">
        <x:v>1028</x:v>
      </x:c>
      <x:c r="D43" t="str">
        <x:v>Seller 1028</x:v>
      </x:c>
      <x:c r="E43" t="str">
        <x:v>Gold</x:v>
      </x:c>
      <x:c r="F43" t="str">
        <x:v>Central</x:v>
      </x:c>
      <x:c r="G43" t="str">
        <x:v>Sports</x:v>
      </x:c>
      <x:c r="H43" t="n">
        <x:v>1</x:v>
      </x:c>
      <x:c r="I43" s="26" t="n">
        <x:v>5200.2</x:v>
      </x:c>
      <x:c r="J43" s="26" t="n">
        <x:v>6323.4</x:v>
      </x:c>
      <x:c r="K43" s="28" t="n">
        <x:v>0.1227</x:v>
      </x:c>
      <x:c r="L43" s="26" t="n">
        <x:v>775.88</x:v>
      </x:c>
      <x:c r="M43" t="n">
        <x:v>0</x:v>
      </x:c>
      <x:c r="N43" s="26" t="n">
        <x:v>0</x:v>
      </x:c>
      <x:c r="O43" s="26" t="n">
        <x:v>116.98</x:v>
      </x:c>
      <x:c r="P43" s="26" t="n">
        <x:v>28.46</x:v>
      </x:c>
      <x:c r="Q43" s="26" t="n">
        <x:v>53.75</x:v>
      </x:c>
      <x:c r="R43" s="26" t="n">
        <x:v>66.4</x:v>
      </x:c>
      <x:c r="S43" s="26" t="n">
        <x:v>510.3</x:v>
      </x:c>
    </x:row>
    <x:row r="44">
      <x:c r="A44" t="n">
        <x:v>500041</x:v>
      </x:c>
      <x:c r="B44" s="24" t="n">
        <x:v>45678</x:v>
      </x:c>
      <x:c r="C44" t="n">
        <x:v>1011</x:v>
      </x:c>
      <x:c r="D44" t="str">
        <x:v>Seller 1011</x:v>
      </x:c>
      <x:c r="E44" t="str">
        <x:v>Platinum</x:v>
      </x:c>
      <x:c r="F44" t="str">
        <x:v>West</x:v>
      </x:c>
      <x:c r="G44" t="str">
        <x:v>Electronics</x:v>
      </x:c>
      <x:c r="H44" t="n">
        <x:v>2</x:v>
      </x:c>
      <x:c r="I44" s="26" t="n">
        <x:v>4122.599999999999</x:v>
      </x:c>
      <x:c r="J44" s="26" t="n">
        <x:v>13512.6</x:v>
      </x:c>
      <x:c r="K44" s="28" t="n">
        <x:v>0.1358</x:v>
      </x:c>
      <x:c r="L44" s="26" t="n">
        <x:v>1835.01</x:v>
      </x:c>
      <x:c r="M44" t="n">
        <x:v>0</x:v>
      </x:c>
      <x:c r="N44" s="26" t="n">
        <x:v>0</x:v>
      </x:c>
      <x:c r="O44" s="26" t="n">
        <x:v>249.98</x:v>
      </x:c>
      <x:c r="P44" s="26" t="n">
        <x:v>60.81</x:v>
      </x:c>
      <x:c r="Q44" s="26" t="n">
        <x:v>114.86</x:v>
      </x:c>
      <x:c r="R44" s="26" t="n">
        <x:v>141.88</x:v>
      </x:c>
      <x:c r="S44" s="26" t="n">
        <x:v>1267.48</x:v>
      </x:c>
    </x:row>
    <x:row r="45">
      <x:c r="A45" t="n">
        <x:v>500042</x:v>
      </x:c>
      <x:c r="B45" s="24" t="n">
        <x:v>45676</x:v>
      </x:c>
      <x:c r="C45" t="n">
        <x:v>1006</x:v>
      </x:c>
      <x:c r="D45" t="str">
        <x:v>Seller 1006</x:v>
      </x:c>
      <x:c r="E45" t="str">
        <x:v>Platinum</x:v>
      </x:c>
      <x:c r="F45" t="str">
        <x:v>East</x:v>
      </x:c>
      <x:c r="G45" t="str">
        <x:v>Home &amp; Kitchen</x:v>
      </x:c>
      <x:c r="H45" t="n">
        <x:v>2</x:v>
      </x:c>
      <x:c r="I45" s="26" t="n">
        <x:v>2535.6</x:v>
      </x:c>
      <x:c r="J45" s="26" t="n">
        <x:v>8312.4</x:v>
      </x:c>
      <x:c r="K45" s="28" t="n">
        <x:v>0.1267</x:v>
      </x:c>
      <x:c r="L45" s="26" t="n">
        <x:v>1053.18</x:v>
      </x:c>
      <x:c r="M45" t="n">
        <x:v>0</x:v>
      </x:c>
      <x:c r="N45" s="26" t="n">
        <x:v>0</x:v>
      </x:c>
      <x:c r="O45" s="26" t="n">
        <x:v>153.78</x:v>
      </x:c>
      <x:c r="P45" s="26" t="n">
        <x:v>37.41</x:v>
      </x:c>
      <x:c r="Q45" s="26" t="n">
        <x:v>70.66</x:v>
      </x:c>
      <x:c r="R45" s="26" t="n">
        <x:v>87.28</x:v>
      </x:c>
      <x:c r="S45" s="26" t="n">
        <x:v>704.06</x:v>
      </x:c>
    </x:row>
    <x:row r="46">
      <x:c r="A46" t="n">
        <x:v>500043</x:v>
      </x:c>
      <x:c r="B46" s="24" t="n">
        <x:v>45682</x:v>
      </x:c>
      <x:c r="C46" t="n">
        <x:v>1028</x:v>
      </x:c>
      <x:c r="D46" t="str">
        <x:v>Seller 1028</x:v>
      </x:c>
      <x:c r="E46" t="str">
        <x:v>Gold</x:v>
      </x:c>
      <x:c r="F46" t="str">
        <x:v>Central</x:v>
      </x:c>
      <x:c r="G46" t="str">
        <x:v>Sports</x:v>
      </x:c>
      <x:c r="H46" t="n">
        <x:v>2</x:v>
      </x:c>
      <x:c r="I46" s="26" t="n">
        <x:v>2629.7999999999997</x:v>
      </x:c>
      <x:c r="J46" s="26" t="n">
        <x:v>6395.4</x:v>
      </x:c>
      <x:c r="K46" s="28" t="n">
        <x:v>0.1305</x:v>
      </x:c>
      <x:c r="L46" s="26" t="n">
        <x:v>834.6</x:v>
      </x:c>
      <x:c r="M46" t="n">
        <x:v>0</x:v>
      </x:c>
      <x:c r="N46" s="26" t="n">
        <x:v>0</x:v>
      </x:c>
      <x:c r="O46" s="26" t="n">
        <x:v>118.31</x:v>
      </x:c>
      <x:c r="P46" s="26" t="n">
        <x:v>28.78</x:v>
      </x:c>
      <x:c r="Q46" s="26" t="n">
        <x:v>54.36</x:v>
      </x:c>
      <x:c r="R46" s="26" t="n">
        <x:v>67.15</x:v>
      </x:c>
      <x:c r="S46" s="26" t="n">
        <x:v>565.99</x:v>
      </x:c>
    </x:row>
    <x:row r="47">
      <x:c r="A47" t="n">
        <x:v>500044</x:v>
      </x:c>
      <x:c r="B47" s="24" t="n">
        <x:v>45680</x:v>
      </x:c>
      <x:c r="C47" t="n">
        <x:v>1021</x:v>
      </x:c>
      <x:c r="D47" t="str">
        <x:v>Seller 1021</x:v>
      </x:c>
      <x:c r="E47" t="str">
        <x:v>Gold</x:v>
      </x:c>
      <x:c r="F47" t="str">
        <x:v>Central</x:v>
      </x:c>
      <x:c r="G47" t="str">
        <x:v>Electronics</x:v>
      </x:c>
      <x:c r="H47" t="n">
        <x:v>1</x:v>
      </x:c>
      <x:c r="I47" s="26" t="n">
        <x:v>7940.400000000001</x:v>
      </x:c>
      <x:c r="J47" s="26" t="n">
        <x:v>9655.8</x:v>
      </x:c>
      <x:c r="K47" s="28" t="n">
        <x:v>0.1268</x:v>
      </x:c>
      <x:c r="L47" s="26" t="n">
        <x:v>1224.36</x:v>
      </x:c>
      <x:c r="M47" t="n">
        <x:v>0</x:v>
      </x:c>
      <x:c r="N47" s="26" t="n">
        <x:v>0</x:v>
      </x:c>
      <x:c r="O47" s="26" t="n">
        <x:v>178.63</x:v>
      </x:c>
      <x:c r="P47" s="26" t="n">
        <x:v>43.45</x:v>
      </x:c>
      <x:c r="Q47" s="26" t="n">
        <x:v>82.07</x:v>
      </x:c>
      <x:c r="R47" s="26" t="n">
        <x:v>101.39</x:v>
      </x:c>
      <x:c r="S47" s="26" t="n">
        <x:v>818.81</x:v>
      </x:c>
    </x:row>
    <x:row r="48">
      <x:c r="A48" t="n">
        <x:v>500045</x:v>
      </x:c>
      <x:c r="B48" s="24" t="n">
        <x:v>45677</x:v>
      </x:c>
      <x:c r="C48" t="n">
        <x:v>1026</x:v>
      </x:c>
      <x:c r="D48" t="str">
        <x:v>Seller 1026</x:v>
      </x:c>
      <x:c r="E48" t="str">
        <x:v>Gold</x:v>
      </x:c>
      <x:c r="F48" t="str">
        <x:v>East</x:v>
      </x:c>
      <x:c r="G48" t="str">
        <x:v>Home &amp; Kitchen</x:v>
      </x:c>
      <x:c r="H48" t="n">
        <x:v>2</x:v>
      </x:c>
      <x:c r="I48" s="26" t="n">
        <x:v>1945.2</x:v>
      </x:c>
      <x:c r="J48" s="26" t="n">
        <x:v>4730.4</x:v>
      </x:c>
      <x:c r="K48" s="28" t="n">
        <x:v>0.1254</x:v>
      </x:c>
      <x:c r="L48" s="26" t="n">
        <x:v>593.19</x:v>
      </x:c>
      <x:c r="M48" t="n">
        <x:v>0</x:v>
      </x:c>
      <x:c r="N48" s="26" t="n">
        <x:v>0</x:v>
      </x:c>
      <x:c r="O48" s="26" t="n">
        <x:v>87.51</x:v>
      </x:c>
      <x:c r="P48" s="26" t="n">
        <x:v>21.29</x:v>
      </x:c>
      <x:c r="Q48" s="26" t="n">
        <x:v>40.21</x:v>
      </x:c>
      <x:c r="R48" s="26" t="n">
        <x:v>49.67</x:v>
      </x:c>
      <x:c r="S48" s="26" t="n">
        <x:v>394.52</x:v>
      </x:c>
    </x:row>
    <x:row r="49">
      <x:c r="A49" t="n">
        <x:v>500046</x:v>
      </x:c>
      <x:c r="B49" s="24" t="n">
        <x:v>45668</x:v>
      </x:c>
      <x:c r="C49" t="n">
        <x:v>1016</x:v>
      </x:c>
      <x:c r="D49" t="str">
        <x:v>Seller 1016</x:v>
      </x:c>
      <x:c r="E49" t="str">
        <x:v>Gold</x:v>
      </x:c>
      <x:c r="F49" t="str">
        <x:v>West</x:v>
      </x:c>
      <x:c r="G49" t="str">
        <x:v>Sports</x:v>
      </x:c>
      <x:c r="H49" t="n">
        <x:v>2</x:v>
      </x:c>
      <x:c r="I49" s="26" t="n">
        <x:v>1950</x:v>
      </x:c>
      <x:c r="J49" s="26" t="n">
        <x:v>4743</x:v>
      </x:c>
      <x:c r="K49" s="28" t="n">
        <x:v>0.1263</x:v>
      </x:c>
      <x:c r="L49" s="26" t="n">
        <x:v>599.04</x:v>
      </x:c>
      <x:c r="M49" t="n">
        <x:v>0</x:v>
      </x:c>
      <x:c r="N49" s="26" t="n">
        <x:v>0</x:v>
      </x:c>
      <x:c r="O49" s="26" t="n">
        <x:v>87.75</x:v>
      </x:c>
      <x:c r="P49" s="26" t="n">
        <x:v>21.34</x:v>
      </x:c>
      <x:c r="Q49" s="26" t="n">
        <x:v>40.32</x:v>
      </x:c>
      <x:c r="R49" s="26" t="n">
        <x:v>49.8</x:v>
      </x:c>
      <x:c r="S49" s="26" t="n">
        <x:v>399.83</x:v>
      </x:c>
    </x:row>
    <x:row r="50">
      <x:c r="A50" t="n">
        <x:v>500047</x:v>
      </x:c>
      <x:c r="B50" s="24" t="n">
        <x:v>45671</x:v>
      </x:c>
      <x:c r="C50" t="n">
        <x:v>1002</x:v>
      </x:c>
      <x:c r="D50" t="str">
        <x:v>Seller 1002</x:v>
      </x:c>
      <x:c r="E50" t="str">
        <x:v>Platinum</x:v>
      </x:c>
      <x:c r="F50" t="str">
        <x:v>Central</x:v>
      </x:c>
      <x:c r="G50" t="str">
        <x:v>Apparel</x:v>
      </x:c>
      <x:c r="H50" t="n">
        <x:v>4</x:v>
      </x:c>
      <x:c r="I50" s="26" t="n">
        <x:v>1441.2</x:v>
      </x:c>
      <x:c r="J50" s="26" t="n">
        <x:v>9448.8</x:v>
      </x:c>
      <x:c r="K50" s="28" t="n">
        <x:v>0.1233</x:v>
      </x:c>
      <x:c r="L50" s="26" t="n">
        <x:v>1165.04</x:v>
      </x:c>
      <x:c r="M50" t="n">
        <x:v>0</x:v>
      </x:c>
      <x:c r="N50" s="26" t="n">
        <x:v>0</x:v>
      </x:c>
      <x:c r="O50" s="26" t="n">
        <x:v>174.8</x:v>
      </x:c>
      <x:c r="P50" s="26" t="n">
        <x:v>42.52</x:v>
      </x:c>
      <x:c r="Q50" s="26" t="n">
        <x:v>80.31</x:v>
      </x:c>
      <x:c r="R50" s="26" t="n">
        <x:v>99.21</x:v>
      </x:c>
      <x:c r="S50" s="26" t="n">
        <x:v>768.19</x:v>
      </x:c>
    </x:row>
    <x:row r="51">
      <x:c r="A51" t="n">
        <x:v>500048</x:v>
      </x:c>
      <x:c r="B51" s="24" t="n">
        <x:v>45671</x:v>
      </x:c>
      <x:c r="C51" t="n">
        <x:v>1023</x:v>
      </x:c>
      <x:c r="D51" t="str">
        <x:v>Seller 1023</x:v>
      </x:c>
      <x:c r="E51" t="str">
        <x:v>Gold</x:v>
      </x:c>
      <x:c r="F51" t="str">
        <x:v>Central</x:v>
      </x:c>
      <x:c r="G51" t="str">
        <x:v>Home &amp; Kitchen</x:v>
      </x:c>
      <x:c r="H51" t="n">
        <x:v>3</x:v>
      </x:c>
      <x:c r="I51" s="26" t="n">
        <x:v>1572.6000000000001</x:v>
      </x:c>
      <x:c r="J51" s="26" t="n">
        <x:v>5737.2</x:v>
      </x:c>
      <x:c r="K51" s="28" t="n">
        <x:v>0.1424</x:v>
      </x:c>
      <x:c r="L51" s="26" t="n">
        <x:v>816.98</x:v>
      </x:c>
      <x:c r="M51" t="n">
        <x:v>0</x:v>
      </x:c>
      <x:c r="N51" s="26" t="n">
        <x:v>0</x:v>
      </x:c>
      <x:c r="O51" s="26" t="n">
        <x:v>106.14</x:v>
      </x:c>
      <x:c r="P51" s="26" t="n">
        <x:v>25.82</x:v>
      </x:c>
      <x:c r="Q51" s="26" t="n">
        <x:v>48.77</x:v>
      </x:c>
      <x:c r="R51" s="26" t="n">
        <x:v>60.24</x:v>
      </x:c>
      <x:c r="S51" s="26" t="n">
        <x:v>576.01</x:v>
      </x:c>
    </x:row>
    <x:row r="52">
      <x:c r="A52" t="n">
        <x:v>500049</x:v>
      </x:c>
      <x:c r="B52" s="24" t="n">
        <x:v>45672</x:v>
      </x:c>
      <x:c r="C52" t="n">
        <x:v>1076</x:v>
      </x:c>
      <x:c r="D52" t="str">
        <x:v>Seller 1076</x:v>
      </x:c>
      <x:c r="E52" t="str">
        <x:v>Bronze</x:v>
      </x:c>
      <x:c r="F52" t="str">
        <x:v>Central</x:v>
      </x:c>
      <x:c r="G52" t="str">
        <x:v>Home &amp; Kitchen</x:v>
      </x:c>
      <x:c r="H52" t="n">
        <x:v>3</x:v>
      </x:c>
      <x:c r="I52" s="26" t="n">
        <x:v>1044.6</x:v>
      </x:c>
      <x:c r="J52" s="26" t="n">
        <x:v>2054.4</x:v>
      </x:c>
      <x:c r="K52" s="28" t="n">
        <x:v>0.1251</x:v>
      </x:c>
      <x:c r="L52" s="26" t="n">
        <x:v>257.01</x:v>
      </x:c>
      <x:c r="M52" t="n">
        <x:v>0</x:v>
      </x:c>
      <x:c r="N52" s="26" t="n">
        <x:v>0</x:v>
      </x:c>
      <x:c r="O52" s="26" t="n">
        <x:v>38.01</x:v>
      </x:c>
      <x:c r="P52" s="26" t="n">
        <x:v>9.24</x:v>
      </x:c>
      <x:c r="Q52" s="26" t="n">
        <x:v>17.46</x:v>
      </x:c>
      <x:c r="R52" s="26" t="n">
        <x:v>21.57</x:v>
      </x:c>
      <x:c r="S52" s="26" t="n">
        <x:v>170.72</x:v>
      </x:c>
    </x:row>
    <x:row r="53">
      <x:c r="A53" t="n">
        <x:v>500050</x:v>
      </x:c>
      <x:c r="B53" s="24" t="n">
        <x:v>45683</x:v>
      </x:c>
      <x:c r="C53" t="n">
        <x:v>1073</x:v>
      </x:c>
      <x:c r="D53" t="str">
        <x:v>Seller 1073</x:v>
      </x:c>
      <x:c r="E53" t="str">
        <x:v>Bronze</x:v>
      </x:c>
      <x:c r="F53" t="str">
        <x:v>Central</x:v>
      </x:c>
      <x:c r="G53" t="str">
        <x:v>Electronics</x:v>
      </x:c>
      <x:c r="H53" t="n">
        <x:v>2</x:v>
      </x:c>
      <x:c r="I53" s="26" t="n">
        <x:v>4465.8</x:v>
      </x:c>
      <x:c r="J53" s="26" t="n">
        <x:v>5855.4</x:v>
      </x:c>
      <x:c r="K53" s="28" t="n">
        <x:v>0.1334</x:v>
      </x:c>
      <x:c r="L53" s="26" t="n">
        <x:v>781.11</x:v>
      </x:c>
      <x:c r="M53" t="n">
        <x:v>0</x:v>
      </x:c>
      <x:c r="N53" s="26" t="n">
        <x:v>0</x:v>
      </x:c>
      <x:c r="O53" s="26" t="n">
        <x:v>108.32</x:v>
      </x:c>
      <x:c r="P53" s="26" t="n">
        <x:v>26.35</x:v>
      </x:c>
      <x:c r="Q53" s="26" t="n">
        <x:v>49.77</x:v>
      </x:c>
      <x:c r="R53" s="26" t="n">
        <x:v>61.48</x:v>
      </x:c>
      <x:c r="S53" s="26" t="n">
        <x:v>535.18</x:v>
      </x:c>
    </x:row>
    <x:row r="54">
      <x:c r="A54" t="n">
        <x:v>500051</x:v>
      </x:c>
      <x:c r="B54" s="24" t="n">
        <x:v>45660</x:v>
      </x:c>
      <x:c r="C54" t="n">
        <x:v>1034</x:v>
      </x:c>
      <x:c r="D54" t="str">
        <x:v>Seller 1034</x:v>
      </x:c>
      <x:c r="E54" t="str">
        <x:v>Silver</x:v>
      </x:c>
      <x:c r="F54" t="str">
        <x:v>Central</x:v>
      </x:c>
      <x:c r="G54" t="str">
        <x:v>Sports</x:v>
      </x:c>
      <x:c r="H54" t="n">
        <x:v>3</x:v>
      </x:c>
      <x:c r="I54" s="26" t="n">
        <x:v>1132.8</x:v>
      </x:c>
      <x:c r="J54" s="26" t="n">
        <x:v>3162</x:v>
      </x:c>
      <x:c r="K54" s="28" t="n">
        <x:v>0.1226</x:v>
      </x:c>
      <x:c r="L54" s="26" t="n">
        <x:v>387.66</x:v>
      </x:c>
      <x:c r="M54" t="n">
        <x:v>0</x:v>
      </x:c>
      <x:c r="N54" s="26" t="n">
        <x:v>0</x:v>
      </x:c>
      <x:c r="O54" s="26" t="n">
        <x:v>58.5</x:v>
      </x:c>
      <x:c r="P54" s="26" t="n">
        <x:v>14.23</x:v>
      </x:c>
      <x:c r="Q54" s="26" t="n">
        <x:v>26.88</x:v>
      </x:c>
      <x:c r="R54" s="26" t="n">
        <x:v>33.2</x:v>
      </x:c>
      <x:c r="S54" s="26" t="n">
        <x:v>254.86</x:v>
      </x:c>
    </x:row>
    <x:row r="55">
      <x:c r="A55" t="n">
        <x:v>500052</x:v>
      </x:c>
      <x:c r="B55" s="24" t="n">
        <x:v>45683</x:v>
      </x:c>
      <x:c r="C55" t="n">
        <x:v>1031</x:v>
      </x:c>
      <x:c r="D55" t="str">
        <x:v>Seller 1031</x:v>
      </x:c>
      <x:c r="E55" t="str">
        <x:v>Silver</x:v>
      </x:c>
      <x:c r="F55" t="str">
        <x:v>West</x:v>
      </x:c>
      <x:c r="G55" t="str">
        <x:v>Home &amp; Kitchen</x:v>
      </x:c>
      <x:c r="H55" t="n">
        <x:v>1</x:v>
      </x:c>
      <x:c r="I55" s="26" t="n">
        <x:v>4967.400000000001</x:v>
      </x:c>
      <x:c r="J55" s="26" t="n">
        <x:v>4622.4</x:v>
      </x:c>
      <x:c r="K55" s="28" t="n">
        <x:v>0.1396</x:v>
      </x:c>
      <x:c r="L55" s="26" t="n">
        <x:v>645.29</x:v>
      </x:c>
      <x:c r="M55" t="n">
        <x:v>0</x:v>
      </x:c>
      <x:c r="N55" s="26" t="n">
        <x:v>0</x:v>
      </x:c>
      <x:c r="O55" s="26" t="n">
        <x:v>85.51</x:v>
      </x:c>
      <x:c r="P55" s="26" t="n">
        <x:v>20.8</x:v>
      </x:c>
      <x:c r="Q55" s="26" t="n">
        <x:v>39.29</x:v>
      </x:c>
      <x:c r="R55" s="26" t="n">
        <x:v>48.54</x:v>
      </x:c>
      <x:c r="S55" s="26" t="n">
        <x:v>451.15</x:v>
      </x:c>
    </x:row>
    <x:row r="56">
      <x:c r="A56" t="n">
        <x:v>500053</x:v>
      </x:c>
      <x:c r="B56" s="24" t="n">
        <x:v>45674</x:v>
      </x:c>
      <x:c r="C56" t="n">
        <x:v>1003</x:v>
      </x:c>
      <x:c r="D56" t="str">
        <x:v>Seller 1003</x:v>
      </x:c>
      <x:c r="E56" t="str">
        <x:v>Platinum</x:v>
      </x:c>
      <x:c r="F56" t="str">
        <x:v>East</x:v>
      </x:c>
      <x:c r="G56" t="str">
        <x:v>Pet Supplies</x:v>
      </x:c>
      <x:c r="H56" t="n">
        <x:v>2</x:v>
      </x:c>
      <x:c r="I56" s="26" t="n">
        <x:v>1936.8000000000002</x:v>
      </x:c>
      <x:c r="J56" s="26" t="n">
        <x:v>6348.6</x:v>
      </x:c>
      <x:c r="K56" s="28" t="n">
        <x:v>0.1273</x:v>
      </x:c>
      <x:c r="L56" s="26" t="n">
        <x:v>808.18</x:v>
      </x:c>
      <x:c r="M56" t="n">
        <x:v>0</x:v>
      </x:c>
      <x:c r="N56" s="26" t="n">
        <x:v>0</x:v>
      </x:c>
      <x:c r="O56" s="26" t="n">
        <x:v>117.45</x:v>
      </x:c>
      <x:c r="P56" s="26" t="n">
        <x:v>28.57</x:v>
      </x:c>
      <x:c r="Q56" s="26" t="n">
        <x:v>53.96</x:v>
      </x:c>
      <x:c r="R56" s="26" t="n">
        <x:v>66.66</x:v>
      </x:c>
      <x:c r="S56" s="26" t="n">
        <x:v>541.54</x:v>
      </x:c>
    </x:row>
    <x:row r="57">
      <x:c r="A57" t="n">
        <x:v>500054</x:v>
      </x:c>
      <x:c r="B57" s="24" t="n">
        <x:v>45661</x:v>
      </x:c>
      <x:c r="C57" t="n">
        <x:v>1045</x:v>
      </x:c>
      <x:c r="D57" t="str">
        <x:v>Seller 1045</x:v>
      </x:c>
      <x:c r="E57" t="str">
        <x:v>Silver</x:v>
      </x:c>
      <x:c r="F57" t="str">
        <x:v>Central</x:v>
      </x:c>
      <x:c r="G57" t="str">
        <x:v>Home &amp; Kitchen</x:v>
      </x:c>
      <x:c r="H57" t="n">
        <x:v>2</x:v>
      </x:c>
      <x:c r="I57" s="26" t="n">
        <x:v>2107.2</x:v>
      </x:c>
      <x:c r="J57" s="26" t="n">
        <x:v>3921.6</x:v>
      </x:c>
      <x:c r="K57" s="28" t="n">
        <x:v>0.1399</x:v>
      </x:c>
      <x:c r="L57" s="26" t="n">
        <x:v>548.63</x:v>
      </x:c>
      <x:c r="M57" t="n">
        <x:v>0</x:v>
      </x:c>
      <x:c r="N57" s="26" t="n">
        <x:v>0</x:v>
      </x:c>
      <x:c r="O57" s="26" t="n">
        <x:v>72.55</x:v>
      </x:c>
      <x:c r="P57" s="26" t="n">
        <x:v>17.65</x:v>
      </x:c>
      <x:c r="Q57" s="26" t="n">
        <x:v>33.33</x:v>
      </x:c>
      <x:c r="R57" s="26" t="n">
        <x:v>41.18</x:v>
      </x:c>
      <x:c r="S57" s="26" t="n">
        <x:v>383.92</x:v>
      </x:c>
    </x:row>
    <x:row r="58">
      <x:c r="A58" t="n">
        <x:v>500055</x:v>
      </x:c>
      <x:c r="B58" s="24" t="n">
        <x:v>45666</x:v>
      </x:c>
      <x:c r="C58" t="n">
        <x:v>1025</x:v>
      </x:c>
      <x:c r="D58" t="str">
        <x:v>Seller 1025</x:v>
      </x:c>
      <x:c r="E58" t="str">
        <x:v>Gold</x:v>
      </x:c>
      <x:c r="F58" t="str">
        <x:v>Central</x:v>
      </x:c>
      <x:c r="G58" t="str">
        <x:v>Pet Supplies</x:v>
      </x:c>
      <x:c r="H58" t="n">
        <x:v>2</x:v>
      </x:c>
      <x:c r="I58" s="26" t="n">
        <x:v>948</x:v>
      </x:c>
      <x:c r="J58" s="26" t="n">
        <x:v>2305.2</x:v>
      </x:c>
      <x:c r="K58" s="28" t="n">
        <x:v>0.1366</x:v>
      </x:c>
      <x:c r="L58" s="26" t="n">
        <x:v>314.89</x:v>
      </x:c>
      <x:c r="M58" t="n">
        <x:v>0</x:v>
      </x:c>
      <x:c r="N58" s="26" t="n">
        <x:v>0</x:v>
      </x:c>
      <x:c r="O58" s="26" t="n">
        <x:v>42.65</x:v>
      </x:c>
      <x:c r="P58" s="26" t="n">
        <x:v>10.37</x:v>
      </x:c>
      <x:c r="Q58" s="26" t="n">
        <x:v>19.59</x:v>
      </x:c>
      <x:c r="R58" s="26" t="n">
        <x:v>24.2</x:v>
      </x:c>
      <x:c r="S58" s="26" t="n">
        <x:v>218.07</x:v>
      </x:c>
    </x:row>
    <x:row r="59">
      <x:c r="A59" t="n">
        <x:v>500056</x:v>
      </x:c>
      <x:c r="B59" s="24" t="n">
        <x:v>45667</x:v>
      </x:c>
      <x:c r="C59" t="n">
        <x:v>1076</x:v>
      </x:c>
      <x:c r="D59" t="str">
        <x:v>Seller 1076</x:v>
      </x:c>
      <x:c r="E59" t="str">
        <x:v>Bronze</x:v>
      </x:c>
      <x:c r="F59" t="str">
        <x:v>Central</x:v>
      </x:c>
      <x:c r="G59" t="str">
        <x:v>Sports</x:v>
      </x:c>
      <x:c r="H59" t="n">
        <x:v>1</x:v>
      </x:c>
      <x:c r="I59" s="26" t="n">
        <x:v>3975</x:v>
      </x:c>
      <x:c r="J59" s="26" t="n">
        <x:v>2605.8</x:v>
      </x:c>
      <x:c r="K59" s="28" t="n">
        <x:v>0.136</x:v>
      </x:c>
      <x:c r="L59" s="26" t="n">
        <x:v>354.39</x:v>
      </x:c>
      <x:c r="M59" t="n">
        <x:v>0</x:v>
      </x:c>
      <x:c r="N59" s="26" t="n">
        <x:v>0</x:v>
      </x:c>
      <x:c r="O59" s="26" t="n">
        <x:v>48.21</x:v>
      </x:c>
      <x:c r="P59" s="26" t="n">
        <x:v>11.73</x:v>
      </x:c>
      <x:c r="Q59" s="26" t="n">
        <x:v>22.15</x:v>
      </x:c>
      <x:c r="R59" s="26" t="n">
        <x:v>27.36</x:v>
      </x:c>
      <x:c r="S59" s="26" t="n">
        <x:v>244.95</x:v>
      </x:c>
    </x:row>
    <x:row r="60">
      <x:c r="A60" t="n">
        <x:v>500057</x:v>
      </x:c>
      <x:c r="B60" s="24" t="n">
        <x:v>45678</x:v>
      </x:c>
      <x:c r="C60" t="n">
        <x:v>1002</x:v>
      </x:c>
      <x:c r="D60" t="str">
        <x:v>Seller 1002</x:v>
      </x:c>
      <x:c r="E60" t="str">
        <x:v>Platinum</x:v>
      </x:c>
      <x:c r="F60" t="str">
        <x:v>Central</x:v>
      </x:c>
      <x:c r="G60" t="str">
        <x:v>Home &amp; Kitchen</x:v>
      </x:c>
      <x:c r="H60" t="n">
        <x:v>2</x:v>
      </x:c>
      <x:c r="I60" s="26" t="n">
        <x:v>2545.8</x:v>
      </x:c>
      <x:c r="J60" s="26" t="n">
        <x:v>8344.8</x:v>
      </x:c>
      <x:c r="K60" s="28" t="n">
        <x:v>0.1243</x:v>
      </x:c>
      <x:c r="L60" s="26" t="n">
        <x:v>1037.26</x:v>
      </x:c>
      <x:c r="M60" t="n">
        <x:v>0</x:v>
      </x:c>
      <x:c r="N60" s="26" t="n">
        <x:v>0</x:v>
      </x:c>
      <x:c r="O60" s="26" t="n">
        <x:v>154.38</x:v>
      </x:c>
      <x:c r="P60" s="26" t="n">
        <x:v>37.55</x:v>
      </x:c>
      <x:c r="Q60" s="26" t="n">
        <x:v>70.93</x:v>
      </x:c>
      <x:c r="R60" s="26" t="n">
        <x:v>87.62</x:v>
      </x:c>
      <x:c r="S60" s="26" t="n">
        <x:v>686.78</x:v>
      </x:c>
    </x:row>
    <x:row r="61">
      <x:c r="A61" t="n">
        <x:v>500058</x:v>
      </x:c>
      <x:c r="B61" s="24" t="n">
        <x:v>45666</x:v>
      </x:c>
      <x:c r="C61" t="n">
        <x:v>1063</x:v>
      </x:c>
      <x:c r="D61" t="str">
        <x:v>Seller 1063</x:v>
      </x:c>
      <x:c r="E61" t="str">
        <x:v>Bronze</x:v>
      </x:c>
      <x:c r="F61" t="str">
        <x:v>West</x:v>
      </x:c>
      <x:c r="G61" t="str">
        <x:v>Pet Supplies</x:v>
      </x:c>
      <x:c r="H61" t="n">
        <x:v>3</x:v>
      </x:c>
      <x:c r="I61" s="26" t="n">
        <x:v>1056</x:v>
      </x:c>
      <x:c r="J61" s="26" t="n">
        <x:v>2076.6</x:v>
      </x:c>
      <x:c r="K61" s="28" t="n">
        <x:v>0.1315</x:v>
      </x:c>
      <x:c r="L61" s="26" t="n">
        <x:v>273.07</x:v>
      </x:c>
      <x:c r="M61" t="n">
        <x:v>0</x:v>
      </x:c>
      <x:c r="N61" s="26" t="n">
        <x:v>0</x:v>
      </x:c>
      <x:c r="O61" s="26" t="n">
        <x:v>38.42</x:v>
      </x:c>
      <x:c r="P61" s="26" t="n">
        <x:v>9.34</x:v>
      </x:c>
      <x:c r="Q61" s="26" t="n">
        <x:v>17.65</x:v>
      </x:c>
      <x:c r="R61" s="26" t="n">
        <x:v>21.8</x:v>
      </x:c>
      <x:c r="S61" s="26" t="n">
        <x:v>185.86</x:v>
      </x:c>
    </x:row>
    <x:row r="62">
      <x:c r="A62" t="n">
        <x:v>500059</x:v>
      </x:c>
      <x:c r="B62" s="24" t="n">
        <x:v>45683</x:v>
      </x:c>
      <x:c r="C62" t="n">
        <x:v>1062</x:v>
      </x:c>
      <x:c r="D62" t="str">
        <x:v>Seller 1062</x:v>
      </x:c>
      <x:c r="E62" t="str">
        <x:v>Bronze</x:v>
      </x:c>
      <x:c r="F62" t="str">
        <x:v>West</x:v>
      </x:c>
      <x:c r="G62" t="str">
        <x:v>Electronics</x:v>
      </x:c>
      <x:c r="H62" t="n">
        <x:v>3</x:v>
      </x:c>
      <x:c r="I62" s="26" t="n">
        <x:v>3223.2</x:v>
      </x:c>
      <x:c r="J62" s="26" t="n">
        <x:v>6339</x:v>
      </x:c>
      <x:c r="K62" s="28" t="n">
        <x:v>0.1268</x:v>
      </x:c>
      <x:c r="L62" s="26" t="n">
        <x:v>803.79</x:v>
      </x:c>
      <x:c r="M62" t="n">
        <x:v>0</x:v>
      </x:c>
      <x:c r="N62" s="26" t="n">
        <x:v>0</x:v>
      </x:c>
      <x:c r="O62" s="26" t="n">
        <x:v>117.27</x:v>
      </x:c>
      <x:c r="P62" s="26" t="n">
        <x:v>28.53</x:v>
      </x:c>
      <x:c r="Q62" s="26" t="n">
        <x:v>53.88</x:v>
      </x:c>
      <x:c r="R62" s="26" t="n">
        <x:v>66.56</x:v>
      </x:c>
      <x:c r="S62" s="26" t="n">
        <x:v>537.55</x:v>
      </x:c>
    </x:row>
    <x:row r="63">
      <x:c r="A63" t="n">
        <x:v>500060</x:v>
      </x:c>
      <x:c r="B63" s="24" t="n">
        <x:v>45665</x:v>
      </x:c>
      <x:c r="C63" t="n">
        <x:v>1073</x:v>
      </x:c>
      <x:c r="D63" t="str">
        <x:v>Seller 1073</x:v>
      </x:c>
      <x:c r="E63" t="str">
        <x:v>Bronze</x:v>
      </x:c>
      <x:c r="F63" t="str">
        <x:v>Central</x:v>
      </x:c>
      <x:c r="G63" t="str">
        <x:v>Electronics</x:v>
      </x:c>
      <x:c r="H63" t="n">
        <x:v>3</x:v>
      </x:c>
      <x:c r="I63" s="26" t="n">
        <x:v>2886.6</x:v>
      </x:c>
      <x:c r="J63" s="26" t="n">
        <x:v>5677.2</x:v>
      </x:c>
      <x:c r="K63" s="28" t="n">
        <x:v>0.1313</x:v>
      </x:c>
      <x:c r="L63" s="26" t="n">
        <x:v>745.42</x:v>
      </x:c>
      <x:c r="M63" t="n">
        <x:v>0</x:v>
      </x:c>
      <x:c r="N63" s="26" t="n">
        <x:v>0</x:v>
      </x:c>
      <x:c r="O63" s="26" t="n">
        <x:v>105.03</x:v>
      </x:c>
      <x:c r="P63" s="26" t="n">
        <x:v>25.55</x:v>
      </x:c>
      <x:c r="Q63" s="26" t="n">
        <x:v>48.26</x:v>
      </x:c>
      <x:c r="R63" s="26" t="n">
        <x:v>59.61</x:v>
      </x:c>
      <x:c r="S63" s="26" t="n">
        <x:v>506.97</x:v>
      </x:c>
    </x:row>
    <x:row r="64">
      <x:c r="A64" t="n">
        <x:v>500061</x:v>
      </x:c>
      <x:c r="B64" s="24" t="n">
        <x:v>45659</x:v>
      </x:c>
      <x:c r="C64" t="n">
        <x:v>1067</x:v>
      </x:c>
      <x:c r="D64" t="str">
        <x:v>Seller 1067</x:v>
      </x:c>
      <x:c r="E64" t="str">
        <x:v>Bronze</x:v>
      </x:c>
      <x:c r="F64" t="str">
        <x:v>South</x:v>
      </x:c>
      <x:c r="G64" t="str">
        <x:v>Beauty</x:v>
      </x:c>
      <x:c r="H64" t="n">
        <x:v>3</x:v>
      </x:c>
      <x:c r="I64" s="26" t="n">
        <x:v>783.6</x:v>
      </x:c>
      <x:c r="J64" s="26" t="n">
        <x:v>1540.8</x:v>
      </x:c>
      <x:c r="K64" s="28" t="n">
        <x:v>0.1471</x:v>
      </x:c>
      <x:c r="L64" s="26" t="n">
        <x:v>226.65</x:v>
      </x:c>
      <x:c r="M64" t="n">
        <x:v>0</x:v>
      </x:c>
      <x:c r="N64" s="26" t="n">
        <x:v>0</x:v>
      </x:c>
      <x:c r="O64" s="26" t="n">
        <x:v>28.5</x:v>
      </x:c>
      <x:c r="P64" s="26" t="n">
        <x:v>6.93</x:v>
      </x:c>
      <x:c r="Q64" s="26" t="n">
        <x:v>13.1</x:v>
      </x:c>
      <x:c r="R64" s="26" t="n">
        <x:v>16.18</x:v>
      </x:c>
      <x:c r="S64" s="26" t="n">
        <x:v>161.94</x:v>
      </x:c>
    </x:row>
    <x:row r="65">
      <x:c r="A65" t="n">
        <x:v>500062</x:v>
      </x:c>
      <x:c r="B65" s="24" t="n">
        <x:v>45663</x:v>
      </x:c>
      <x:c r="C65" t="n">
        <x:v>1079</x:v>
      </x:c>
      <x:c r="D65" t="str">
        <x:v>Seller 1079</x:v>
      </x:c>
      <x:c r="E65" t="str">
        <x:v>Bronze</x:v>
      </x:c>
      <x:c r="F65" t="str">
        <x:v>South</x:v>
      </x:c>
      <x:c r="G65" t="str">
        <x:v>Electronics</x:v>
      </x:c>
      <x:c r="H65" t="n">
        <x:v>3</x:v>
      </x:c>
      <x:c r="I65" s="26" t="n">
        <x:v>2746.2000000000003</x:v>
      </x:c>
      <x:c r="J65" s="26" t="n">
        <x:v>5401.2</x:v>
      </x:c>
      <x:c r="K65" s="28" t="n">
        <x:v>0.1181</x:v>
      </x:c>
      <x:c r="L65" s="26" t="n">
        <x:v>637.88</x:v>
      </x:c>
      <x:c r="M65" t="n">
        <x:v>0</x:v>
      </x:c>
      <x:c r="N65" s="26" t="n">
        <x:v>0</x:v>
      </x:c>
      <x:c r="O65" s="26" t="n">
        <x:v>99.92</x:v>
      </x:c>
      <x:c r="P65" s="26" t="n">
        <x:v>24.31</x:v>
      </x:c>
      <x:c r="Q65" s="26" t="n">
        <x:v>45.91</x:v>
      </x:c>
      <x:c r="R65" s="26" t="n">
        <x:v>56.71</x:v>
      </x:c>
      <x:c r="S65" s="26" t="n">
        <x:v>411.03</x:v>
      </x:c>
    </x:row>
    <x:row r="66">
      <x:c r="A66" t="n">
        <x:v>500063</x:v>
      </x:c>
      <x:c r="B66" s="24" t="n">
        <x:v>45680</x:v>
      </x:c>
      <x:c r="C66" t="n">
        <x:v>1071</x:v>
      </x:c>
      <x:c r="D66" t="str">
        <x:v>Seller 1071</x:v>
      </x:c>
      <x:c r="E66" t="str">
        <x:v>Bronze</x:v>
      </x:c>
      <x:c r="F66" t="str">
        <x:v>Central</x:v>
      </x:c>
      <x:c r="G66" t="str">
        <x:v>Sports</x:v>
      </x:c>
      <x:c r="H66" t="n">
        <x:v>3</x:v>
      </x:c>
      <x:c r="I66" s="26" t="n">
        <x:v>1527</x:v>
      </x:c>
      <x:c r="J66" s="26" t="n">
        <x:v>3002.4</x:v>
      </x:c>
      <x:c r="K66" s="28" t="n">
        <x:v>0.1303</x:v>
      </x:c>
      <x:c r="L66" s="26" t="n">
        <x:v>391.21</x:v>
      </x:c>
      <x:c r="M66" t="n">
        <x:v>0</x:v>
      </x:c>
      <x:c r="N66" s="26" t="n">
        <x:v>0</x:v>
      </x:c>
      <x:c r="O66" s="26" t="n">
        <x:v>55.54</x:v>
      </x:c>
      <x:c r="P66" s="26" t="n">
        <x:v>13.51</x:v>
      </x:c>
      <x:c r="Q66" s="26" t="n">
        <x:v>25.52</x:v>
      </x:c>
      <x:c r="R66" s="26" t="n">
        <x:v>31.53</x:v>
      </x:c>
      <x:c r="S66" s="26" t="n">
        <x:v>265.11</x:v>
      </x:c>
    </x:row>
    <x:row r="67">
      <x:c r="A67" t="n">
        <x:v>500064</x:v>
      </x:c>
      <x:c r="B67" s="24" t="n">
        <x:v>45679</x:v>
      </x:c>
      <x:c r="C67" t="n">
        <x:v>1037</x:v>
      </x:c>
      <x:c r="D67" t="str">
        <x:v>Seller 1037</x:v>
      </x:c>
      <x:c r="E67" t="str">
        <x:v>Silver</x:v>
      </x:c>
      <x:c r="F67" t="str">
        <x:v>East</x:v>
      </x:c>
      <x:c r="G67" t="str">
        <x:v>Apparel</x:v>
      </x:c>
      <x:c r="H67" t="n">
        <x:v>1</x:v>
      </x:c>
      <x:c r="I67" s="26" t="n">
        <x:v>3973.2</x:v>
      </x:c>
      <x:c r="J67" s="26" t="n">
        <x:v>3697.2</x:v>
      </x:c>
      <x:c r="K67" s="28" t="n">
        <x:v>0.1302</x:v>
      </x:c>
      <x:c r="L67" s="26" t="n">
        <x:v>481.38</x:v>
      </x:c>
      <x:c r="M67" t="n">
        <x:v>0</x:v>
      </x:c>
      <x:c r="N67" s="26" t="n">
        <x:v>0</x:v>
      </x:c>
      <x:c r="O67" s="26" t="n">
        <x:v>68.4</x:v>
      </x:c>
      <x:c r="P67" s="26" t="n">
        <x:v>16.64</x:v>
      </x:c>
      <x:c r="Q67" s="26" t="n">
        <x:v>31.43</x:v>
      </x:c>
      <x:c r="R67" s="26" t="n">
        <x:v>38.82</x:v>
      </x:c>
      <x:c r="S67" s="26" t="n">
        <x:v>326.09</x:v>
      </x:c>
    </x:row>
    <x:row r="68">
      <x:c r="A68" t="n">
        <x:v>500065</x:v>
      </x:c>
      <x:c r="B68" s="24" t="n">
        <x:v>45663</x:v>
      </x:c>
      <x:c r="C68" t="n">
        <x:v>1026</x:v>
      </x:c>
      <x:c r="D68" t="str">
        <x:v>Seller 1026</x:v>
      </x:c>
      <x:c r="E68" t="str">
        <x:v>Gold</x:v>
      </x:c>
      <x:c r="F68" t="str">
        <x:v>East</x:v>
      </x:c>
      <x:c r="G68" t="str">
        <x:v>Home &amp; Kitchen</x:v>
      </x:c>
      <x:c r="H68" t="n">
        <x:v>1</x:v>
      </x:c>
      <x:c r="I68" s="26" t="n">
        <x:v>4762.799999999999</x:v>
      </x:c>
      <x:c r="J68" s="26" t="n">
        <x:v>5791.8</x:v>
      </x:c>
      <x:c r="K68" s="28" t="n">
        <x:v>0.1448</x:v>
      </x:c>
      <x:c r="L68" s="26" t="n">
        <x:v>838.65</x:v>
      </x:c>
      <x:c r="M68" t="n">
        <x:v>0</x:v>
      </x:c>
      <x:c r="N68" s="26" t="n">
        <x:v>0</x:v>
      </x:c>
      <x:c r="O68" s="26" t="n">
        <x:v>107.15</x:v>
      </x:c>
      <x:c r="P68" s="26" t="n">
        <x:v>26.06</x:v>
      </x:c>
      <x:c r="Q68" s="26" t="n">
        <x:v>49.23</x:v>
      </x:c>
      <x:c r="R68" s="26" t="n">
        <x:v>60.81</x:v>
      </x:c>
      <x:c r="S68" s="26" t="n">
        <x:v>595.4</x:v>
      </x:c>
    </x:row>
    <x:row r="69">
      <x:c r="A69" t="n">
        <x:v>500066</x:v>
      </x:c>
      <x:c r="B69" s="24" t="n">
        <x:v>45670</x:v>
      </x:c>
      <x:c r="C69" t="n">
        <x:v>1040</x:v>
      </x:c>
      <x:c r="D69" t="str">
        <x:v>Seller 1040</x:v>
      </x:c>
      <x:c r="E69" t="str">
        <x:v>Silver</x:v>
      </x:c>
      <x:c r="F69" t="str">
        <x:v>West</x:v>
      </x:c>
      <x:c r="G69" t="str">
        <x:v>Pet Supplies</x:v>
      </x:c>
      <x:c r="H69" t="n">
        <x:v>3</x:v>
      </x:c>
      <x:c r="I69" s="26" t="n">
        <x:v>537.6</x:v>
      </x:c>
      <x:c r="J69" s="26" t="n">
        <x:v>1500.6</x:v>
      </x:c>
      <x:c r="K69" s="28" t="n">
        <x:v>0.1305</x:v>
      </x:c>
      <x:c r="L69" s="26" t="n">
        <x:v>195.83</x:v>
      </x:c>
      <x:c r="M69" t="n">
        <x:v>0</x:v>
      </x:c>
      <x:c r="N69" s="26" t="n">
        <x:v>0</x:v>
      </x:c>
      <x:c r="O69" s="26" t="n">
        <x:v>27.76</x:v>
      </x:c>
      <x:c r="P69" s="26" t="n">
        <x:v>6.75</x:v>
      </x:c>
      <x:c r="Q69" s="26" t="n">
        <x:v>12.76</x:v>
      </x:c>
      <x:c r="R69" s="26" t="n">
        <x:v>15.76</x:v>
      </x:c>
      <x:c r="S69" s="26" t="n">
        <x:v>132.8</x:v>
      </x:c>
    </x:row>
    <x:row r="70">
      <x:c r="A70" t="n">
        <x:v>500067</x:v>
      </x:c>
      <x:c r="B70" s="24" t="n">
        <x:v>45666</x:v>
      </x:c>
      <x:c r="C70" t="n">
        <x:v>1035</x:v>
      </x:c>
      <x:c r="D70" t="str">
        <x:v>Seller 1035</x:v>
      </x:c>
      <x:c r="E70" t="str">
        <x:v>Silver</x:v>
      </x:c>
      <x:c r="F70" t="str">
        <x:v>East</x:v>
      </x:c>
      <x:c r="G70" t="str">
        <x:v>Electronics</x:v>
      </x:c>
      <x:c r="H70" t="n">
        <x:v>2</x:v>
      </x:c>
      <x:c r="I70" s="26" t="n">
        <x:v>4361.4</x:v>
      </x:c>
      <x:c r="J70" s="26" t="n">
        <x:v>8116.2</x:v>
      </x:c>
      <x:c r="K70" s="28" t="n">
        <x:v>0.114</x:v>
      </x:c>
      <x:c r="L70" s="26" t="n">
        <x:v>925.25</x:v>
      </x:c>
      <x:c r="M70" t="n">
        <x:v>0</x:v>
      </x:c>
      <x:c r="N70" s="26" t="n">
        <x:v>0</x:v>
      </x:c>
      <x:c r="O70" s="26" t="n">
        <x:v>150.15</x:v>
      </x:c>
      <x:c r="P70" s="26" t="n">
        <x:v>36.52</x:v>
      </x:c>
      <x:c r="Q70" s="26" t="n">
        <x:v>68.99</x:v>
      </x:c>
      <x:c r="R70" s="26" t="n">
        <x:v>85.22</x:v>
      </x:c>
      <x:c r="S70" s="26" t="n">
        <x:v>584.37</x:v>
      </x:c>
    </x:row>
    <x:row r="71">
      <x:c r="A71" t="n">
        <x:v>500068</x:v>
      </x:c>
      <x:c r="B71" s="24" t="n">
        <x:v>45679</x:v>
      </x:c>
      <x:c r="C71" t="n">
        <x:v>1004</x:v>
      </x:c>
      <x:c r="D71" t="str">
        <x:v>Seller 1004</x:v>
      </x:c>
      <x:c r="E71" t="str">
        <x:v>Platinum</x:v>
      </x:c>
      <x:c r="F71" t="str">
        <x:v>East</x:v>
      </x:c>
      <x:c r="G71" t="str">
        <x:v>Sports</x:v>
      </x:c>
      <x:c r="H71" t="n">
        <x:v>4</x:v>
      </x:c>
      <x:c r="I71" s="26" t="n">
        <x:v>975.6000000000001</x:v>
      </x:c>
      <x:c r="J71" s="26" t="n">
        <x:v>6396</x:v>
      </x:c>
      <x:c r="K71" s="28" t="n">
        <x:v>0.1298</x:v>
      </x:c>
      <x:c r="L71" s="26" t="n">
        <x:v>830.2</x:v>
      </x:c>
      <x:c r="M71" t="n">
        <x:v>0</x:v>
      </x:c>
      <x:c r="N71" s="26" t="n">
        <x:v>0</x:v>
      </x:c>
      <x:c r="O71" s="26" t="n">
        <x:v>118.33</x:v>
      </x:c>
      <x:c r="P71" s="26" t="n">
        <x:v>28.78</x:v>
      </x:c>
      <x:c r="Q71" s="26" t="n">
        <x:v>54.37</x:v>
      </x:c>
      <x:c r="R71" s="26" t="n">
        <x:v>67.16</x:v>
      </x:c>
      <x:c r="S71" s="26" t="n">
        <x:v>561.57</x:v>
      </x:c>
    </x:row>
    <x:row r="72">
      <x:c r="A72" t="n">
        <x:v>500069</x:v>
      </x:c>
      <x:c r="B72" s="24" t="n">
        <x:v>45676</x:v>
      </x:c>
      <x:c r="C72" t="n">
        <x:v>1035</x:v>
      </x:c>
      <x:c r="D72" t="str">
        <x:v>Seller 1035</x:v>
      </x:c>
      <x:c r="E72" t="str">
        <x:v>Silver</x:v>
      </x:c>
      <x:c r="F72" t="str">
        <x:v>East</x:v>
      </x:c>
      <x:c r="G72" t="str">
        <x:v>Electronics</x:v>
      </x:c>
      <x:c r="H72" t="n">
        <x:v>2</x:v>
      </x:c>
      <x:c r="I72" s="26" t="n">
        <x:v>3919.2</x:v>
      </x:c>
      <x:c r="J72" s="26" t="n">
        <x:v>7294.2</x:v>
      </x:c>
      <x:c r="K72" s="28" t="n">
        <x:v>0.1255</x:v>
      </x:c>
      <x:c r="L72" s="26" t="n">
        <x:v>915.42</x:v>
      </x:c>
      <x:c r="M72" t="n">
        <x:v>0</x:v>
      </x:c>
      <x:c r="N72" s="26" t="n">
        <x:v>0</x:v>
      </x:c>
      <x:c r="O72" s="26" t="n">
        <x:v>134.94</x:v>
      </x:c>
      <x:c r="P72" s="26" t="n">
        <x:v>32.82</x:v>
      </x:c>
      <x:c r="Q72" s="26" t="n">
        <x:v>62</x:v>
      </x:c>
      <x:c r="R72" s="26" t="n">
        <x:v>76.59</x:v>
      </x:c>
      <x:c r="S72" s="26" t="n">
        <x:v>609.07</x:v>
      </x:c>
    </x:row>
    <x:row r="73">
      <x:c r="A73" t="n">
        <x:v>500070</x:v>
      </x:c>
      <x:c r="B73" s="24" t="n">
        <x:v>45685</x:v>
      </x:c>
      <x:c r="C73" t="n">
        <x:v>1056</x:v>
      </x:c>
      <x:c r="D73" t="str">
        <x:v>Seller 1056</x:v>
      </x:c>
      <x:c r="E73" t="str">
        <x:v>Bronze</x:v>
      </x:c>
      <x:c r="F73" t="str">
        <x:v>West</x:v>
      </x:c>
      <x:c r="G73" t="str">
        <x:v>Apparel</x:v>
      </x:c>
      <x:c r="H73" t="n">
        <x:v>2</x:v>
      </x:c>
      <x:c r="I73" s="26" t="n">
        <x:v>1927.1999999999998</x:v>
      </x:c>
      <x:c r="J73" s="26" t="n">
        <x:v>2526.6</x:v>
      </x:c>
      <x:c r="K73" s="28" t="n">
        <x:v>0.1164</x:v>
      </x:c>
      <x:c r="L73" s="26" t="n">
        <x:v>294.1</x:v>
      </x:c>
      <x:c r="M73" t="n">
        <x:v>0</x:v>
      </x:c>
      <x:c r="N73" s="26" t="n">
        <x:v>0</x:v>
      </x:c>
      <x:c r="O73" s="26" t="n">
        <x:v>46.74</x:v>
      </x:c>
      <x:c r="P73" s="26" t="n">
        <x:v>11.37</x:v>
      </x:c>
      <x:c r="Q73" s="26" t="n">
        <x:v>21.48</x:v>
      </x:c>
      <x:c r="R73" s="26" t="n">
        <x:v>26.53</x:v>
      </x:c>
      <x:c r="S73" s="26" t="n">
        <x:v>187.98</x:v>
      </x:c>
    </x:row>
    <x:row r="74">
      <x:c r="A74" t="n">
        <x:v>500071</x:v>
      </x:c>
      <x:c r="B74" s="24" t="n">
        <x:v>45672</x:v>
      </x:c>
      <x:c r="C74" t="n">
        <x:v>1021</x:v>
      </x:c>
      <x:c r="D74" t="str">
        <x:v>Seller 1021</x:v>
      </x:c>
      <x:c r="E74" t="str">
        <x:v>Gold</x:v>
      </x:c>
      <x:c r="F74" t="str">
        <x:v>Central</x:v>
      </x:c>
      <x:c r="G74" t="str">
        <x:v>Pet Supplies</x:v>
      </x:c>
      <x:c r="H74" t="n">
        <x:v>2</x:v>
      </x:c>
      <x:c r="I74" s="26" t="n">
        <x:v>1366.8000000000002</x:v>
      </x:c>
      <x:c r="J74" s="26" t="n">
        <x:v>3324.6</x:v>
      </x:c>
      <x:c r="K74" s="28" t="n">
        <x:v>0.1427</x:v>
      </x:c>
      <x:c r="L74" s="26" t="n">
        <x:v>474.42</x:v>
      </x:c>
      <x:c r="M74" t="n">
        <x:v>0</x:v>
      </x:c>
      <x:c r="N74" s="26" t="n">
        <x:v>0</x:v>
      </x:c>
      <x:c r="O74" s="26" t="n">
        <x:v>61.51</x:v>
      </x:c>
      <x:c r="P74" s="26" t="n">
        <x:v>14.96</x:v>
      </x:c>
      <x:c r="Q74" s="26" t="n">
        <x:v>28.26</x:v>
      </x:c>
      <x:c r="R74" s="26" t="n">
        <x:v>34.91</x:v>
      </x:c>
      <x:c r="S74" s="26" t="n">
        <x:v>334.79</x:v>
      </x:c>
    </x:row>
    <x:row r="75">
      <x:c r="A75" t="n">
        <x:v>500072</x:v>
      </x:c>
      <x:c r="B75" s="24" t="n">
        <x:v>45679</x:v>
      </x:c>
      <x:c r="C75" t="n">
        <x:v>1012</x:v>
      </x:c>
      <x:c r="D75" t="str">
        <x:v>Seller 1012</x:v>
      </x:c>
      <x:c r="E75" t="str">
        <x:v>Platinum</x:v>
      </x:c>
      <x:c r="F75" t="str">
        <x:v>East</x:v>
      </x:c>
      <x:c r="G75" t="str">
        <x:v>Beauty</x:v>
      </x:c>
      <x:c r="H75" t="n">
        <x:v>1</x:v>
      </x:c>
      <x:c r="I75" s="26" t="n">
        <x:v>3141.6</x:v>
      </x:c>
      <x:c r="J75" s="26" t="n">
        <x:v>5148.6</x:v>
      </x:c>
      <x:c r="K75" s="28" t="n">
        <x:v>0.1427</x:v>
      </x:c>
      <x:c r="L75" s="26" t="n">
        <x:v>734.71</x:v>
      </x:c>
      <x:c r="M75" t="n">
        <x:v>0</x:v>
      </x:c>
      <x:c r="N75" s="26" t="n">
        <x:v>0</x:v>
      </x:c>
      <x:c r="O75" s="26" t="n">
        <x:v>95.25</x:v>
      </x:c>
      <x:c r="P75" s="26" t="n">
        <x:v>23.17</x:v>
      </x:c>
      <x:c r="Q75" s="26" t="n">
        <x:v>43.76</x:v>
      </x:c>
      <x:c r="R75" s="26" t="n">
        <x:v>54.06</x:v>
      </x:c>
      <x:c r="S75" s="26" t="n">
        <x:v>518.46</x:v>
      </x:c>
    </x:row>
    <x:row r="76">
      <x:c r="A76" t="n">
        <x:v>500073</x:v>
      </x:c>
      <x:c r="B76" s="24" t="n">
        <x:v>45659</x:v>
      </x:c>
      <x:c r="C76" t="n">
        <x:v>1070</x:v>
      </x:c>
      <x:c r="D76" t="str">
        <x:v>Seller 1070</x:v>
      </x:c>
      <x:c r="E76" t="str">
        <x:v>Bronze</x:v>
      </x:c>
      <x:c r="F76" t="str">
        <x:v>West</x:v>
      </x:c>
      <x:c r="G76" t="str">
        <x:v>Electronics</x:v>
      </x:c>
      <x:c r="H76" t="n">
        <x:v>3</x:v>
      </x:c>
      <x:c r="I76" s="26" t="n">
        <x:v>3181.2000000000003</x:v>
      </x:c>
      <x:c r="J76" s="26" t="n">
        <x:v>6256.2</x:v>
      </x:c>
      <x:c r="K76" s="28" t="n">
        <x:v>0.1279</x:v>
      </x:c>
      <x:c r="L76" s="26" t="n">
        <x:v>800.17</x:v>
      </x:c>
      <x:c r="M76" t="n">
        <x:v>0</x:v>
      </x:c>
      <x:c r="N76" s="26" t="n">
        <x:v>0</x:v>
      </x:c>
      <x:c r="O76" s="26" t="n">
        <x:v>115.74</x:v>
      </x:c>
      <x:c r="P76" s="26" t="n">
        <x:v>28.15</x:v>
      </x:c>
      <x:c r="Q76" s="26" t="n">
        <x:v>53.18</x:v>
      </x:c>
      <x:c r="R76" s="26" t="n">
        <x:v>65.69</x:v>
      </x:c>
      <x:c r="S76" s="26" t="n">
        <x:v>537.41</x:v>
      </x:c>
    </x:row>
    <x:row r="77">
      <x:c r="A77" t="n">
        <x:v>500074</x:v>
      </x:c>
      <x:c r="B77" s="24" t="n">
        <x:v>45683</x:v>
      </x:c>
      <x:c r="C77" t="n">
        <x:v>1027</x:v>
      </x:c>
      <x:c r="D77" t="str">
        <x:v>Seller 1027</x:v>
      </x:c>
      <x:c r="E77" t="str">
        <x:v>Gold</x:v>
      </x:c>
      <x:c r="F77" t="str">
        <x:v>West</x:v>
      </x:c>
      <x:c r="G77" t="str">
        <x:v>Apparel</x:v>
      </x:c>
      <x:c r="H77" t="n">
        <x:v>3</x:v>
      </x:c>
      <x:c r="I77" s="26" t="n">
        <x:v>1465.8</x:v>
      </x:c>
      <x:c r="J77" s="26" t="n">
        <x:v>5346.6</x:v>
      </x:c>
      <x:c r="K77" s="28" t="n">
        <x:v>0.1291</x:v>
      </x:c>
      <x:c r="L77" s="26" t="n">
        <x:v>690.25</x:v>
      </x:c>
      <x:c r="M77" t="n">
        <x:v>1</x:v>
      </x:c>
      <x:c r="N77" s="26" t="n">
        <x:v>4456.8</x:v>
      </x:c>
      <x:c r="O77" s="26" t="n">
        <x:v>98.91</x:v>
      </x:c>
      <x:c r="P77" s="26" t="n">
        <x:v>24.06</x:v>
      </x:c>
      <x:c r="Q77" s="26" t="n">
        <x:v>45.45</x:v>
      </x:c>
      <x:c r="R77" s="26" t="n">
        <x:v>56.14</x:v>
      </x:c>
      <x:c r="S77" s="26" t="n">
        <x:v>376.55</x:v>
      </x:c>
    </x:row>
    <x:row r="78">
      <x:c r="A78" t="n">
        <x:v>500075</x:v>
      </x:c>
      <x:c r="B78" s="24" t="n">
        <x:v>45661</x:v>
      </x:c>
      <x:c r="C78" t="n">
        <x:v>1031</x:v>
      </x:c>
      <x:c r="D78" t="str">
        <x:v>Seller 1031</x:v>
      </x:c>
      <x:c r="E78" t="str">
        <x:v>Silver</x:v>
      </x:c>
      <x:c r="F78" t="str">
        <x:v>West</x:v>
      </x:c>
      <x:c r="G78" t="str">
        <x:v>Home &amp; Kitchen</x:v>
      </x:c>
      <x:c r="H78" t="n">
        <x:v>2</x:v>
      </x:c>
      <x:c r="I78" s="26" t="n">
        <x:v>2520.6</x:v>
      </x:c>
      <x:c r="J78" s="26" t="n">
        <x:v>4690.8</x:v>
      </x:c>
      <x:c r="K78" s="28" t="n">
        <x:v>0.1328</x:v>
      </x:c>
      <x:c r="L78" s="26" t="n">
        <x:v>622.94</x:v>
      </x:c>
      <x:c r="M78" t="n">
        <x:v>0</x:v>
      </x:c>
      <x:c r="N78" s="26" t="n">
        <x:v>0</x:v>
      </x:c>
      <x:c r="O78" s="26" t="n">
        <x:v>86.78</x:v>
      </x:c>
      <x:c r="P78" s="26" t="n">
        <x:v>21.11</x:v>
      </x:c>
      <x:c r="Q78" s="26" t="n">
        <x:v>39.87</x:v>
      </x:c>
      <x:c r="R78" s="26" t="n">
        <x:v>49.25</x:v>
      </x:c>
      <x:c r="S78" s="26" t="n">
        <x:v>425.92</x:v>
      </x:c>
    </x:row>
    <x:row r="79">
      <x:c r="A79" t="n">
        <x:v>500076</x:v>
      </x:c>
      <x:c r="B79" s="24" t="n">
        <x:v>45684</x:v>
      </x:c>
      <x:c r="C79" t="n">
        <x:v>1060</x:v>
      </x:c>
      <x:c r="D79" t="str">
        <x:v>Seller 1060</x:v>
      </x:c>
      <x:c r="E79" t="str">
        <x:v>Bronze</x:v>
      </x:c>
      <x:c r="F79" t="str">
        <x:v>East</x:v>
      </x:c>
      <x:c r="G79" t="str">
        <x:v>Pet Supplies</x:v>
      </x:c>
      <x:c r="H79" t="n">
        <x:v>3</x:v>
      </x:c>
      <x:c r="I79" s="26" t="n">
        <x:v>784.8</x:v>
      </x:c>
      <x:c r="J79" s="26" t="n">
        <x:v>1543.8</x:v>
      </x:c>
      <x:c r="K79" s="28" t="n">
        <x:v>0.1372</x:v>
      </x:c>
      <x:c r="L79" s="26" t="n">
        <x:v>211.81</x:v>
      </x:c>
      <x:c r="M79" t="n">
        <x:v>0</x:v>
      </x:c>
      <x:c r="N79" s="26" t="n">
        <x:v>0</x:v>
      </x:c>
      <x:c r="O79" s="26" t="n">
        <x:v>28.56</x:v>
      </x:c>
      <x:c r="P79" s="26" t="n">
        <x:v>6.95</x:v>
      </x:c>
      <x:c r="Q79" s="26" t="n">
        <x:v>13.12</x:v>
      </x:c>
      <x:c r="R79" s="26" t="n">
        <x:v>16.21</x:v>
      </x:c>
      <x:c r="S79" s="26" t="n">
        <x:v>146.97</x:v>
      </x:c>
    </x:row>
    <x:row r="80">
      <x:c r="A80" t="n">
        <x:v>500077</x:v>
      </x:c>
      <x:c r="B80" s="24" t="n">
        <x:v>45662</x:v>
      </x:c>
      <x:c r="C80" t="n">
        <x:v>1062</x:v>
      </x:c>
      <x:c r="D80" t="str">
        <x:v>Seller 1062</x:v>
      </x:c>
      <x:c r="E80" t="str">
        <x:v>Bronze</x:v>
      </x:c>
      <x:c r="F80" t="str">
        <x:v>West</x:v>
      </x:c>
      <x:c r="G80" t="str">
        <x:v>Home &amp; Kitchen</x:v>
      </x:c>
      <x:c r="H80" t="n">
        <x:v>2</x:v>
      </x:c>
      <x:c r="I80" s="26" t="n">
        <x:v>2518.7999999999997</x:v>
      </x:c>
      <x:c r="J80" s="26" t="n">
        <x:v>3303</x:v>
      </x:c>
      <x:c r="K80" s="28" t="n">
        <x:v>0.1276</x:v>
      </x:c>
      <x:c r="L80" s="26" t="n">
        <x:v>421.46</x:v>
      </x:c>
      <x:c r="M80" t="n">
        <x:v>0</x:v>
      </x:c>
      <x:c r="N80" s="26" t="n">
        <x:v>0</x:v>
      </x:c>
      <x:c r="O80" s="26" t="n">
        <x:v>61.11</x:v>
      </x:c>
      <x:c r="P80" s="26" t="n">
        <x:v>14.86</x:v>
      </x:c>
      <x:c r="Q80" s="26" t="n">
        <x:v>28.08</x:v>
      </x:c>
      <x:c r="R80" s="26" t="n">
        <x:v>34.68</x:v>
      </x:c>
      <x:c r="S80" s="26" t="n">
        <x:v>282.74</x:v>
      </x:c>
    </x:row>
    <x:row r="81">
      <x:c r="A81" t="n">
        <x:v>500078</x:v>
      </x:c>
      <x:c r="B81" s="24" t="n">
        <x:v>45667</x:v>
      </x:c>
      <x:c r="C81" t="n">
        <x:v>1009</x:v>
      </x:c>
      <x:c r="D81" t="str">
        <x:v>Seller 1009</x:v>
      </x:c>
      <x:c r="E81" t="str">
        <x:v>Platinum</x:v>
      </x:c>
      <x:c r="F81" t="str">
        <x:v>Central</x:v>
      </x:c>
      <x:c r="G81" t="str">
        <x:v>Pet Supplies</x:v>
      </x:c>
      <x:c r="H81" t="n">
        <x:v>2</x:v>
      </x:c>
      <x:c r="I81" s="26" t="n">
        <x:v>1309.8</x:v>
      </x:c>
      <x:c r="J81" s="26" t="n">
        <x:v>4293</x:v>
      </x:c>
      <x:c r="K81" s="28" t="n">
        <x:v>0.1424</x:v>
      </x:c>
      <x:c r="L81" s="26" t="n">
        <x:v>611.32</x:v>
      </x:c>
      <x:c r="M81" t="n">
        <x:v>0</x:v>
      </x:c>
      <x:c r="N81" s="26" t="n">
        <x:v>0</x:v>
      </x:c>
      <x:c r="O81" s="26" t="n">
        <x:v>79.42</x:v>
      </x:c>
      <x:c r="P81" s="26" t="n">
        <x:v>19.32</x:v>
      </x:c>
      <x:c r="Q81" s="26" t="n">
        <x:v>36.49</x:v>
      </x:c>
      <x:c r="R81" s="26" t="n">
        <x:v>45.08</x:v>
      </x:c>
      <x:c r="S81" s="26" t="n">
        <x:v>431.02</x:v>
      </x:c>
    </x:row>
    <x:row r="82">
      <x:c r="A82" t="n">
        <x:v>500079</x:v>
      </x:c>
      <x:c r="B82" s="24" t="n">
        <x:v>45675</x:v>
      </x:c>
      <x:c r="C82" t="n">
        <x:v>1039</x:v>
      </x:c>
      <x:c r="D82" t="str">
        <x:v>Seller 1039</x:v>
      </x:c>
      <x:c r="E82" t="str">
        <x:v>Silver</x:v>
      </x:c>
      <x:c r="F82" t="str">
        <x:v>East</x:v>
      </x:c>
      <x:c r="G82" t="str">
        <x:v>Sports</x:v>
      </x:c>
      <x:c r="H82" t="n">
        <x:v>3</x:v>
      </x:c>
      <x:c r="I82" s="26" t="n">
        <x:v>1516.8000000000002</x:v>
      </x:c>
      <x:c r="J82" s="26" t="n">
        <x:v>4234.8</x:v>
      </x:c>
      <x:c r="K82" s="28" t="n">
        <x:v>0.1196</x:v>
      </x:c>
      <x:c r="L82" s="26" t="n">
        <x:v>506.48</x:v>
      </x:c>
      <x:c r="M82" t="n">
        <x:v>0</x:v>
      </x:c>
      <x:c r="N82" s="26" t="n">
        <x:v>0</x:v>
      </x:c>
      <x:c r="O82" s="26" t="n">
        <x:v>78.34</x:v>
      </x:c>
      <x:c r="P82" s="26" t="n">
        <x:v>19.06</x:v>
      </x:c>
      <x:c r="Q82" s="26" t="n">
        <x:v>36</x:v>
      </x:c>
      <x:c r="R82" s="26" t="n">
        <x:v>44.47</x:v>
      </x:c>
      <x:c r="S82" s="26" t="n">
        <x:v>328.62</x:v>
      </x:c>
    </x:row>
    <x:row r="83">
      <x:c r="A83" t="n">
        <x:v>500080</x:v>
      </x:c>
      <x:c r="B83" s="24" t="n">
        <x:v>45685</x:v>
      </x:c>
      <x:c r="C83" t="n">
        <x:v>1070</x:v>
      </x:c>
      <x:c r="D83" t="str">
        <x:v>Seller 1070</x:v>
      </x:c>
      <x:c r="E83" t="str">
        <x:v>Bronze</x:v>
      </x:c>
      <x:c r="F83" t="str">
        <x:v>West</x:v>
      </x:c>
      <x:c r="G83" t="str">
        <x:v>Electronics</x:v>
      </x:c>
      <x:c r="H83" t="n">
        <x:v>4</x:v>
      </x:c>
      <x:c r="I83" s="26" t="n">
        <x:v>1599.6</x:v>
      </x:c>
      <x:c r="J83" s="26" t="n">
        <x:v>4195.2</x:v>
      </x:c>
      <x:c r="K83" s="28" t="n">
        <x:v>0.1365</x:v>
      </x:c>
      <x:c r="L83" s="26" t="n">
        <x:v>572.64</x:v>
      </x:c>
      <x:c r="M83" t="n">
        <x:v>0</x:v>
      </x:c>
      <x:c r="N83" s="26" t="n">
        <x:v>0</x:v>
      </x:c>
      <x:c r="O83" s="26" t="n">
        <x:v>77.61</x:v>
      </x:c>
      <x:c r="P83" s="26" t="n">
        <x:v>18.88</x:v>
      </x:c>
      <x:c r="Q83" s="26" t="n">
        <x:v>35.66</x:v>
      </x:c>
      <x:c r="R83" s="26" t="n">
        <x:v>44.05</x:v>
      </x:c>
      <x:c r="S83" s="26" t="n">
        <x:v>396.45</x:v>
      </x:c>
    </x:row>
    <x:row r="84">
      <x:c r="A84" t="n">
        <x:v>500081</x:v>
      </x:c>
      <x:c r="B84" s="24" t="n">
        <x:v>45684</x:v>
      </x:c>
      <x:c r="C84" t="n">
        <x:v>1053</x:v>
      </x:c>
      <x:c r="D84" t="str">
        <x:v>Seller 1053</x:v>
      </x:c>
      <x:c r="E84" t="str">
        <x:v>Silver</x:v>
      </x:c>
      <x:c r="F84" t="str">
        <x:v>Central</x:v>
      </x:c>
      <x:c r="G84" t="str">
        <x:v>Beauty</x:v>
      </x:c>
      <x:c r="H84" t="n">
        <x:v>2</x:v>
      </x:c>
      <x:c r="I84" s="26" t="n">
        <x:v>990</x:v>
      </x:c>
      <x:c r="J84" s="26" t="n">
        <x:v>1842.6</x:v>
      </x:c>
      <x:c r="K84" s="28" t="n">
        <x:v>0.1525</x:v>
      </x:c>
      <x:c r="L84" s="26" t="n">
        <x:v>281</x:v>
      </x:c>
      <x:c r="M84" t="n">
        <x:v>0</x:v>
      </x:c>
      <x:c r="N84" s="26" t="n">
        <x:v>0</x:v>
      </x:c>
      <x:c r="O84" s="26" t="n">
        <x:v>34.09</x:v>
      </x:c>
      <x:c r="P84" s="26" t="n">
        <x:v>8.29</x:v>
      </x:c>
      <x:c r="Q84" s="26" t="n">
        <x:v>15.66</x:v>
      </x:c>
      <x:c r="R84" s="26" t="n">
        <x:v>19.35</x:v>
      </x:c>
      <x:c r="S84" s="26" t="n">
        <x:v>203.61</x:v>
      </x:c>
    </x:row>
    <x:row r="85">
      <x:c r="A85" t="n">
        <x:v>500082</x:v>
      </x:c>
      <x:c r="B85" s="24" t="n">
        <x:v>45672</x:v>
      </x:c>
      <x:c r="C85" t="n">
        <x:v>1020</x:v>
      </x:c>
      <x:c r="D85" t="str">
        <x:v>Seller 1020</x:v>
      </x:c>
      <x:c r="E85" t="str">
        <x:v>Gold</x:v>
      </x:c>
      <x:c r="F85" t="str">
        <x:v>West</x:v>
      </x:c>
      <x:c r="G85" t="str">
        <x:v>Home &amp; Kitchen</x:v>
      </x:c>
      <x:c r="H85" t="n">
        <x:v>3</x:v>
      </x:c>
      <x:c r="I85" s="26" t="n">
        <x:v>1747.2</x:v>
      </x:c>
      <x:c r="J85" s="26" t="n">
        <x:v>6373.8</x:v>
      </x:c>
      <x:c r="K85" s="28" t="n">
        <x:v>0.1372</x:v>
      </x:c>
      <x:c r="L85" s="26" t="n">
        <x:v>874.49</x:v>
      </x:c>
      <x:c r="M85" t="n">
        <x:v>0</x:v>
      </x:c>
      <x:c r="N85" s="26" t="n">
        <x:v>0</x:v>
      </x:c>
      <x:c r="O85" s="26" t="n">
        <x:v>117.92</x:v>
      </x:c>
      <x:c r="P85" s="26" t="n">
        <x:v>28.68</x:v>
      </x:c>
      <x:c r="Q85" s="26" t="n">
        <x:v>54.18</x:v>
      </x:c>
      <x:c r="R85" s="26" t="n">
        <x:v>66.92</x:v>
      </x:c>
      <x:c r="S85" s="26" t="n">
        <x:v>606.79</x:v>
      </x:c>
    </x:row>
    <x:row r="86">
      <x:c r="A86" t="n">
        <x:v>500083</x:v>
      </x:c>
      <x:c r="B86" s="24" t="n">
        <x:v>45673</x:v>
      </x:c>
      <x:c r="C86" t="n">
        <x:v>1013</x:v>
      </x:c>
      <x:c r="D86" t="str">
        <x:v>Seller 1013</x:v>
      </x:c>
      <x:c r="E86" t="str">
        <x:v>Gold</x:v>
      </x:c>
      <x:c r="F86" t="str">
        <x:v>West</x:v>
      </x:c>
      <x:c r="G86" t="str">
        <x:v>Electronics</x:v>
      </x:c>
      <x:c r="H86" t="n">
        <x:v>1</x:v>
      </x:c>
      <x:c r="I86" s="26" t="n">
        <x:v>8998.2</x:v>
      </x:c>
      <x:c r="J86" s="26" t="n">
        <x:v>10941.6</x:v>
      </x:c>
      <x:c r="K86" s="28" t="n">
        <x:v>0.1228</x:v>
      </x:c>
      <x:c r="L86" s="26" t="n">
        <x:v>1343.63</x:v>
      </x:c>
      <x:c r="M86" t="n">
        <x:v>0</x:v>
      </x:c>
      <x:c r="N86" s="26" t="n">
        <x:v>0</x:v>
      </x:c>
      <x:c r="O86" s="26" t="n">
        <x:v>202.42</x:v>
      </x:c>
      <x:c r="P86" s="26" t="n">
        <x:v>49.24</x:v>
      </x:c>
      <x:c r="Q86" s="26" t="n">
        <x:v>93</x:v>
      </x:c>
      <x:c r="R86" s="26" t="n">
        <x:v>114.89</x:v>
      </x:c>
      <x:c r="S86" s="26" t="n">
        <x:v>884.08</x:v>
      </x:c>
    </x:row>
    <x:row r="87">
      <x:c r="A87" t="n">
        <x:v>500084</x:v>
      </x:c>
      <x:c r="B87" s="24" t="n">
        <x:v>45670</x:v>
      </x:c>
      <x:c r="C87" t="n">
        <x:v>1034</x:v>
      </x:c>
      <x:c r="D87" t="str">
        <x:v>Seller 1034</x:v>
      </x:c>
      <x:c r="E87" t="str">
        <x:v>Silver</x:v>
      </x:c>
      <x:c r="F87" t="str">
        <x:v>Central</x:v>
      </x:c>
      <x:c r="G87" t="str">
        <x:v>Sports</x:v>
      </x:c>
      <x:c r="H87" t="n">
        <x:v>2</x:v>
      </x:c>
      <x:c r="I87" s="26" t="n">
        <x:v>1785.6000000000001</x:v>
      </x:c>
      <x:c r="J87" s="26" t="n">
        <x:v>3322.8</x:v>
      </x:c>
      <x:c r="K87" s="28" t="n">
        <x:v>0.1364</x:v>
      </x:c>
      <x:c r="L87" s="26" t="n">
        <x:v>453.23</x:v>
      </x:c>
      <x:c r="M87" t="n">
        <x:v>0</x:v>
      </x:c>
      <x:c r="N87" s="26" t="n">
        <x:v>0</x:v>
      </x:c>
      <x:c r="O87" s="26" t="n">
        <x:v>61.47</x:v>
      </x:c>
      <x:c r="P87" s="26" t="n">
        <x:v>14.95</x:v>
      </x:c>
      <x:c r="Q87" s="26" t="n">
        <x:v>28.24</x:v>
      </x:c>
      <x:c r="R87" s="26" t="n">
        <x:v>34.89</x:v>
      </x:c>
      <x:c r="S87" s="26" t="n">
        <x:v>313.67</x:v>
      </x:c>
    </x:row>
    <x:row r="88">
      <x:c r="A88" t="n">
        <x:v>500085</x:v>
      </x:c>
      <x:c r="B88" s="24" t="n">
        <x:v>45679</x:v>
      </x:c>
      <x:c r="C88" t="n">
        <x:v>1041</x:v>
      </x:c>
      <x:c r="D88" t="str">
        <x:v>Seller 1041</x:v>
      </x:c>
      <x:c r="E88" t="str">
        <x:v>Silver</x:v>
      </x:c>
      <x:c r="F88" t="str">
        <x:v>West</x:v>
      </x:c>
      <x:c r="G88" t="str">
        <x:v>Apparel</x:v>
      </x:c>
      <x:c r="H88" t="n">
        <x:v>3</x:v>
      </x:c>
      <x:c r="I88" s="26" t="n">
        <x:v>1048.8</x:v>
      </x:c>
      <x:c r="J88" s="26" t="n">
        <x:v>2928.6</x:v>
      </x:c>
      <x:c r="K88" s="28" t="n">
        <x:v>0.121</x:v>
      </x:c>
      <x:c r="L88" s="26" t="n">
        <x:v>354.36</x:v>
      </x:c>
      <x:c r="M88" t="n">
        <x:v>0</x:v>
      </x:c>
      <x:c r="N88" s="26" t="n">
        <x:v>0</x:v>
      </x:c>
      <x:c r="O88" s="26" t="n">
        <x:v>54.18</x:v>
      </x:c>
      <x:c r="P88" s="26" t="n">
        <x:v>13.18</x:v>
      </x:c>
      <x:c r="Q88" s="26" t="n">
        <x:v>24.89</x:v>
      </x:c>
      <x:c r="R88" s="26" t="n">
        <x:v>30.75</x:v>
      </x:c>
      <x:c r="S88" s="26" t="n">
        <x:v>231.36</x:v>
      </x:c>
    </x:row>
    <x:row r="89">
      <x:c r="A89" t="n">
        <x:v>500086</x:v>
      </x:c>
      <x:c r="B89" s="24" t="n">
        <x:v>45663</x:v>
      </x:c>
      <x:c r="C89" t="n">
        <x:v>1037</x:v>
      </x:c>
      <x:c r="D89" t="str">
        <x:v>Seller 1037</x:v>
      </x:c>
      <x:c r="E89" t="str">
        <x:v>Silver</x:v>
      </x:c>
      <x:c r="F89" t="str">
        <x:v>East</x:v>
      </x:c>
      <x:c r="G89" t="str">
        <x:v>Pet Supplies</x:v>
      </x:c>
      <x:c r="H89" t="n">
        <x:v>4</x:v>
      </x:c>
      <x:c r="I89" s="26" t="n">
        <x:v>1151.4</x:v>
      </x:c>
      <x:c r="J89" s="26" t="n">
        <x:v>4286.4</x:v>
      </x:c>
      <x:c r="K89" s="28" t="n">
        <x:v>0.1382</x:v>
      </x:c>
      <x:c r="L89" s="26" t="n">
        <x:v>592.38</x:v>
      </x:c>
      <x:c r="M89" t="n">
        <x:v>0</x:v>
      </x:c>
      <x:c r="N89" s="26" t="n">
        <x:v>0</x:v>
      </x:c>
      <x:c r="O89" s="26" t="n">
        <x:v>79.3</x:v>
      </x:c>
      <x:c r="P89" s="26" t="n">
        <x:v>19.29</x:v>
      </x:c>
      <x:c r="Q89" s="26" t="n">
        <x:v>36.43</x:v>
      </x:c>
      <x:c r="R89" s="26" t="n">
        <x:v>45.01</x:v>
      </x:c>
      <x:c r="S89" s="26" t="n">
        <x:v>412.35</x:v>
      </x:c>
    </x:row>
    <x:row r="90">
      <x:c r="A90" t="n">
        <x:v>500087</x:v>
      </x:c>
      <x:c r="B90" s="24" t="n">
        <x:v>45671</x:v>
      </x:c>
      <x:c r="C90" t="n">
        <x:v>1039</x:v>
      </x:c>
      <x:c r="D90" t="str">
        <x:v>Seller 1039</x:v>
      </x:c>
      <x:c r="E90" t="str">
        <x:v>Silver</x:v>
      </x:c>
      <x:c r="F90" t="str">
        <x:v>East</x:v>
      </x:c>
      <x:c r="G90" t="str">
        <x:v>Electronics</x:v>
      </x:c>
      <x:c r="H90" t="n">
        <x:v>2</x:v>
      </x:c>
      <x:c r="I90" s="26" t="n">
        <x:v>4561.2</x:v>
      </x:c>
      <x:c r="J90" s="26" t="n">
        <x:v>8488.2</x:v>
      </x:c>
      <x:c r="K90" s="28" t="n">
        <x:v>0.1216</x:v>
      </x:c>
      <x:c r="L90" s="26" t="n">
        <x:v>1032.17</x:v>
      </x:c>
      <x:c r="M90" t="n">
        <x:v>0</x:v>
      </x:c>
      <x:c r="N90" s="26" t="n">
        <x:v>0</x:v>
      </x:c>
      <x:c r="O90" s="26" t="n">
        <x:v>157.03</x:v>
      </x:c>
      <x:c r="P90" s="26" t="n">
        <x:v>38.2</x:v>
      </x:c>
      <x:c r="Q90" s="26" t="n">
        <x:v>72.15</x:v>
      </x:c>
      <x:c r="R90" s="26" t="n">
        <x:v>89.13</x:v>
      </x:c>
      <x:c r="S90" s="26" t="n">
        <x:v>675.66</x:v>
      </x:c>
    </x:row>
    <x:row r="91">
      <x:c r="A91" t="n">
        <x:v>500088</x:v>
      </x:c>
      <x:c r="B91" s="24" t="n">
        <x:v>45673</x:v>
      </x:c>
      <x:c r="C91" t="n">
        <x:v>1073</x:v>
      </x:c>
      <x:c r="D91" t="str">
        <x:v>Seller 1073</x:v>
      </x:c>
      <x:c r="E91" t="str">
        <x:v>Bronze</x:v>
      </x:c>
      <x:c r="F91" t="str">
        <x:v>Central</x:v>
      </x:c>
      <x:c r="G91" t="str">
        <x:v>Electronics</x:v>
      </x:c>
      <x:c r="H91" t="n">
        <x:v>2</x:v>
      </x:c>
      <x:c r="I91" s="26" t="n">
        <x:v>4740.6</x:v>
      </x:c>
      <x:c r="J91" s="26" t="n">
        <x:v>6216</x:v>
      </x:c>
      <x:c r="K91" s="28" t="n">
        <x:v>0.1276</x:v>
      </x:c>
      <x:c r="L91" s="26" t="n">
        <x:v>793.16</x:v>
      </x:c>
      <x:c r="M91" t="n">
        <x:v>0</x:v>
      </x:c>
      <x:c r="N91" s="26" t="n">
        <x:v>0</x:v>
      </x:c>
      <x:c r="O91" s="26" t="n">
        <x:v>115</x:v>
      </x:c>
      <x:c r="P91" s="26" t="n">
        <x:v>27.97</x:v>
      </x:c>
      <x:c r="Q91" s="26" t="n">
        <x:v>52.84</x:v>
      </x:c>
      <x:c r="R91" s="26" t="n">
        <x:v>65.27</x:v>
      </x:c>
      <x:c r="S91" s="26" t="n">
        <x:v>532.09</x:v>
      </x:c>
    </x:row>
    <x:row r="92">
      <x:c r="A92" t="n">
        <x:v>500089</x:v>
      </x:c>
      <x:c r="B92" s="24" t="n">
        <x:v>45686</x:v>
      </x:c>
      <x:c r="C92" t="n">
        <x:v>1075</x:v>
      </x:c>
      <x:c r="D92" t="str">
        <x:v>Seller 1075</x:v>
      </x:c>
      <x:c r="E92" t="str">
        <x:v>Bronze</x:v>
      </x:c>
      <x:c r="F92" t="str">
        <x:v>East</x:v>
      </x:c>
      <x:c r="G92" t="str">
        <x:v>Electronics</x:v>
      </x:c>
      <x:c r="H92" t="n">
        <x:v>1</x:v>
      </x:c>
      <x:c r="I92" s="26" t="n">
        <x:v>8829</x:v>
      </x:c>
      <x:c r="J92" s="26" t="n">
        <x:v>5788.2</x:v>
      </x:c>
      <x:c r="K92" s="28" t="n">
        <x:v>0.1191</x:v>
      </x:c>
      <x:c r="L92" s="26" t="n">
        <x:v>689.37</x:v>
      </x:c>
      <x:c r="M92" t="n">
        <x:v>0</x:v>
      </x:c>
      <x:c r="N92" s="26" t="n">
        <x:v>0</x:v>
      </x:c>
      <x:c r="O92" s="26" t="n">
        <x:v>107.08</x:v>
      </x:c>
      <x:c r="P92" s="26" t="n">
        <x:v>26.05</x:v>
      </x:c>
      <x:c r="Q92" s="26" t="n">
        <x:v>49.2</x:v>
      </x:c>
      <x:c r="R92" s="26" t="n">
        <x:v>60.78</x:v>
      </x:c>
      <x:c r="S92" s="26" t="n">
        <x:v>446.27</x:v>
      </x:c>
    </x:row>
    <x:row r="93">
      <x:c r="A93" t="n">
        <x:v>500090</x:v>
      </x:c>
      <x:c r="B93" s="24" t="n">
        <x:v>45671</x:v>
      </x:c>
      <x:c r="C93" t="n">
        <x:v>1037</x:v>
      </x:c>
      <x:c r="D93" t="str">
        <x:v>Seller 1037</x:v>
      </x:c>
      <x:c r="E93" t="str">
        <x:v>Silver</x:v>
      </x:c>
      <x:c r="F93" t="str">
        <x:v>East</x:v>
      </x:c>
      <x:c r="G93" t="str">
        <x:v>Apparel</x:v>
      </x:c>
      <x:c r="H93" t="n">
        <x:v>3</x:v>
      </x:c>
      <x:c r="I93" s="26" t="n">
        <x:v>1557.6000000000001</x:v>
      </x:c>
      <x:c r="J93" s="26" t="n">
        <x:v>4348.8</x:v>
      </x:c>
      <x:c r="K93" s="28" t="n">
        <x:v>0.1163</x:v>
      </x:c>
      <x:c r="L93" s="26" t="n">
        <x:v>505.77</x:v>
      </x:c>
      <x:c r="M93" t="n">
        <x:v>0</x:v>
      </x:c>
      <x:c r="N93" s="26" t="n">
        <x:v>0</x:v>
      </x:c>
      <x:c r="O93" s="26" t="n">
        <x:v>80.45</x:v>
      </x:c>
      <x:c r="P93" s="26" t="n">
        <x:v>19.57</x:v>
      </x:c>
      <x:c r="Q93" s="26" t="n">
        <x:v>36.96</x:v>
      </x:c>
      <x:c r="R93" s="26" t="n">
        <x:v>45.66</x:v>
      </x:c>
      <x:c r="S93" s="26" t="n">
        <x:v>323.12</x:v>
      </x:c>
    </x:row>
    <x:row r="94">
      <x:c r="A94" t="n">
        <x:v>500091</x:v>
      </x:c>
      <x:c r="B94" s="24" t="n">
        <x:v>45669</x:v>
      </x:c>
      <x:c r="C94" t="n">
        <x:v>1033</x:v>
      </x:c>
      <x:c r="D94" t="str">
        <x:v>Seller 1033</x:v>
      </x:c>
      <x:c r="E94" t="str">
        <x:v>Silver</x:v>
      </x:c>
      <x:c r="F94" t="str">
        <x:v>South</x:v>
      </x:c>
      <x:c r="G94" t="str">
        <x:v>Beauty</x:v>
      </x:c>
      <x:c r="H94" t="n">
        <x:v>1</x:v>
      </x:c>
      <x:c r="I94" s="26" t="n">
        <x:v>3408</x:v>
      </x:c>
      <x:c r="J94" s="26" t="n">
        <x:v>3171</x:v>
      </x:c>
      <x:c r="K94" s="28" t="n">
        <x:v>0.1535</x:v>
      </x:c>
      <x:c r="L94" s="26" t="n">
        <x:v>486.75</x:v>
      </x:c>
      <x:c r="M94" t="n">
        <x:v>0</x:v>
      </x:c>
      <x:c r="N94" s="26" t="n">
        <x:v>0</x:v>
      </x:c>
      <x:c r="O94" s="26" t="n">
        <x:v>58.66</x:v>
      </x:c>
      <x:c r="P94" s="26" t="n">
        <x:v>14.27</x:v>
      </x:c>
      <x:c r="Q94" s="26" t="n">
        <x:v>26.95</x:v>
      </x:c>
      <x:c r="R94" s="26" t="n">
        <x:v>33.3</x:v>
      </x:c>
      <x:c r="S94" s="26" t="n">
        <x:v>353.57</x:v>
      </x:c>
    </x:row>
    <x:row r="95">
      <x:c r="A95" t="n">
        <x:v>500092</x:v>
      </x:c>
      <x:c r="B95" s="24" t="n">
        <x:v>45682</x:v>
      </x:c>
      <x:c r="C95" t="n">
        <x:v>1074</x:v>
      </x:c>
      <x:c r="D95" t="str">
        <x:v>Seller 1074</x:v>
      </x:c>
      <x:c r="E95" t="str">
        <x:v>Bronze</x:v>
      </x:c>
      <x:c r="F95" t="str">
        <x:v>East</x:v>
      </x:c>
      <x:c r="G95" t="str">
        <x:v>Electronics</x:v>
      </x:c>
      <x:c r="H95" t="n">
        <x:v>2</x:v>
      </x:c>
      <x:c r="I95" s="26" t="n">
        <x:v>4210.8</x:v>
      </x:c>
      <x:c r="J95" s="26" t="n">
        <x:v>5521.2</x:v>
      </x:c>
      <x:c r="K95" s="28" t="n">
        <x:v>0.1329</x:v>
      </x:c>
      <x:c r="L95" s="26" t="n">
        <x:v>733.77</x:v>
      </x:c>
      <x:c r="M95" t="n">
        <x:v>1</x:v>
      </x:c>
      <x:c r="N95" s="26" t="n">
        <x:v>5185.8</x:v>
      </x:c>
      <x:c r="O95" s="26" t="n">
        <x:v>102.14</x:v>
      </x:c>
      <x:c r="P95" s="26" t="n">
        <x:v>24.85</x:v>
      </x:c>
      <x:c r="Q95" s="26" t="n">
        <x:v>46.93</x:v>
      </x:c>
      <x:c r="R95" s="26" t="n">
        <x:v>57.97</x:v>
      </x:c>
      <x:c r="S95" s="26" t="n">
        <x:v>398.16</x:v>
      </x:c>
    </x:row>
    <x:row r="96">
      <x:c r="A96" t="n">
        <x:v>500093</x:v>
      </x:c>
      <x:c r="B96" s="24" t="n">
        <x:v>45669</x:v>
      </x:c>
      <x:c r="C96" t="n">
        <x:v>1007</x:v>
      </x:c>
      <x:c r="D96" t="str">
        <x:v>Seller 1007</x:v>
      </x:c>
      <x:c r="E96" t="str">
        <x:v>Platinum</x:v>
      </x:c>
      <x:c r="F96" t="str">
        <x:v>South</x:v>
      </x:c>
      <x:c r="G96" t="str">
        <x:v>Pet Supplies</x:v>
      </x:c>
      <x:c r="H96" t="n">
        <x:v>1</x:v>
      </x:c>
      <x:c r="I96" s="26" t="n">
        <x:v>3131.3999999999996</x:v>
      </x:c>
      <x:c r="J96" s="26" t="n">
        <x:v>5131.8</x:v>
      </x:c>
      <x:c r="K96" s="28" t="n">
        <x:v>0.1269</x:v>
      </x:c>
      <x:c r="L96" s="26" t="n">
        <x:v>651.23</x:v>
      </x:c>
      <x:c r="M96" t="n">
        <x:v>0</x:v>
      </x:c>
      <x:c r="N96" s="26" t="n">
        <x:v>0</x:v>
      </x:c>
      <x:c r="O96" s="26" t="n">
        <x:v>94.94</x:v>
      </x:c>
      <x:c r="P96" s="26" t="n">
        <x:v>23.09</x:v>
      </x:c>
      <x:c r="Q96" s="26" t="n">
        <x:v>43.62</x:v>
      </x:c>
      <x:c r="R96" s="26" t="n">
        <x:v>53.88</x:v>
      </x:c>
      <x:c r="S96" s="26" t="n">
        <x:v>435.69</x:v>
      </x:c>
    </x:row>
    <x:row r="97">
      <x:c r="A97" t="n">
        <x:v>500094</x:v>
      </x:c>
      <x:c r="B97" s="24" t="n">
        <x:v>45678</x:v>
      </x:c>
      <x:c r="C97" t="n">
        <x:v>1029</x:v>
      </x:c>
      <x:c r="D97" t="str">
        <x:v>Seller 1029</x:v>
      </x:c>
      <x:c r="E97" t="str">
        <x:v>Gold</x:v>
      </x:c>
      <x:c r="F97" t="str">
        <x:v>West</x:v>
      </x:c>
      <x:c r="G97" t="str">
        <x:v>Home &amp; Kitchen</x:v>
      </x:c>
      <x:c r="H97" t="n">
        <x:v>1</x:v>
      </x:c>
      <x:c r="I97" s="26" t="n">
        <x:v>4512</x:v>
      </x:c>
      <x:c r="J97" s="26" t="n">
        <x:v>5486.4</x:v>
      </x:c>
      <x:c r="K97" s="28" t="n">
        <x:v>0.1403</x:v>
      </x:c>
      <x:c r="L97" s="26" t="n">
        <x:v>769.74</x:v>
      </x:c>
      <x:c r="M97" t="n">
        <x:v>0</x:v>
      </x:c>
      <x:c r="N97" s="26" t="n">
        <x:v>0</x:v>
      </x:c>
      <x:c r="O97" s="26" t="n">
        <x:v>101.5</x:v>
      </x:c>
      <x:c r="P97" s="26" t="n">
        <x:v>24.69</x:v>
      </x:c>
      <x:c r="Q97" s="26" t="n">
        <x:v>46.63</x:v>
      </x:c>
      <x:c r="R97" s="26" t="n">
        <x:v>57.61</x:v>
      </x:c>
      <x:c r="S97" s="26" t="n">
        <x:v>539.31</x:v>
      </x:c>
    </x:row>
    <x:row r="98">
      <x:c r="A98" t="n">
        <x:v>500095</x:v>
      </x:c>
      <x:c r="B98" s="24" t="n">
        <x:v>45687</x:v>
      </x:c>
      <x:c r="C98" t="n">
        <x:v>1013</x:v>
      </x:c>
      <x:c r="D98" t="str">
        <x:v>Seller 1013</x:v>
      </x:c>
      <x:c r="E98" t="str">
        <x:v>Gold</x:v>
      </x:c>
      <x:c r="F98" t="str">
        <x:v>West</x:v>
      </x:c>
      <x:c r="G98" t="str">
        <x:v>Pet Supplies</x:v>
      </x:c>
      <x:c r="H98" t="n">
        <x:v>4</x:v>
      </x:c>
      <x:c r="I98" s="26" t="n">
        <x:v>888</x:v>
      </x:c>
      <x:c r="J98" s="26" t="n">
        <x:v>4318.8</x:v>
      </x:c>
      <x:c r="K98" s="28" t="n">
        <x:v>0.1208</x:v>
      </x:c>
      <x:c r="L98" s="26" t="n">
        <x:v>521.71</x:v>
      </x:c>
      <x:c r="M98" t="n">
        <x:v>0</x:v>
      </x:c>
      <x:c r="N98" s="26" t="n">
        <x:v>0</x:v>
      </x:c>
      <x:c r="O98" s="26" t="n">
        <x:v>79.9</x:v>
      </x:c>
      <x:c r="P98" s="26" t="n">
        <x:v>19.43</x:v>
      </x:c>
      <x:c r="Q98" s="26" t="n">
        <x:v>36.71</x:v>
      </x:c>
      <x:c r="R98" s="26" t="n">
        <x:v>45.35</x:v>
      </x:c>
      <x:c r="S98" s="26" t="n">
        <x:v>340.32</x:v>
      </x:c>
    </x:row>
    <x:row r="99">
      <x:c r="A99" t="n">
        <x:v>500096</x:v>
      </x:c>
      <x:c r="B99" s="24" t="n">
        <x:v>45674</x:v>
      </x:c>
      <x:c r="C99" t="n">
        <x:v>1038</x:v>
      </x:c>
      <x:c r="D99" t="str">
        <x:v>Seller 1038</x:v>
      </x:c>
      <x:c r="E99" t="str">
        <x:v>Silver</x:v>
      </x:c>
      <x:c r="F99" t="str">
        <x:v>South</x:v>
      </x:c>
      <x:c r="G99" t="str">
        <x:v>Sports</x:v>
      </x:c>
      <x:c r="H99" t="n">
        <x:v>2</x:v>
      </x:c>
      <x:c r="I99" s="26" t="n">
        <x:v>2403.6000000000004</x:v>
      </x:c>
      <x:c r="J99" s="26" t="n">
        <x:v>4473</x:v>
      </x:c>
      <x:c r="K99" s="28" t="n">
        <x:v>0.1349</x:v>
      </x:c>
      <x:c r="L99" s="26" t="n">
        <x:v>603.41</x:v>
      </x:c>
      <x:c r="M99" t="n">
        <x:v>0</x:v>
      </x:c>
      <x:c r="N99" s="26" t="n">
        <x:v>0</x:v>
      </x:c>
      <x:c r="O99" s="26" t="n">
        <x:v>82.75</x:v>
      </x:c>
      <x:c r="P99" s="26" t="n">
        <x:v>20.13</x:v>
      </x:c>
      <x:c r="Q99" s="26" t="n">
        <x:v>38.02</x:v>
      </x:c>
      <x:c r="R99" s="26" t="n">
        <x:v>46.97</x:v>
      </x:c>
      <x:c r="S99" s="26" t="n">
        <x:v>415.54</x:v>
      </x:c>
    </x:row>
    <x:row r="100">
      <x:c r="A100" t="n">
        <x:v>500097</x:v>
      </x:c>
      <x:c r="B100" s="24" t="n">
        <x:v>45683</x:v>
      </x:c>
      <x:c r="C100" t="n">
        <x:v>1035</x:v>
      </x:c>
      <x:c r="D100" t="str">
        <x:v>Seller 1035</x:v>
      </x:c>
      <x:c r="E100" t="str">
        <x:v>Silver</x:v>
      </x:c>
      <x:c r="F100" t="str">
        <x:v>East</x:v>
      </x:c>
      <x:c r="G100" t="str">
        <x:v>Beauty</x:v>
      </x:c>
      <x:c r="H100" t="n">
        <x:v>4</x:v>
      </x:c>
      <x:c r="I100" s="26" t="n">
        <x:v>480</x:v>
      </x:c>
      <x:c r="J100" s="26" t="n">
        <x:v>1786.8</x:v>
      </x:c>
      <x:c r="K100" s="28" t="n">
        <x:v>0.1562</x:v>
      </x:c>
      <x:c r="L100" s="26" t="n">
        <x:v>279.1</x:v>
      </x:c>
      <x:c r="M100" t="n">
        <x:v>0</x:v>
      </x:c>
      <x:c r="N100" s="26" t="n">
        <x:v>0</x:v>
      </x:c>
      <x:c r="O100" s="26" t="n">
        <x:v>33.06</x:v>
      </x:c>
      <x:c r="P100" s="26" t="n">
        <x:v>8.04</x:v>
      </x:c>
      <x:c r="Q100" s="26" t="n">
        <x:v>15.19</x:v>
      </x:c>
      <x:c r="R100" s="26" t="n">
        <x:v>18.76</x:v>
      </x:c>
      <x:c r="S100" s="26" t="n">
        <x:v>204.05</x:v>
      </x:c>
    </x:row>
    <x:row r="101">
      <x:c r="A101" t="n">
        <x:v>500098</x:v>
      </x:c>
      <x:c r="B101" s="24" t="n">
        <x:v>45670</x:v>
      </x:c>
      <x:c r="C101" t="n">
        <x:v>1015</x:v>
      </x:c>
      <x:c r="D101" t="str">
        <x:v>Seller 1015</x:v>
      </x:c>
      <x:c r="E101" t="str">
        <x:v>Gold</x:v>
      </x:c>
      <x:c r="F101" t="str">
        <x:v>West</x:v>
      </x:c>
      <x:c r="G101" t="str">
        <x:v>Pet Supplies</x:v>
      </x:c>
      <x:c r="H101" t="n">
        <x:v>3</x:v>
      </x:c>
      <x:c r="I101" s="26" t="n">
        <x:v>1230.6000000000001</x:v>
      </x:c>
      <x:c r="J101" s="26" t="n">
        <x:v>4489.2</x:v>
      </x:c>
      <x:c r="K101" s="28" t="n">
        <x:v>0.1254</x:v>
      </x:c>
      <x:c r="L101" s="26" t="n">
        <x:v>562.95</x:v>
      </x:c>
      <x:c r="M101" t="n">
        <x:v>0</x:v>
      </x:c>
      <x:c r="N101" s="26" t="n">
        <x:v>0</x:v>
      </x:c>
      <x:c r="O101" s="26" t="n">
        <x:v>83.05</x:v>
      </x:c>
      <x:c r="P101" s="26" t="n">
        <x:v>20.2</x:v>
      </x:c>
      <x:c r="Q101" s="26" t="n">
        <x:v>38.16</x:v>
      </x:c>
      <x:c r="R101" s="26" t="n">
        <x:v>47.14</x:v>
      </x:c>
      <x:c r="S101" s="26" t="n">
        <x:v>374.4</x:v>
      </x:c>
    </x:row>
    <x:row r="102">
      <x:c r="A102" t="n">
        <x:v>500099</x:v>
      </x:c>
      <x:c r="B102" s="24" t="n">
        <x:v>45679</x:v>
      </x:c>
      <x:c r="C102" t="n">
        <x:v>1072</x:v>
      </x:c>
      <x:c r="D102" t="str">
        <x:v>Seller 1072</x:v>
      </x:c>
      <x:c r="E102" t="str">
        <x:v>Bronze</x:v>
      </x:c>
      <x:c r="F102" t="str">
        <x:v>South</x:v>
      </x:c>
      <x:c r="G102" t="str">
        <x:v>Home &amp; Kitchen</x:v>
      </x:c>
      <x:c r="H102" t="n">
        <x:v>2</x:v>
      </x:c>
      <x:c r="I102" s="26" t="n">
        <x:v>2396.3999999999996</x:v>
      </x:c>
      <x:c r="J102" s="26" t="n">
        <x:v>3141.6</x:v>
      </x:c>
      <x:c r="K102" s="28" t="n">
        <x:v>0.1359</x:v>
      </x:c>
      <x:c r="L102" s="26" t="n">
        <x:v>426.94</x:v>
      </x:c>
      <x:c r="M102" t="n">
        <x:v>0</x:v>
      </x:c>
      <x:c r="N102" s="26" t="n">
        <x:v>0</x:v>
      </x:c>
      <x:c r="O102" s="26" t="n">
        <x:v>58.12</x:v>
      </x:c>
      <x:c r="P102" s="26" t="n">
        <x:v>14.14</x:v>
      </x:c>
      <x:c r="Q102" s="26" t="n">
        <x:v>26.7</x:v>
      </x:c>
      <x:c r="R102" s="26" t="n">
        <x:v>32.99</x:v>
      </x:c>
      <x:c r="S102" s="26" t="n">
        <x:v>295</x:v>
      </x:c>
    </x:row>
    <x:row r="103">
      <x:c r="A103" t="n">
        <x:v>500100</x:v>
      </x:c>
      <x:c r="B103" s="24" t="n">
        <x:v>45675</x:v>
      </x:c>
      <x:c r="C103" t="n">
        <x:v>1034</x:v>
      </x:c>
      <x:c r="D103" t="str">
        <x:v>Seller 1034</x:v>
      </x:c>
      <x:c r="E103" t="str">
        <x:v>Silver</x:v>
      </x:c>
      <x:c r="F103" t="str">
        <x:v>Central</x:v>
      </x:c>
      <x:c r="G103" t="str">
        <x:v>Sports</x:v>
      </x:c>
      <x:c r="H103" t="n">
        <x:v>3</x:v>
      </x:c>
      <x:c r="I103" s="26" t="n">
        <x:v>742.1999999999999</x:v>
      </x:c>
      <x:c r="J103" s="26" t="n">
        <x:v>2071.2</x:v>
      </x:c>
      <x:c r="K103" s="28" t="n">
        <x:v>0.1186</x:v>
      </x:c>
      <x:c r="L103" s="26" t="n">
        <x:v>245.64</x:v>
      </x:c>
      <x:c r="M103" t="n">
        <x:v>1</x:v>
      </x:c>
      <x:c r="N103" s="26" t="n">
        <x:v>1963.2</x:v>
      </x:c>
      <x:c r="O103" s="26" t="n">
        <x:v>38.32</x:v>
      </x:c>
      <x:c r="P103" s="26" t="n">
        <x:v>9.32</x:v>
      </x:c>
      <x:c r="Q103" s="26" t="n">
        <x:v>17.61</x:v>
      </x:c>
      <x:c r="R103" s="26" t="n">
        <x:v>21.75</x:v>
      </x:c>
      <x:c r="S103" s="26" t="n">
        <x:v>119.39</x:v>
      </x:c>
    </x:row>
    <x:row r="104">
      <x:c r="A104" t="n">
        <x:v>500101</x:v>
      </x:c>
      <x:c r="B104" s="24" t="n">
        <x:v>45661</x:v>
      </x:c>
      <x:c r="C104" t="n">
        <x:v>1042</x:v>
      </x:c>
      <x:c r="D104" t="str">
        <x:v>Seller 1042</x:v>
      </x:c>
      <x:c r="E104" t="str">
        <x:v>Silver</x:v>
      </x:c>
      <x:c r="F104" t="str">
        <x:v>East</x:v>
      </x:c>
      <x:c r="G104" t="str">
        <x:v>Home &amp; Kitchen</x:v>
      </x:c>
      <x:c r="H104" t="n">
        <x:v>1</x:v>
      </x:c>
      <x:c r="I104" s="26" t="n">
        <x:v>4472.400000000001</x:v>
      </x:c>
      <x:c r="J104" s="26" t="n">
        <x:v>4161.6</x:v>
      </x:c>
      <x:c r="K104" s="28" t="n">
        <x:v>0.1341</x:v>
      </x:c>
      <x:c r="L104" s="26" t="n">
        <x:v>558.07</x:v>
      </x:c>
      <x:c r="M104" t="n">
        <x:v>0</x:v>
      </x:c>
      <x:c r="N104" s="26" t="n">
        <x:v>0</x:v>
      </x:c>
      <x:c r="O104" s="26" t="n">
        <x:v>76.99</x:v>
      </x:c>
      <x:c r="P104" s="26" t="n">
        <x:v>18.73</x:v>
      </x:c>
      <x:c r="Q104" s="26" t="n">
        <x:v>35.37</x:v>
      </x:c>
      <x:c r="R104" s="26" t="n">
        <x:v>43.7</x:v>
      </x:c>
      <x:c r="S104" s="26" t="n">
        <x:v>383.28</x:v>
      </x:c>
    </x:row>
    <x:row r="105">
      <x:c r="A105" t="n">
        <x:v>500102</x:v>
      </x:c>
      <x:c r="B105" s="24" t="n">
        <x:v>45670</x:v>
      </x:c>
      <x:c r="C105" t="n">
        <x:v>1018</x:v>
      </x:c>
      <x:c r="D105" t="str">
        <x:v>Seller 1018</x:v>
      </x:c>
      <x:c r="E105" t="str">
        <x:v>Gold</x:v>
      </x:c>
      <x:c r="F105" t="str">
        <x:v>West</x:v>
      </x:c>
      <x:c r="G105" t="str">
        <x:v>Electronics</x:v>
      </x:c>
      <x:c r="H105" t="n">
        <x:v>5</x:v>
      </x:c>
      <x:c r="I105" s="26" t="n">
        <x:v>2275.2000000000003</x:v>
      </x:c>
      <x:c r="J105" s="26" t="n">
        <x:v>13831.8</x:v>
      </x:c>
      <x:c r="K105" s="28" t="n">
        <x:v>0.1158</x:v>
      </x:c>
      <x:c r="L105" s="26" t="n">
        <x:v>1601.72</x:v>
      </x:c>
      <x:c r="M105" t="n">
        <x:v>0</x:v>
      </x:c>
      <x:c r="N105" s="26" t="n">
        <x:v>0</x:v>
      </x:c>
      <x:c r="O105" s="26" t="n">
        <x:v>255.89</x:v>
      </x:c>
      <x:c r="P105" s="26" t="n">
        <x:v>62.24</x:v>
      </x:c>
      <x:c r="Q105" s="26" t="n">
        <x:v>117.57</x:v>
      </x:c>
      <x:c r="R105" s="26" t="n">
        <x:v>145.23</x:v>
      </x:c>
      <x:c r="S105" s="26" t="n">
        <x:v>1020.79</x:v>
      </x:c>
    </x:row>
    <x:row r="106">
      <x:c r="A106" t="n">
        <x:v>500103</x:v>
      </x:c>
      <x:c r="B106" s="24" t="n">
        <x:v>45686</x:v>
      </x:c>
      <x:c r="C106" t="n">
        <x:v>1059</x:v>
      </x:c>
      <x:c r="D106" t="str">
        <x:v>Seller 1059</x:v>
      </x:c>
      <x:c r="E106" t="str">
        <x:v>Bronze</x:v>
      </x:c>
      <x:c r="F106" t="str">
        <x:v>Central</x:v>
      </x:c>
      <x:c r="G106" t="str">
        <x:v>Sports</x:v>
      </x:c>
      <x:c r="H106" t="n">
        <x:v>3</x:v>
      </x:c>
      <x:c r="I106" s="26" t="n">
        <x:v>1344</x:v>
      </x:c>
      <x:c r="J106" s="26" t="n">
        <x:v>2643</x:v>
      </x:c>
      <x:c r="K106" s="28" t="n">
        <x:v>0.129</x:v>
      </x:c>
      <x:c r="L106" s="26" t="n">
        <x:v>340.95</x:v>
      </x:c>
      <x:c r="M106" t="n">
        <x:v>0</x:v>
      </x:c>
      <x:c r="N106" s="26" t="n">
        <x:v>0</x:v>
      </x:c>
      <x:c r="O106" s="26" t="n">
        <x:v>48.9</x:v>
      </x:c>
      <x:c r="P106" s="26" t="n">
        <x:v>11.89</x:v>
      </x:c>
      <x:c r="Q106" s="26" t="n">
        <x:v>22.47</x:v>
      </x:c>
      <x:c r="R106" s="26" t="n">
        <x:v>27.75</x:v>
      </x:c>
      <x:c r="S106" s="26" t="n">
        <x:v>229.94</x:v>
      </x:c>
    </x:row>
    <x:row r="107">
      <x:c r="A107" t="n">
        <x:v>500104</x:v>
      </x:c>
      <x:c r="B107" s="24" t="n">
        <x:v>45664</x:v>
      </x:c>
      <x:c r="C107" t="n">
        <x:v>1054</x:v>
      </x:c>
      <x:c r="D107" t="str">
        <x:v>Seller 1054</x:v>
      </x:c>
      <x:c r="E107" t="str">
        <x:v>Silver</x:v>
      </x:c>
      <x:c r="F107" t="str">
        <x:v>South</x:v>
      </x:c>
      <x:c r="G107" t="str">
        <x:v>Home &amp; Kitchen</x:v>
      </x:c>
      <x:c r="H107" t="n">
        <x:v>3</x:v>
      </x:c>
      <x:c r="I107" s="26" t="n">
        <x:v>1169.3999999999999</x:v>
      </x:c>
      <x:c r="J107" s="26" t="n">
        <x:v>3264</x:v>
      </x:c>
      <x:c r="K107" s="28" t="n">
        <x:v>0.1455</x:v>
      </x:c>
      <x:c r="L107" s="26" t="n">
        <x:v>474.91</x:v>
      </x:c>
      <x:c r="M107" t="n">
        <x:v>0</x:v>
      </x:c>
      <x:c r="N107" s="26" t="n">
        <x:v>0</x:v>
      </x:c>
      <x:c r="O107" s="26" t="n">
        <x:v>60.38</x:v>
      </x:c>
      <x:c r="P107" s="26" t="n">
        <x:v>14.69</x:v>
      </x:c>
      <x:c r="Q107" s="26" t="n">
        <x:v>27.74</x:v>
      </x:c>
      <x:c r="R107" s="26" t="n">
        <x:v>34.27</x:v>
      </x:c>
      <x:c r="S107" s="26" t="n">
        <x:v>337.82</x:v>
      </x:c>
    </x:row>
    <x:row r="108">
      <x:c r="A108" t="n">
        <x:v>500105</x:v>
      </x:c>
      <x:c r="B108" s="24" t="n">
        <x:v>45678</x:v>
      </x:c>
      <x:c r="C108" t="n">
        <x:v>1057</x:v>
      </x:c>
      <x:c r="D108" t="str">
        <x:v>Seller 1057</x:v>
      </x:c>
      <x:c r="E108" t="str">
        <x:v>Bronze</x:v>
      </x:c>
      <x:c r="F108" t="str">
        <x:v>South</x:v>
      </x:c>
      <x:c r="G108" t="str">
        <x:v>Electronics</x:v>
      </x:c>
      <x:c r="H108" t="n">
        <x:v>2</x:v>
      </x:c>
      <x:c r="I108" s="26" t="n">
        <x:v>5008.2</x:v>
      </x:c>
      <x:c r="J108" s="26" t="n">
        <x:v>6566.4</x:v>
      </x:c>
      <x:c r="K108" s="28" t="n">
        <x:v>0.1365</x:v>
      </x:c>
      <x:c r="L108" s="26" t="n">
        <x:v>896.31</x:v>
      </x:c>
      <x:c r="M108" t="n">
        <x:v>0</x:v>
      </x:c>
      <x:c r="N108" s="26" t="n">
        <x:v>0</x:v>
      </x:c>
      <x:c r="O108" s="26" t="n">
        <x:v>121.48</x:v>
      </x:c>
      <x:c r="P108" s="26" t="n">
        <x:v>29.55</x:v>
      </x:c>
      <x:c r="Q108" s="26" t="n">
        <x:v>55.81</x:v>
      </x:c>
      <x:c r="R108" s="26" t="n">
        <x:v>68.95</x:v>
      </x:c>
      <x:c r="S108" s="26" t="n">
        <x:v>620.52</x:v>
      </x:c>
    </x:row>
    <x:row r="109">
      <x:c r="A109" t="n">
        <x:v>500106</x:v>
      </x:c>
      <x:c r="B109" s="24" t="n">
        <x:v>45664</x:v>
      </x:c>
      <x:c r="C109" t="n">
        <x:v>1046</x:v>
      </x:c>
      <x:c r="D109" t="str">
        <x:v>Seller 1046</x:v>
      </x:c>
      <x:c r="E109" t="str">
        <x:v>Silver</x:v>
      </x:c>
      <x:c r="F109" t="str">
        <x:v>Central</x:v>
      </x:c>
      <x:c r="G109" t="str">
        <x:v>Sports</x:v>
      </x:c>
      <x:c r="H109" t="n">
        <x:v>2</x:v>
      </x:c>
      <x:c r="I109" s="26" t="n">
        <x:v>3225.6</x:v>
      </x:c>
      <x:c r="J109" s="26" t="n">
        <x:v>6002.4</x:v>
      </x:c>
      <x:c r="K109" s="28" t="n">
        <x:v>0.1388</x:v>
      </x:c>
      <x:c r="L109" s="26" t="n">
        <x:v>833.13</x:v>
      </x:c>
      <x:c r="M109" t="n">
        <x:v>0</x:v>
      </x:c>
      <x:c r="N109" s="26" t="n">
        <x:v>0</x:v>
      </x:c>
      <x:c r="O109" s="26" t="n">
        <x:v>111.04</x:v>
      </x:c>
      <x:c r="P109" s="26" t="n">
        <x:v>27.01</x:v>
      </x:c>
      <x:c r="Q109" s="26" t="n">
        <x:v>51.02</x:v>
      </x:c>
      <x:c r="R109" s="26" t="n">
        <x:v>63.03</x:v>
      </x:c>
      <x:c r="S109" s="26" t="n">
        <x:v>581.03</x:v>
      </x:c>
    </x:row>
    <x:row r="110">
      <x:c r="A110" t="n">
        <x:v>500107</x:v>
      </x:c>
      <x:c r="B110" s="24" t="n">
        <x:v>45664</x:v>
      </x:c>
      <x:c r="C110" t="n">
        <x:v>1077</x:v>
      </x:c>
      <x:c r="D110" t="str">
        <x:v>Seller 1077</x:v>
      </x:c>
      <x:c r="E110" t="str">
        <x:v>Bronze</x:v>
      </x:c>
      <x:c r="F110" t="str">
        <x:v>South</x:v>
      </x:c>
      <x:c r="G110" t="str">
        <x:v>Electronics</x:v>
      </x:c>
      <x:c r="H110" t="n">
        <x:v>2</x:v>
      </x:c>
      <x:c r="I110" s="26" t="n">
        <x:v>3843.6000000000004</x:v>
      </x:c>
      <x:c r="J110" s="26" t="n">
        <x:v>5040</x:v>
      </x:c>
      <x:c r="K110" s="28" t="n">
        <x:v>0.116</x:v>
      </x:c>
      <x:c r="L110" s="26" t="n">
        <x:v>584.64</x:v>
      </x:c>
      <x:c r="M110" t="n">
        <x:v>1</x:v>
      </x:c>
      <x:c r="N110" s="26" t="n">
        <x:v>4507.2</x:v>
      </x:c>
      <x:c r="O110" s="26" t="n">
        <x:v>93.24</x:v>
      </x:c>
      <x:c r="P110" s="26" t="n">
        <x:v>22.68</x:v>
      </x:c>
      <x:c r="Q110" s="26" t="n">
        <x:v>42.84</x:v>
      </x:c>
      <x:c r="R110" s="26" t="n">
        <x:v>52.92</x:v>
      </x:c>
      <x:c r="S110" s="26" t="n">
        <x:v>282.82</x:v>
      </x:c>
    </x:row>
    <x:row r="111">
      <x:c r="A111" t="n">
        <x:v>500108</x:v>
      </x:c>
      <x:c r="B111" s="24" t="n">
        <x:v>45662</x:v>
      </x:c>
      <x:c r="C111" t="n">
        <x:v>1076</x:v>
      </x:c>
      <x:c r="D111" t="str">
        <x:v>Seller 1076</x:v>
      </x:c>
      <x:c r="E111" t="str">
        <x:v>Bronze</x:v>
      </x:c>
      <x:c r="F111" t="str">
        <x:v>Central</x:v>
      </x:c>
      <x:c r="G111" t="str">
        <x:v>Home &amp; Kitchen</x:v>
      </x:c>
      <x:c r="H111" t="n">
        <x:v>3</x:v>
      </x:c>
      <x:c r="I111" s="26" t="n">
        <x:v>1383.6</x:v>
      </x:c>
      <x:c r="J111" s="26" t="n">
        <x:v>2721</x:v>
      </x:c>
      <x:c r="K111" s="28" t="n">
        <x:v>0.1265</x:v>
      </x:c>
      <x:c r="L111" s="26" t="n">
        <x:v>344.21</x:v>
      </x:c>
      <x:c r="M111" t="n">
        <x:v>1</x:v>
      </x:c>
      <x:c r="N111" s="26" t="n">
        <x:v>2547.6</x:v>
      </x:c>
      <x:c r="O111" s="26" t="n">
        <x:v>50.34</x:v>
      </x:c>
      <x:c r="P111" s="26" t="n">
        <x:v>12.24</x:v>
      </x:c>
      <x:c r="Q111" s="26" t="n">
        <x:v>23.13</x:v>
      </x:c>
      <x:c r="R111" s="26" t="n">
        <x:v>28.57</x:v>
      </x:c>
      <x:c r="S111" s="26" t="n">
        <x:v>178.97</x:v>
      </x:c>
    </x:row>
    <x:row r="112">
      <x:c r="A112" t="n">
        <x:v>500109</x:v>
      </x:c>
      <x:c r="B112" s="24" t="n">
        <x:v>45683</x:v>
      </x:c>
      <x:c r="C112" t="n">
        <x:v>1017</x:v>
      </x:c>
      <x:c r="D112" t="str">
        <x:v>Seller 1017</x:v>
      </x:c>
      <x:c r="E112" t="str">
        <x:v>Gold</x:v>
      </x:c>
      <x:c r="F112" t="str">
        <x:v>East</x:v>
      </x:c>
      <x:c r="G112" t="str">
        <x:v>Electronics</x:v>
      </x:c>
      <x:c r="H112" t="n">
        <x:v>2</x:v>
      </x:c>
      <x:c r="I112" s="26" t="n">
        <x:v>4029.6</x:v>
      </x:c>
      <x:c r="J112" s="26" t="n">
        <x:v>9799.8</x:v>
      </x:c>
      <x:c r="K112" s="28" t="n">
        <x:v>0.1338</x:v>
      </x:c>
      <x:c r="L112" s="26" t="n">
        <x:v>1311.21</x:v>
      </x:c>
      <x:c r="M112" t="n">
        <x:v>0</x:v>
      </x:c>
      <x:c r="N112" s="26" t="n">
        <x:v>0</x:v>
      </x:c>
      <x:c r="O112" s="26" t="n">
        <x:v>181.3</x:v>
      </x:c>
      <x:c r="P112" s="26" t="n">
        <x:v>44.1</x:v>
      </x:c>
      <x:c r="Q112" s="26" t="n">
        <x:v>83.3</x:v>
      </x:c>
      <x:c r="R112" s="26" t="n">
        <x:v>102.9</x:v>
      </x:c>
      <x:c r="S112" s="26" t="n">
        <x:v>899.62</x:v>
      </x:c>
    </x:row>
    <x:row r="113">
      <x:c r="A113" t="n">
        <x:v>500110</x:v>
      </x:c>
      <x:c r="B113" s="24" t="n">
        <x:v>45660</x:v>
      </x:c>
      <x:c r="C113" t="n">
        <x:v>1031</x:v>
      </x:c>
      <x:c r="D113" t="str">
        <x:v>Seller 1031</x:v>
      </x:c>
      <x:c r="E113" t="str">
        <x:v>Silver</x:v>
      </x:c>
      <x:c r="F113" t="str">
        <x:v>West</x:v>
      </x:c>
      <x:c r="G113" t="str">
        <x:v>Home &amp; Kitchen</x:v>
      </x:c>
      <x:c r="H113" t="n">
        <x:v>3</x:v>
      </x:c>
      <x:c r="I113" s="26" t="n">
        <x:v>1670.4</x:v>
      </x:c>
      <x:c r="J113" s="26" t="n">
        <x:v>4663.2</x:v>
      </x:c>
      <x:c r="K113" s="28" t="n">
        <x:v>0.126</x:v>
      </x:c>
      <x:c r="L113" s="26" t="n">
        <x:v>587.56</x:v>
      </x:c>
      <x:c r="M113" t="n">
        <x:v>0</x:v>
      </x:c>
      <x:c r="N113" s="26" t="n">
        <x:v>0</x:v>
      </x:c>
      <x:c r="O113" s="26" t="n">
        <x:v>86.27</x:v>
      </x:c>
      <x:c r="P113" s="26" t="n">
        <x:v>20.98</x:v>
      </x:c>
      <x:c r="Q113" s="26" t="n">
        <x:v>39.64</x:v>
      </x:c>
      <x:c r="R113" s="26" t="n">
        <x:v>48.96</x:v>
      </x:c>
      <x:c r="S113" s="26" t="n">
        <x:v>391.71</x:v>
      </x:c>
    </x:row>
    <x:row r="114">
      <x:c r="A114" t="n">
        <x:v>500111</x:v>
      </x:c>
      <x:c r="B114" s="24" t="n">
        <x:v>45681</x:v>
      </x:c>
      <x:c r="C114" t="n">
        <x:v>1061</x:v>
      </x:c>
      <x:c r="D114" t="str">
        <x:v>Seller 1061</x:v>
      </x:c>
      <x:c r="E114" t="str">
        <x:v>Bronze</x:v>
      </x:c>
      <x:c r="F114" t="str">
        <x:v>Central</x:v>
      </x:c>
      <x:c r="G114" t="str">
        <x:v>Electronics</x:v>
      </x:c>
      <x:c r="H114" t="n">
        <x:v>1</x:v>
      </x:c>
      <x:c r="I114" s="26" t="n">
        <x:v>9412.2</x:v>
      </x:c>
      <x:c r="J114" s="26" t="n">
        <x:v>6170.4</x:v>
      </x:c>
      <x:c r="K114" s="28" t="n">
        <x:v>0.1238</x:v>
      </x:c>
      <x:c r="L114" s="26" t="n">
        <x:v>763.9</x:v>
      </x:c>
      <x:c r="M114" t="n">
        <x:v>0</x:v>
      </x:c>
      <x:c r="N114" s="26" t="n">
        <x:v>0</x:v>
      </x:c>
      <x:c r="O114" s="26" t="n">
        <x:v>114.15</x:v>
      </x:c>
      <x:c r="P114" s="26" t="n">
        <x:v>27.77</x:v>
      </x:c>
      <x:c r="Q114" s="26" t="n">
        <x:v>52.45</x:v>
      </x:c>
      <x:c r="R114" s="26" t="n">
        <x:v>64.79</x:v>
      </x:c>
      <x:c r="S114" s="26" t="n">
        <x:v>504.74</x:v>
      </x:c>
    </x:row>
    <x:row r="115">
      <x:c r="A115" t="n">
        <x:v>500112</x:v>
      </x:c>
      <x:c r="B115" s="24" t="n">
        <x:v>45661</x:v>
      </x:c>
      <x:c r="C115" t="n">
        <x:v>1067</x:v>
      </x:c>
      <x:c r="D115" t="str">
        <x:v>Seller 1067</x:v>
      </x:c>
      <x:c r="E115" t="str">
        <x:v>Bronze</x:v>
      </x:c>
      <x:c r="F115" t="str">
        <x:v>South</x:v>
      </x:c>
      <x:c r="G115" t="str">
        <x:v>Beauty</x:v>
      </x:c>
      <x:c r="H115" t="n">
        <x:v>2</x:v>
      </x:c>
      <x:c r="I115" s="26" t="n">
        <x:v>1278.6</x:v>
      </x:c>
      <x:c r="J115" s="26" t="n">
        <x:v>1676.4</x:v>
      </x:c>
      <x:c r="K115" s="28" t="n">
        <x:v>0.157</x:v>
      </x:c>
      <x:c r="L115" s="26" t="n">
        <x:v>263.19</x:v>
      </x:c>
      <x:c r="M115" t="n">
        <x:v>0</x:v>
      </x:c>
      <x:c r="N115" s="26" t="n">
        <x:v>0</x:v>
      </x:c>
      <x:c r="O115" s="26" t="n">
        <x:v>31.01</x:v>
      </x:c>
      <x:c r="P115" s="26" t="n">
        <x:v>7.54</x:v>
      </x:c>
      <x:c r="Q115" s="26" t="n">
        <x:v>14.25</x:v>
      </x:c>
      <x:c r="R115" s="26" t="n">
        <x:v>17.6</x:v>
      </x:c>
      <x:c r="S115" s="26" t="n">
        <x:v>192.79</x:v>
      </x:c>
    </x:row>
    <x:row r="116">
      <x:c r="A116" t="n">
        <x:v>500113</x:v>
      </x:c>
      <x:c r="B116" s="24" t="n">
        <x:v>45677</x:v>
      </x:c>
      <x:c r="C116" t="n">
        <x:v>1063</x:v>
      </x:c>
      <x:c r="D116" t="str">
        <x:v>Seller 1063</x:v>
      </x:c>
      <x:c r="E116" t="str">
        <x:v>Bronze</x:v>
      </x:c>
      <x:c r="F116" t="str">
        <x:v>West</x:v>
      </x:c>
      <x:c r="G116" t="str">
        <x:v>Pet Supplies</x:v>
      </x:c>
      <x:c r="H116" t="n">
        <x:v>1</x:v>
      </x:c>
      <x:c r="I116" s="26" t="n">
        <x:v>3305.4</x:v>
      </x:c>
      <x:c r="J116" s="26" t="n">
        <x:v>2167.2</x:v>
      </x:c>
      <x:c r="K116" s="28" t="n">
        <x:v>0.1277</x:v>
      </x:c>
      <x:c r="L116" s="26" t="n">
        <x:v>276.75</x:v>
      </x:c>
      <x:c r="M116" t="n">
        <x:v>0</x:v>
      </x:c>
      <x:c r="N116" s="26" t="n">
        <x:v>0</x:v>
      </x:c>
      <x:c r="O116" s="26" t="n">
        <x:v>40.09</x:v>
      </x:c>
      <x:c r="P116" s="26" t="n">
        <x:v>9.75</x:v>
      </x:c>
      <x:c r="Q116" s="26" t="n">
        <x:v>18.42</x:v>
      </x:c>
      <x:c r="R116" s="26" t="n">
        <x:v>22.76</x:v>
      </x:c>
      <x:c r="S116" s="26" t="n">
        <x:v>185.73</x:v>
      </x:c>
    </x:row>
    <x:row r="117">
      <x:c r="A117" t="n">
        <x:v>500114</x:v>
      </x:c>
      <x:c r="B117" s="24" t="n">
        <x:v>45661</x:v>
      </x:c>
      <x:c r="C117" t="n">
        <x:v>1075</x:v>
      </x:c>
      <x:c r="D117" t="str">
        <x:v>Seller 1075</x:v>
      </x:c>
      <x:c r="E117" t="str">
        <x:v>Bronze</x:v>
      </x:c>
      <x:c r="F117" t="str">
        <x:v>East</x:v>
      </x:c>
      <x:c r="G117" t="str">
        <x:v>Electronics</x:v>
      </x:c>
      <x:c r="H117" t="n">
        <x:v>1</x:v>
      </x:c>
      <x:c r="I117" s="26" t="n">
        <x:v>10704</x:v>
      </x:c>
      <x:c r="J117" s="26" t="n">
        <x:v>7017</x:v>
      </x:c>
      <x:c r="K117" s="28" t="n">
        <x:v>0.1257</x:v>
      </x:c>
      <x:c r="L117" s="26" t="n">
        <x:v>882.04</x:v>
      </x:c>
      <x:c r="M117" t="n">
        <x:v>0</x:v>
      </x:c>
      <x:c r="N117" s="26" t="n">
        <x:v>0</x:v>
      </x:c>
      <x:c r="O117" s="26" t="n">
        <x:v>129.81</x:v>
      </x:c>
      <x:c r="P117" s="26" t="n">
        <x:v>31.58</x:v>
      </x:c>
      <x:c r="Q117" s="26" t="n">
        <x:v>59.64</x:v>
      </x:c>
      <x:c r="R117" s="26" t="n">
        <x:v>73.68</x:v>
      </x:c>
      <x:c r="S117" s="26" t="n">
        <x:v>587.32</x:v>
      </x:c>
    </x:row>
    <x:row r="118">
      <x:c r="A118" t="n">
        <x:v>500115</x:v>
      </x:c>
      <x:c r="B118" s="24" t="n">
        <x:v>45671</x:v>
      </x:c>
      <x:c r="C118" t="n">
        <x:v>1015</x:v>
      </x:c>
      <x:c r="D118" t="str">
        <x:v>Seller 1015</x:v>
      </x:c>
      <x:c r="E118" t="str">
        <x:v>Gold</x:v>
      </x:c>
      <x:c r="F118" t="str">
        <x:v>West</x:v>
      </x:c>
      <x:c r="G118" t="str">
        <x:v>Pet Supplies</x:v>
      </x:c>
      <x:c r="H118" t="n">
        <x:v>3</x:v>
      </x:c>
      <x:c r="I118" s="26" t="n">
        <x:v>820.2</x:v>
      </x:c>
      <x:c r="J118" s="26" t="n">
        <x:v>2992.8</x:v>
      </x:c>
      <x:c r="K118" s="28" t="n">
        <x:v>0.1408</x:v>
      </x:c>
      <x:c r="L118" s="26" t="n">
        <x:v>421.39</x:v>
      </x:c>
      <x:c r="M118" t="n">
        <x:v>0</x:v>
      </x:c>
      <x:c r="N118" s="26" t="n">
        <x:v>0</x:v>
      </x:c>
      <x:c r="O118" s="26" t="n">
        <x:v>55.37</x:v>
      </x:c>
      <x:c r="P118" s="26" t="n">
        <x:v>13.47</x:v>
      </x:c>
      <x:c r="Q118" s="26" t="n">
        <x:v>25.44</x:v>
      </x:c>
      <x:c r="R118" s="26" t="n">
        <x:v>31.42</x:v>
      </x:c>
      <x:c r="S118" s="26" t="n">
        <x:v>295.69</x:v>
      </x:c>
    </x:row>
    <x:row r="119">
      <x:c r="A119" t="n">
        <x:v>500116</x:v>
      </x:c>
      <x:c r="B119" s="24" t="n">
        <x:v>45662</x:v>
      </x:c>
      <x:c r="C119" t="n">
        <x:v>1044</x:v>
      </x:c>
      <x:c r="D119" t="str">
        <x:v>Seller 1044</x:v>
      </x:c>
      <x:c r="E119" t="str">
        <x:v>Silver</x:v>
      </x:c>
      <x:c r="F119" t="str">
        <x:v>East</x:v>
      </x:c>
      <x:c r="G119" t="str">
        <x:v>Apparel</x:v>
      </x:c>
      <x:c r="H119" t="n">
        <x:v>2</x:v>
      </x:c>
      <x:c r="I119" s="26" t="n">
        <x:v>1989</x:v>
      </x:c>
      <x:c r="J119" s="26" t="n">
        <x:v>3702</x:v>
      </x:c>
      <x:c r="K119" s="28" t="n">
        <x:v>0.1182</x:v>
      </x:c>
      <x:c r="L119" s="26" t="n">
        <x:v>437.58</x:v>
      </x:c>
      <x:c r="M119" t="n">
        <x:v>0</x:v>
      </x:c>
      <x:c r="N119" s="26" t="n">
        <x:v>0</x:v>
      </x:c>
      <x:c r="O119" s="26" t="n">
        <x:v>68.49</x:v>
      </x:c>
      <x:c r="P119" s="26" t="n">
        <x:v>16.66</x:v>
      </x:c>
      <x:c r="Q119" s="26" t="n">
        <x:v>31.47</x:v>
      </x:c>
      <x:c r="R119" s="26" t="n">
        <x:v>38.87</x:v>
      </x:c>
      <x:c r="S119" s="26" t="n">
        <x:v>282.09</x:v>
      </x:c>
    </x:row>
    <x:row r="120">
      <x:c r="A120" t="n">
        <x:v>500117</x:v>
      </x:c>
      <x:c r="B120" s="24" t="n">
        <x:v>45675</x:v>
      </x:c>
      <x:c r="C120" t="n">
        <x:v>1061</x:v>
      </x:c>
      <x:c r="D120" t="str">
        <x:v>Seller 1061</x:v>
      </x:c>
      <x:c r="E120" t="str">
        <x:v>Bronze</x:v>
      </x:c>
      <x:c r="F120" t="str">
        <x:v>Central</x:v>
      </x:c>
      <x:c r="G120" t="str">
        <x:v>Electronics</x:v>
      </x:c>
      <x:c r="H120" t="n">
        <x:v>2</x:v>
      </x:c>
      <x:c r="I120" s="26" t="n">
        <x:v>4081.8</x:v>
      </x:c>
      <x:c r="J120" s="26" t="n">
        <x:v>5352</x:v>
      </x:c>
      <x:c r="K120" s="28" t="n">
        <x:v>0.1153</x:v>
      </x:c>
      <x:c r="L120" s="26" t="n">
        <x:v>617.09</x:v>
      </x:c>
      <x:c r="M120" t="n">
        <x:v>0</x:v>
      </x:c>
      <x:c r="N120" s="26" t="n">
        <x:v>0</x:v>
      </x:c>
      <x:c r="O120" s="26" t="n">
        <x:v>99.01</x:v>
      </x:c>
      <x:c r="P120" s="26" t="n">
        <x:v>24.08</x:v>
      </x:c>
      <x:c r="Q120" s="26" t="n">
        <x:v>45.49</x:v>
      </x:c>
      <x:c r="R120" s="26" t="n">
        <x:v>56.2</x:v>
      </x:c>
      <x:c r="S120" s="26" t="n">
        <x:v>392.3</x:v>
      </x:c>
    </x:row>
    <x:row r="121">
      <x:c r="A121" t="n">
        <x:v>500118</x:v>
      </x:c>
      <x:c r="B121" s="24" t="n">
        <x:v>45682</x:v>
      </x:c>
      <x:c r="C121" t="n">
        <x:v>1008</x:v>
      </x:c>
      <x:c r="D121" t="str">
        <x:v>Seller 1008</x:v>
      </x:c>
      <x:c r="E121" t="str">
        <x:v>Platinum</x:v>
      </x:c>
      <x:c r="F121" t="str">
        <x:v>West</x:v>
      </x:c>
      <x:c r="G121" t="str">
        <x:v>Electronics</x:v>
      </x:c>
      <x:c r="H121" t="n">
        <x:v>1</x:v>
      </x:c>
      <x:c r="I121" s="26" t="n">
        <x:v>8464.800000000001</x:v>
      </x:c>
      <x:c r="J121" s="26" t="n">
        <x:v>13873.8</x:v>
      </x:c>
      <x:c r="K121" s="28" t="n">
        <x:v>0.1159</x:v>
      </x:c>
      <x:c r="L121" s="26" t="n">
        <x:v>1607.97</x:v>
      </x:c>
      <x:c r="M121" t="n">
        <x:v>0</x:v>
      </x:c>
      <x:c r="N121" s="26" t="n">
        <x:v>0</x:v>
      </x:c>
      <x:c r="O121" s="26" t="n">
        <x:v>256.67</x:v>
      </x:c>
      <x:c r="P121" s="26" t="n">
        <x:v>62.43</x:v>
      </x:c>
      <x:c r="Q121" s="26" t="n">
        <x:v>117.93</x:v>
      </x:c>
      <x:c r="R121" s="26" t="n">
        <x:v>145.67</x:v>
      </x:c>
      <x:c r="S121" s="26" t="n">
        <x:v>1025.27</x:v>
      </x:c>
    </x:row>
    <x:row r="122">
      <x:c r="A122" t="n">
        <x:v>500119</x:v>
      </x:c>
      <x:c r="B122" s="24" t="n">
        <x:v>45662</x:v>
      </x:c>
      <x:c r="C122" t="n">
        <x:v>1055</x:v>
      </x:c>
      <x:c r="D122" t="str">
        <x:v>Seller 1055</x:v>
      </x:c>
      <x:c r="E122" t="str">
        <x:v>Bronze</x:v>
      </x:c>
      <x:c r="F122" t="str">
        <x:v>Central</x:v>
      </x:c>
      <x:c r="G122" t="str">
        <x:v>Pet Supplies</x:v>
      </x:c>
      <x:c r="H122" t="n">
        <x:v>3</x:v>
      </x:c>
      <x:c r="I122" s="26" t="n">
        <x:v>1105.2</x:v>
      </x:c>
      <x:c r="J122" s="26" t="n">
        <x:v>2173.8</x:v>
      </x:c>
      <x:c r="K122" s="28" t="n">
        <x:v>0.1275</x:v>
      </x:c>
      <x:c r="L122" s="26" t="n">
        <x:v>277.16</x:v>
      </x:c>
      <x:c r="M122" t="n">
        <x:v>0</x:v>
      </x:c>
      <x:c r="N122" s="26" t="n">
        <x:v>0</x:v>
      </x:c>
      <x:c r="O122" s="26" t="n">
        <x:v>40.22</x:v>
      </x:c>
      <x:c r="P122" s="26" t="n">
        <x:v>9.78</x:v>
      </x:c>
      <x:c r="Q122" s="26" t="n">
        <x:v>18.48</x:v>
      </x:c>
      <x:c r="R122" s="26" t="n">
        <x:v>22.82</x:v>
      </x:c>
      <x:c r="S122" s="26" t="n">
        <x:v>185.86</x:v>
      </x:c>
    </x:row>
    <x:row r="123">
      <x:c r="A123" t="n">
        <x:v>500120</x:v>
      </x:c>
      <x:c r="B123" s="24" t="n">
        <x:v>45683</x:v>
      </x:c>
      <x:c r="C123" t="n">
        <x:v>1062</x:v>
      </x:c>
      <x:c r="D123" t="str">
        <x:v>Seller 1062</x:v>
      </x:c>
      <x:c r="E123" t="str">
        <x:v>Bronze</x:v>
      </x:c>
      <x:c r="F123" t="str">
        <x:v>West</x:v>
      </x:c>
      <x:c r="G123" t="str">
        <x:v>Electronics</x:v>
      </x:c>
      <x:c r="H123" t="n">
        <x:v>3</x:v>
      </x:c>
      <x:c r="I123" s="26" t="n">
        <x:v>3745.8</x:v>
      </x:c>
      <x:c r="J123" s="26" t="n">
        <x:v>7366.8</x:v>
      </x:c>
      <x:c r="K123" s="28" t="n">
        <x:v>0.1218</x:v>
      </x:c>
      <x:c r="L123" s="26" t="n">
        <x:v>897.28</x:v>
      </x:c>
      <x:c r="M123" t="n">
        <x:v>0</x:v>
      </x:c>
      <x:c r="N123" s="26" t="n">
        <x:v>0</x:v>
      </x:c>
      <x:c r="O123" s="26" t="n">
        <x:v>136.29</x:v>
      </x:c>
      <x:c r="P123" s="26" t="n">
        <x:v>33.15</x:v>
      </x:c>
      <x:c r="Q123" s="26" t="n">
        <x:v>62.62</x:v>
      </x:c>
      <x:c r="R123" s="26" t="n">
        <x:v>77.35</x:v>
      </x:c>
      <x:c r="S123" s="26" t="n">
        <x:v>587.87</x:v>
      </x:c>
    </x:row>
    <x:row r="124">
      <x:c r="A124" t="n">
        <x:v>500121</x:v>
      </x:c>
      <x:c r="B124" s="24" t="n">
        <x:v>45666</x:v>
      </x:c>
      <x:c r="C124" t="n">
        <x:v>1055</x:v>
      </x:c>
      <x:c r="D124" t="str">
        <x:v>Seller 1055</x:v>
      </x:c>
      <x:c r="E124" t="str">
        <x:v>Bronze</x:v>
      </x:c>
      <x:c r="F124" t="str">
        <x:v>Central</x:v>
      </x:c>
      <x:c r="G124" t="str">
        <x:v>Sports</x:v>
      </x:c>
      <x:c r="H124" t="n">
        <x:v>1</x:v>
      </x:c>
      <x:c r="I124" s="26" t="n">
        <x:v>4217.400000000001</x:v>
      </x:c>
      <x:c r="J124" s="26" t="n">
        <x:v>2764.8</x:v>
      </x:c>
      <x:c r="K124" s="28" t="n">
        <x:v>0.1166</x:v>
      </x:c>
      <x:c r="L124" s="26" t="n">
        <x:v>322.38</x:v>
      </x:c>
      <x:c r="M124" t="n">
        <x:v>0</x:v>
      </x:c>
      <x:c r="N124" s="26" t="n">
        <x:v>0</x:v>
      </x:c>
      <x:c r="O124" s="26" t="n">
        <x:v>51.15</x:v>
      </x:c>
      <x:c r="P124" s="26" t="n">
        <x:v>12.44</x:v>
      </x:c>
      <x:c r="Q124" s="26" t="n">
        <x:v>23.5</x:v>
      </x:c>
      <x:c r="R124" s="26" t="n">
        <x:v>29.03</x:v>
      </x:c>
      <x:c r="S124" s="26" t="n">
        <x:v>206.25</x:v>
      </x:c>
    </x:row>
    <x:row r="125">
      <x:c r="A125" t="n">
        <x:v>500122</x:v>
      </x:c>
      <x:c r="B125" s="24" t="n">
        <x:v>45676</x:v>
      </x:c>
      <x:c r="C125" t="n">
        <x:v>1004</x:v>
      </x:c>
      <x:c r="D125" t="str">
        <x:v>Seller 1004</x:v>
      </x:c>
      <x:c r="E125" t="str">
        <x:v>Platinum</x:v>
      </x:c>
      <x:c r="F125" t="str">
        <x:v>East</x:v>
      </x:c>
      <x:c r="G125" t="str">
        <x:v>Sports</x:v>
      </x:c>
      <x:c r="H125" t="n">
        <x:v>2</x:v>
      </x:c>
      <x:c r="I125" s="26" t="n">
        <x:v>1980</x:v>
      </x:c>
      <x:c r="J125" s="26" t="n">
        <x:v>6490.8</x:v>
      </x:c>
      <x:c r="K125" s="28" t="n">
        <x:v>0.1242</x:v>
      </x:c>
      <x:c r="L125" s="26" t="n">
        <x:v>806.16</x:v>
      </x:c>
      <x:c r="M125" t="n">
        <x:v>0</x:v>
      </x:c>
      <x:c r="N125" s="26" t="n">
        <x:v>0</x:v>
      </x:c>
      <x:c r="O125" s="26" t="n">
        <x:v>120.08</x:v>
      </x:c>
      <x:c r="P125" s="26" t="n">
        <x:v>29.21</x:v>
      </x:c>
      <x:c r="Q125" s="26" t="n">
        <x:v>55.17</x:v>
      </x:c>
      <x:c r="R125" s="26" t="n">
        <x:v>68.15</x:v>
      </x:c>
      <x:c r="S125" s="26" t="n">
        <x:v>533.54</x:v>
      </x:c>
    </x:row>
    <x:row r="126">
      <x:c r="A126" t="n">
        <x:v>500123</x:v>
      </x:c>
      <x:c r="B126" s="24" t="n">
        <x:v>45672</x:v>
      </x:c>
      <x:c r="C126" t="n">
        <x:v>1052</x:v>
      </x:c>
      <x:c r="D126" t="str">
        <x:v>Seller 1052</x:v>
      </x:c>
      <x:c r="E126" t="str">
        <x:v>Silver</x:v>
      </x:c>
      <x:c r="F126" t="str">
        <x:v>Central</x:v>
      </x:c>
      <x:c r="G126" t="str">
        <x:v>Pet Supplies</x:v>
      </x:c>
      <x:c r="H126" t="n">
        <x:v>2</x:v>
      </x:c>
      <x:c r="I126" s="26" t="n">
        <x:v>894</x:v>
      </x:c>
      <x:c r="J126" s="26" t="n">
        <x:v>1664.4</x:v>
      </x:c>
      <x:c r="K126" s="28" t="n">
        <x:v>0.1222</x:v>
      </x:c>
      <x:c r="L126" s="26" t="n">
        <x:v>203.39</x:v>
      </x:c>
      <x:c r="M126" t="n">
        <x:v>0</x:v>
      </x:c>
      <x:c r="N126" s="26" t="n">
        <x:v>0</x:v>
      </x:c>
      <x:c r="O126" s="26" t="n">
        <x:v>30.79</x:v>
      </x:c>
      <x:c r="P126" s="26" t="n">
        <x:v>7.49</x:v>
      </x:c>
      <x:c r="Q126" s="26" t="n">
        <x:v>14.15</x:v>
      </x:c>
      <x:c r="R126" s="26" t="n">
        <x:v>17.48</x:v>
      </x:c>
      <x:c r="S126" s="26" t="n">
        <x:v>133.48</x:v>
      </x:c>
    </x:row>
    <x:row r="127">
      <x:c r="A127" t="n">
        <x:v>500124</x:v>
      </x:c>
      <x:c r="B127" s="24" t="n">
        <x:v>45662</x:v>
      </x:c>
      <x:c r="C127" t="n">
        <x:v>1044</x:v>
      </x:c>
      <x:c r="D127" t="str">
        <x:v>Seller 1044</x:v>
      </x:c>
      <x:c r="E127" t="str">
        <x:v>Silver</x:v>
      </x:c>
      <x:c r="F127" t="str">
        <x:v>East</x:v>
      </x:c>
      <x:c r="G127" t="str">
        <x:v>Pet Supplies</x:v>
      </x:c>
      <x:c r="H127" t="n">
        <x:v>2</x:v>
      </x:c>
      <x:c r="I127" s="26" t="n">
        <x:v>1764.6</x:v>
      </x:c>
      <x:c r="J127" s="26" t="n">
        <x:v>3283.8</x:v>
      </x:c>
      <x:c r="K127" s="28" t="n">
        <x:v>0.1426</x:v>
      </x:c>
      <x:c r="L127" s="26" t="n">
        <x:v>468.27</x:v>
      </x:c>
      <x:c r="M127" t="n">
        <x:v>0</x:v>
      </x:c>
      <x:c r="N127" s="26" t="n">
        <x:v>0</x:v>
      </x:c>
      <x:c r="O127" s="26" t="n">
        <x:v>60.75</x:v>
      </x:c>
      <x:c r="P127" s="26" t="n">
        <x:v>14.78</x:v>
      </x:c>
      <x:c r="Q127" s="26" t="n">
        <x:v>27.91</x:v>
      </x:c>
      <x:c r="R127" s="26" t="n">
        <x:v>34.48</x:v>
      </x:c>
      <x:c r="S127" s="26" t="n">
        <x:v>330.35</x:v>
      </x:c>
    </x:row>
    <x:row r="128">
      <x:c r="A128" t="n">
        <x:v>500125</x:v>
      </x:c>
      <x:c r="B128" s="24" t="n">
        <x:v>45666</x:v>
      </x:c>
      <x:c r="C128" t="n">
        <x:v>1021</x:v>
      </x:c>
      <x:c r="D128" t="str">
        <x:v>Seller 1021</x:v>
      </x:c>
      <x:c r="E128" t="str">
        <x:v>Gold</x:v>
      </x:c>
      <x:c r="F128" t="str">
        <x:v>Central</x:v>
      </x:c>
      <x:c r="G128" t="str">
        <x:v>Electronics</x:v>
      </x:c>
      <x:c r="H128" t="n">
        <x:v>2</x:v>
      </x:c>
      <x:c r="I128" s="26" t="n">
        <x:v>3857.4000000000005</x:v>
      </x:c>
      <x:c r="J128" s="26" t="n">
        <x:v>9381</x:v>
      </x:c>
      <x:c r="K128" s="28" t="n">
        <x:v>0.1289</x:v>
      </x:c>
      <x:c r="L128" s="26" t="n">
        <x:v>1209.21</x:v>
      </x:c>
      <x:c r="M128" t="n">
        <x:v>0</x:v>
      </x:c>
      <x:c r="N128" s="26" t="n">
        <x:v>0</x:v>
      </x:c>
      <x:c r="O128" s="26" t="n">
        <x:v>173.55</x:v>
      </x:c>
      <x:c r="P128" s="26" t="n">
        <x:v>42.21</x:v>
      </x:c>
      <x:c r="Q128" s="26" t="n">
        <x:v>79.74</x:v>
      </x:c>
      <x:c r="R128" s="26" t="n">
        <x:v>98.5</x:v>
      </x:c>
      <x:c r="S128" s="26" t="n">
        <x:v>815.21</x:v>
      </x:c>
    </x:row>
    <x:row r="129">
      <x:c r="A129" t="n">
        <x:v>500126</x:v>
      </x:c>
      <x:c r="B129" s="24" t="n">
        <x:v>45667</x:v>
      </x:c>
      <x:c r="C129" t="n">
        <x:v>1028</x:v>
      </x:c>
      <x:c r="D129" t="str">
        <x:v>Seller 1028</x:v>
      </x:c>
      <x:c r="E129" t="str">
        <x:v>Gold</x:v>
      </x:c>
      <x:c r="F129" t="str">
        <x:v>Central</x:v>
      </x:c>
      <x:c r="G129" t="str">
        <x:v>Electronics</x:v>
      </x:c>
      <x:c r="H129" t="n">
        <x:v>2</x:v>
      </x:c>
      <x:c r="I129" s="26" t="n">
        <x:v>4629</x:v>
      </x:c>
      <x:c r="J129" s="26" t="n">
        <x:v>11257.2</x:v>
      </x:c>
      <x:c r="K129" s="28" t="n">
        <x:v>0.1293</x:v>
      </x:c>
      <x:c r="L129" s="26" t="n">
        <x:v>1455.56</x:v>
      </x:c>
      <x:c r="M129" t="n">
        <x:v>0</x:v>
      </x:c>
      <x:c r="N129" s="26" t="n">
        <x:v>0</x:v>
      </x:c>
      <x:c r="O129" s="26" t="n">
        <x:v>208.26</x:v>
      </x:c>
      <x:c r="P129" s="26" t="n">
        <x:v>50.66</x:v>
      </x:c>
      <x:c r="Q129" s="26" t="n">
        <x:v>95.69</x:v>
      </x:c>
      <x:c r="R129" s="26" t="n">
        <x:v>118.2</x:v>
      </x:c>
      <x:c r="S129" s="26" t="n">
        <x:v>982.75</x:v>
      </x:c>
    </x:row>
    <x:row r="130">
      <x:c r="A130" t="n">
        <x:v>500127</x:v>
      </x:c>
      <x:c r="B130" s="24" t="n">
        <x:v>45682</x:v>
      </x:c>
      <x:c r="C130" t="n">
        <x:v>1006</x:v>
      </x:c>
      <x:c r="D130" t="str">
        <x:v>Seller 1006</x:v>
      </x:c>
      <x:c r="E130" t="str">
        <x:v>Platinum</x:v>
      </x:c>
      <x:c r="F130" t="str">
        <x:v>East</x:v>
      </x:c>
      <x:c r="G130" t="str">
        <x:v>Sports</x:v>
      </x:c>
      <x:c r="H130" t="n">
        <x:v>2</x:v>
      </x:c>
      <x:c r="I130" s="26" t="n">
        <x:v>2268</x:v>
      </x:c>
      <x:c r="J130" s="26" t="n">
        <x:v>7434.6</x:v>
      </x:c>
      <x:c r="K130" s="28" t="n">
        <x:v>0.1209</x:v>
      </x:c>
      <x:c r="L130" s="26" t="n">
        <x:v>898.84</x:v>
      </x:c>
      <x:c r="M130" t="n">
        <x:v>0</x:v>
      </x:c>
      <x:c r="N130" s="26" t="n">
        <x:v>0</x:v>
      </x:c>
      <x:c r="O130" s="26" t="n">
        <x:v>137.54</x:v>
      </x:c>
      <x:c r="P130" s="26" t="n">
        <x:v>33.46</x:v>
      </x:c>
      <x:c r="Q130" s="26" t="n">
        <x:v>63.19</x:v>
      </x:c>
      <x:c r="R130" s="26" t="n">
        <x:v>78.06</x:v>
      </x:c>
      <x:c r="S130" s="26" t="n">
        <x:v>586.59</x:v>
      </x:c>
    </x:row>
    <x:row r="131">
      <x:c r="A131" t="n">
        <x:v>500128</x:v>
      </x:c>
      <x:c r="B131" s="24" t="n">
        <x:v>45665</x:v>
      </x:c>
      <x:c r="C131" t="n">
        <x:v>1033</x:v>
      </x:c>
      <x:c r="D131" t="str">
        <x:v>Seller 1033</x:v>
      </x:c>
      <x:c r="E131" t="str">
        <x:v>Silver</x:v>
      </x:c>
      <x:c r="F131" t="str">
        <x:v>South</x:v>
      </x:c>
      <x:c r="G131" t="str">
        <x:v>Beauty</x:v>
      </x:c>
      <x:c r="H131" t="n">
        <x:v>3</x:v>
      </x:c>
      <x:c r="I131" s="26" t="n">
        <x:v>1049.3999999999999</x:v>
      </x:c>
      <x:c r="J131" s="26" t="n">
        <x:v>2929.8</x:v>
      </x:c>
      <x:c r="K131" s="28" t="n">
        <x:v>0.1433</x:v>
      </x:c>
      <x:c r="L131" s="26" t="n">
        <x:v>419.84</x:v>
      </x:c>
      <x:c r="M131" t="n">
        <x:v>0</x:v>
      </x:c>
      <x:c r="N131" s="26" t="n">
        <x:v>0</x:v>
      </x:c>
      <x:c r="O131" s="26" t="n">
        <x:v>54.2</x:v>
      </x:c>
      <x:c r="P131" s="26" t="n">
        <x:v>13.18</x:v>
      </x:c>
      <x:c r="Q131" s="26" t="n">
        <x:v>24.9</x:v>
      </x:c>
      <x:c r="R131" s="26" t="n">
        <x:v>30.76</x:v>
      </x:c>
      <x:c r="S131" s="26" t="n">
        <x:v>296.79</x:v>
      </x:c>
    </x:row>
    <x:row r="132">
      <x:c r="A132" t="n">
        <x:v>500129</x:v>
      </x:c>
      <x:c r="B132" s="24" t="n">
        <x:v>45672</x:v>
      </x:c>
      <x:c r="C132" t="n">
        <x:v>1065</x:v>
      </x:c>
      <x:c r="D132" t="str">
        <x:v>Seller 1065</x:v>
      </x:c>
      <x:c r="E132" t="str">
        <x:v>Bronze</x:v>
      </x:c>
      <x:c r="F132" t="str">
        <x:v>South</x:v>
      </x:c>
      <x:c r="G132" t="str">
        <x:v>Home &amp; Kitchen</x:v>
      </x:c>
      <x:c r="H132" t="n">
        <x:v>2</x:v>
      </x:c>
      <x:c r="I132" s="26" t="n">
        <x:v>2139.6</x:v>
      </x:c>
      <x:c r="J132" s="26" t="n">
        <x:v>2805.6</x:v>
      </x:c>
      <x:c r="K132" s="28" t="n">
        <x:v>0.1325</x:v>
      </x:c>
      <x:c r="L132" s="26" t="n">
        <x:v>371.74</x:v>
      </x:c>
      <x:c r="M132" t="n">
        <x:v>0</x:v>
      </x:c>
      <x:c r="N132" s="26" t="n">
        <x:v>0</x:v>
      </x:c>
      <x:c r="O132" s="26" t="n">
        <x:v>51.9</x:v>
      </x:c>
      <x:c r="P132" s="26" t="n">
        <x:v>12.63</x:v>
      </x:c>
      <x:c r="Q132" s="26" t="n">
        <x:v>23.85</x:v>
      </x:c>
      <x:c r="R132" s="26" t="n">
        <x:v>29.46</x:v>
      </x:c>
      <x:c r="S132" s="26" t="n">
        <x:v>253.91</x:v>
      </x:c>
    </x:row>
    <x:row r="133">
      <x:c r="A133" t="n">
        <x:v>500130</x:v>
      </x:c>
      <x:c r="B133" s="24" t="n">
        <x:v>45668</x:v>
      </x:c>
      <x:c r="C133" t="n">
        <x:v>1010</x:v>
      </x:c>
      <x:c r="D133" t="str">
        <x:v>Seller 1010</x:v>
      </x:c>
      <x:c r="E133" t="str">
        <x:v>Platinum</x:v>
      </x:c>
      <x:c r="F133" t="str">
        <x:v>West</x:v>
      </x:c>
      <x:c r="G133" t="str">
        <x:v>Sports</x:v>
      </x:c>
      <x:c r="H133" t="n">
        <x:v>1</x:v>
      </x:c>
      <x:c r="I133" s="26" t="n">
        <x:v>4719.599999999999</x:v>
      </x:c>
      <x:c r="J133" s="26" t="n">
        <x:v>7735.2</x:v>
      </x:c>
      <x:c r="K133" s="28" t="n">
        <x:v>0.1314</x:v>
      </x:c>
      <x:c r="L133" s="26" t="n">
        <x:v>1016.41</x:v>
      </x:c>
      <x:c r="M133" t="n">
        <x:v>0</x:v>
      </x:c>
      <x:c r="N133" s="26" t="n">
        <x:v>0</x:v>
      </x:c>
      <x:c r="O133" s="26" t="n">
        <x:v>143.1</x:v>
      </x:c>
      <x:c r="P133" s="26" t="n">
        <x:v>34.81</x:v>
      </x:c>
      <x:c r="Q133" s="26" t="n">
        <x:v>65.75</x:v>
      </x:c>
      <x:c r="R133" s="26" t="n">
        <x:v>81.22</x:v>
      </x:c>
      <x:c r="S133" s="26" t="n">
        <x:v>691.53</x:v>
      </x:c>
    </x:row>
    <x:row r="134">
      <x:c r="A134" t="n">
        <x:v>500131</x:v>
      </x:c>
      <x:c r="B134" s="24" t="n">
        <x:v>45671</x:v>
      </x:c>
      <x:c r="C134" t="n">
        <x:v>1022</x:v>
      </x:c>
      <x:c r="D134" t="str">
        <x:v>Seller 1022</x:v>
      </x:c>
      <x:c r="E134" t="str">
        <x:v>Gold</x:v>
      </x:c>
      <x:c r="F134" t="str">
        <x:v>East</x:v>
      </x:c>
      <x:c r="G134" t="str">
        <x:v>Sports</x:v>
      </x:c>
      <x:c r="H134" t="n">
        <x:v>1</x:v>
      </x:c>
      <x:c r="I134" s="26" t="n">
        <x:v>4698.6</x:v>
      </x:c>
      <x:c r="J134" s="26" t="n">
        <x:v>5713.2</x:v>
      </x:c>
      <x:c r="K134" s="28" t="n">
        <x:v>0.1247</x:v>
      </x:c>
      <x:c r="L134" s="26" t="n">
        <x:v>712.44</x:v>
      </x:c>
      <x:c r="M134" t="n">
        <x:v>0</x:v>
      </x:c>
      <x:c r="N134" s="26" t="n">
        <x:v>0</x:v>
      </x:c>
      <x:c r="O134" s="26" t="n">
        <x:v>105.69</x:v>
      </x:c>
      <x:c r="P134" s="26" t="n">
        <x:v>25.71</x:v>
      </x:c>
      <x:c r="Q134" s="26" t="n">
        <x:v>48.56</x:v>
      </x:c>
      <x:c r="R134" s="26" t="n">
        <x:v>59.99</x:v>
      </x:c>
      <x:c r="S134" s="26" t="n">
        <x:v>472.48</x:v>
      </x:c>
    </x:row>
    <x:row r="135">
      <x:c r="A135" t="n">
        <x:v>500132</x:v>
      </x:c>
      <x:c r="B135" s="24" t="n">
        <x:v>45660</x:v>
      </x:c>
      <x:c r="C135" t="n">
        <x:v>1076</x:v>
      </x:c>
      <x:c r="D135" t="str">
        <x:v>Seller 1076</x:v>
      </x:c>
      <x:c r="E135" t="str">
        <x:v>Bronze</x:v>
      </x:c>
      <x:c r="F135" t="str">
        <x:v>Central</x:v>
      </x:c>
      <x:c r="G135" t="str">
        <x:v>Home &amp; Kitchen</x:v>
      </x:c>
      <x:c r="H135" t="n">
        <x:v>4</x:v>
      </x:c>
      <x:c r="I135" s="26" t="n">
        <x:v>1607.3999999999999</x:v>
      </x:c>
      <x:c r="J135" s="26" t="n">
        <x:v>4215.6</x:v>
      </x:c>
      <x:c r="K135" s="28" t="n">
        <x:v>0.1409</x:v>
      </x:c>
      <x:c r="L135" s="26" t="n">
        <x:v>593.98</x:v>
      </x:c>
      <x:c r="M135" t="n">
        <x:v>0</x:v>
      </x:c>
      <x:c r="N135" s="26" t="n">
        <x:v>0</x:v>
      </x:c>
      <x:c r="O135" s="26" t="n">
        <x:v>77.99</x:v>
      </x:c>
      <x:c r="P135" s="26" t="n">
        <x:v>18.97</x:v>
      </x:c>
      <x:c r="Q135" s="26" t="n">
        <x:v>35.83</x:v>
      </x:c>
      <x:c r="R135" s="26" t="n">
        <x:v>44.26</x:v>
      </x:c>
      <x:c r="S135" s="26" t="n">
        <x:v>416.92</x:v>
      </x:c>
    </x:row>
    <x:row r="136">
      <x:c r="A136" t="n">
        <x:v>500133</x:v>
      </x:c>
      <x:c r="B136" s="24" t="n">
        <x:v>45678</x:v>
      </x:c>
      <x:c r="C136" t="n">
        <x:v>1066</x:v>
      </x:c>
      <x:c r="D136" t="str">
        <x:v>Seller 1066</x:v>
      </x:c>
      <x:c r="E136" t="str">
        <x:v>Bronze</x:v>
      </x:c>
      <x:c r="F136" t="str">
        <x:v>South</x:v>
      </x:c>
      <x:c r="G136" t="str">
        <x:v>Home &amp; Kitchen</x:v>
      </x:c>
      <x:c r="H136" t="n">
        <x:v>2</x:v>
      </x:c>
      <x:c r="I136" s="26" t="n">
        <x:v>2410.8</x:v>
      </x:c>
      <x:c r="J136" s="26" t="n">
        <x:v>3160.8</x:v>
      </x:c>
      <x:c r="K136" s="28" t="n">
        <x:v>0.1416</x:v>
      </x:c>
      <x:c r="L136" s="26" t="n">
        <x:v>447.57</x:v>
      </x:c>
      <x:c r="M136" t="n">
        <x:v>0</x:v>
      </x:c>
      <x:c r="N136" s="26" t="n">
        <x:v>0</x:v>
      </x:c>
      <x:c r="O136" s="26" t="n">
        <x:v>58.47</x:v>
      </x:c>
      <x:c r="P136" s="26" t="n">
        <x:v>14.22</x:v>
      </x:c>
      <x:c r="Q136" s="26" t="n">
        <x:v>26.87</x:v>
      </x:c>
      <x:c r="R136" s="26" t="n">
        <x:v>33.19</x:v>
      </x:c>
      <x:c r="S136" s="26" t="n">
        <x:v>314.82</x:v>
      </x:c>
    </x:row>
    <x:row r="137">
      <x:c r="A137" t="n">
        <x:v>500134</x:v>
      </x:c>
      <x:c r="B137" s="24" t="n">
        <x:v>45663</x:v>
      </x:c>
      <x:c r="C137" t="n">
        <x:v>1019</x:v>
      </x:c>
      <x:c r="D137" t="str">
        <x:v>Seller 1019</x:v>
      </x:c>
      <x:c r="E137" t="str">
        <x:v>Gold</x:v>
      </x:c>
      <x:c r="F137" t="str">
        <x:v>East</x:v>
      </x:c>
      <x:c r="G137" t="str">
        <x:v>Apparel</x:v>
      </x:c>
      <x:c r="H137" t="n">
        <x:v>2</x:v>
      </x:c>
      <x:c r="I137" s="26" t="n">
        <x:v>2082</x:v>
      </x:c>
      <x:c r="J137" s="26" t="n">
        <x:v>5063.4</x:v>
      </x:c>
      <x:c r="K137" s="28" t="n">
        <x:v>0.1225</x:v>
      </x:c>
      <x:c r="L137" s="26" t="n">
        <x:v>620.27</x:v>
      </x:c>
      <x:c r="M137" t="n">
        <x:v>0</x:v>
      </x:c>
      <x:c r="N137" s="26" t="n">
        <x:v>0</x:v>
      </x:c>
      <x:c r="O137" s="26" t="n">
        <x:v>93.67</x:v>
      </x:c>
      <x:c r="P137" s="26" t="n">
        <x:v>22.79</x:v>
      </x:c>
      <x:c r="Q137" s="26" t="n">
        <x:v>43.04</x:v>
      </x:c>
      <x:c r="R137" s="26" t="n">
        <x:v>53.17</x:v>
      </x:c>
      <x:c r="S137" s="26" t="n">
        <x:v>407.6</x:v>
      </x:c>
    </x:row>
    <x:row r="138">
      <x:c r="A138" t="n">
        <x:v>500135</x:v>
      </x:c>
      <x:c r="B138" s="24" t="n">
        <x:v>45677</x:v>
      </x:c>
      <x:c r="C138" t="n">
        <x:v>1064</x:v>
      </x:c>
      <x:c r="D138" t="str">
        <x:v>Seller 1064</x:v>
      </x:c>
      <x:c r="E138" t="str">
        <x:v>Bronze</x:v>
      </x:c>
      <x:c r="F138" t="str">
        <x:v>Central</x:v>
      </x:c>
      <x:c r="G138" t="str">
        <x:v>Pet Supplies</x:v>
      </x:c>
      <x:c r="H138" t="n">
        <x:v>1</x:v>
      </x:c>
      <x:c r="I138" s="26" t="n">
        <x:v>2992.2</x:v>
      </x:c>
      <x:c r="J138" s="26" t="n">
        <x:v>1961.4</x:v>
      </x:c>
      <x:c r="K138" s="28" t="n">
        <x:v>0.1363</x:v>
      </x:c>
      <x:c r="L138" s="26" t="n">
        <x:v>267.34</x:v>
      </x:c>
      <x:c r="M138" t="n">
        <x:v>0</x:v>
      </x:c>
      <x:c r="N138" s="26" t="n">
        <x:v>0</x:v>
      </x:c>
      <x:c r="O138" s="26" t="n">
        <x:v>36.29</x:v>
      </x:c>
      <x:c r="P138" s="26" t="n">
        <x:v>8.83</x:v>
      </x:c>
      <x:c r="Q138" s="26" t="n">
        <x:v>16.67</x:v>
      </x:c>
      <x:c r="R138" s="26" t="n">
        <x:v>20.59</x:v>
      </x:c>
      <x:c r="S138" s="26" t="n">
        <x:v>184.96</x:v>
      </x:c>
    </x:row>
    <x:row r="139">
      <x:c r="A139" t="n">
        <x:v>500136</x:v>
      </x:c>
      <x:c r="B139" s="24" t="n">
        <x:v>45676</x:v>
      </x:c>
      <x:c r="C139" t="n">
        <x:v>1042</x:v>
      </x:c>
      <x:c r="D139" t="str">
        <x:v>Seller 1042</x:v>
      </x:c>
      <x:c r="E139" t="str">
        <x:v>Silver</x:v>
      </x:c>
      <x:c r="F139" t="str">
        <x:v>East</x:v>
      </x:c>
      <x:c r="G139" t="str">
        <x:v>Pet Supplies</x:v>
      </x:c>
      <x:c r="H139" t="n">
        <x:v>2</x:v>
      </x:c>
      <x:c r="I139" s="26" t="n">
        <x:v>1806</x:v>
      </x:c>
      <x:c r="J139" s="26" t="n">
        <x:v>3360.6</x:v>
      </x:c>
      <x:c r="K139" s="28" t="n">
        <x:v>0.1313</x:v>
      </x:c>
      <x:c r="L139" s="26" t="n">
        <x:v>441.25</x:v>
      </x:c>
      <x:c r="M139" t="n">
        <x:v>0</x:v>
      </x:c>
      <x:c r="N139" s="26" t="n">
        <x:v>0</x:v>
      </x:c>
      <x:c r="O139" s="26" t="n">
        <x:v>62.17</x:v>
      </x:c>
      <x:c r="P139" s="26" t="n">
        <x:v>15.12</x:v>
      </x:c>
      <x:c r="Q139" s="26" t="n">
        <x:v>28.57</x:v>
      </x:c>
      <x:c r="R139" s="26" t="n">
        <x:v>35.29</x:v>
      </x:c>
      <x:c r="S139" s="26" t="n">
        <x:v>300.1</x:v>
      </x:c>
    </x:row>
    <x:row r="140">
      <x:c r="A140" t="n">
        <x:v>500137</x:v>
      </x:c>
      <x:c r="B140" s="24" t="n">
        <x:v>45678</x:v>
      </x:c>
      <x:c r="C140" t="n">
        <x:v>1008</x:v>
      </x:c>
      <x:c r="D140" t="str">
        <x:v>Seller 1008</x:v>
      </x:c>
      <x:c r="E140" t="str">
        <x:v>Platinum</x:v>
      </x:c>
      <x:c r="F140" t="str">
        <x:v>West</x:v>
      </x:c>
      <x:c r="G140" t="str">
        <x:v>Electronics</x:v>
      </x:c>
      <x:c r="H140" t="n">
        <x:v>3</x:v>
      </x:c>
      <x:c r="I140" s="26" t="n">
        <x:v>3248.4</x:v>
      </x:c>
      <x:c r="J140" s="26" t="n">
        <x:v>15970.8</x:v>
      </x:c>
      <x:c r="K140" s="28" t="n">
        <x:v>0.1139</x:v>
      </x:c>
      <x:c r="L140" s="26" t="n">
        <x:v>1819.07</x:v>
      </x:c>
      <x:c r="M140" t="n">
        <x:v>0</x:v>
      </x:c>
      <x:c r="N140" s="26" t="n">
        <x:v>0</x:v>
      </x:c>
      <x:c r="O140" s="26" t="n">
        <x:v>295.46</x:v>
      </x:c>
      <x:c r="P140" s="26" t="n">
        <x:v>71.87</x:v>
      </x:c>
      <x:c r="Q140" s="26" t="n">
        <x:v>135.75</x:v>
      </x:c>
      <x:c r="R140" s="26" t="n">
        <x:v>167.69</x:v>
      </x:c>
      <x:c r="S140" s="26" t="n">
        <x:v>1148.3</x:v>
      </x:c>
    </x:row>
    <x:row r="141">
      <x:c r="A141" t="n">
        <x:v>500138</x:v>
      </x:c>
      <x:c r="B141" s="24" t="n">
        <x:v>45672</x:v>
      </x:c>
      <x:c r="C141" t="n">
        <x:v>1012</x:v>
      </x:c>
      <x:c r="D141" t="str">
        <x:v>Seller 1012</x:v>
      </x:c>
      <x:c r="E141" t="str">
        <x:v>Platinum</x:v>
      </x:c>
      <x:c r="F141" t="str">
        <x:v>East</x:v>
      </x:c>
      <x:c r="G141" t="str">
        <x:v>Beauty</x:v>
      </x:c>
      <x:c r="H141" t="n">
        <x:v>1</x:v>
      </x:c>
      <x:c r="I141" s="26" t="n">
        <x:v>2629.7999999999997</x:v>
      </x:c>
      <x:c r="J141" s="26" t="n">
        <x:v>4309.8</x:v>
      </x:c>
      <x:c r="K141" s="28" t="n">
        <x:v>0.1463</x:v>
      </x:c>
      <x:c r="L141" s="26" t="n">
        <x:v>630.52</x:v>
      </x:c>
      <x:c r="M141" t="n">
        <x:v>0</x:v>
      </x:c>
      <x:c r="N141" s="26" t="n">
        <x:v>0</x:v>
      </x:c>
      <x:c r="O141" s="26" t="n">
        <x:v>79.73</x:v>
      </x:c>
      <x:c r="P141" s="26" t="n">
        <x:v>19.39</x:v>
      </x:c>
      <x:c r="Q141" s="26" t="n">
        <x:v>36.63</x:v>
      </x:c>
      <x:c r="R141" s="26" t="n">
        <x:v>45.25</x:v>
      </x:c>
      <x:c r="S141" s="26" t="n">
        <x:v>449.51</x:v>
      </x:c>
    </x:row>
    <x:row r="142">
      <x:c r="A142" t="n">
        <x:v>500139</x:v>
      </x:c>
      <x:c r="B142" s="24" t="n">
        <x:v>45686</x:v>
      </x:c>
      <x:c r="C142" t="n">
        <x:v>1074</x:v>
      </x:c>
      <x:c r="D142" t="str">
        <x:v>Seller 1074</x:v>
      </x:c>
      <x:c r="E142" t="str">
        <x:v>Bronze</x:v>
      </x:c>
      <x:c r="F142" t="str">
        <x:v>East</x:v>
      </x:c>
      <x:c r="G142" t="str">
        <x:v>Electronics</x:v>
      </x:c>
      <x:c r="H142" t="n">
        <x:v>2</x:v>
      </x:c>
      <x:c r="I142" s="26" t="n">
        <x:v>5062.200000000001</x:v>
      </x:c>
      <x:c r="J142" s="26" t="n">
        <x:v>6637.8</x:v>
      </x:c>
      <x:c r="K142" s="28" t="n">
        <x:v>0.1166</x:v>
      </x:c>
      <x:c r="L142" s="26" t="n">
        <x:v>773.97</x:v>
      </x:c>
      <x:c r="M142" t="n">
        <x:v>0</x:v>
      </x:c>
      <x:c r="N142" s="26" t="n">
        <x:v>0</x:v>
      </x:c>
      <x:c r="O142" s="26" t="n">
        <x:v>122.8</x:v>
      </x:c>
      <x:c r="P142" s="26" t="n">
        <x:v>29.87</x:v>
      </x:c>
      <x:c r="Q142" s="26" t="n">
        <x:v>56.42</x:v>
      </x:c>
      <x:c r="R142" s="26" t="n">
        <x:v>69.7</x:v>
      </x:c>
      <x:c r="S142" s="26" t="n">
        <x:v>495.18</x:v>
      </x:c>
    </x:row>
    <x:row r="143">
      <x:c r="A143" t="n">
        <x:v>500140</x:v>
      </x:c>
      <x:c r="B143" s="24" t="n">
        <x:v>45674</x:v>
      </x:c>
      <x:c r="C143" t="n">
        <x:v>1044</x:v>
      </x:c>
      <x:c r="D143" t="str">
        <x:v>Seller 1044</x:v>
      </x:c>
      <x:c r="E143" t="str">
        <x:v>Silver</x:v>
      </x:c>
      <x:c r="F143" t="str">
        <x:v>East</x:v>
      </x:c>
      <x:c r="G143" t="str">
        <x:v>Electronics</x:v>
      </x:c>
      <x:c r="H143" t="n">
        <x:v>2</x:v>
      </x:c>
      <x:c r="I143" s="26" t="n">
        <x:v>4338</x:v>
      </x:c>
      <x:c r="J143" s="26" t="n">
        <x:v>8072.4</x:v>
      </x:c>
      <x:c r="K143" s="28" t="n">
        <x:v>0.1189</x:v>
      </x:c>
      <x:c r="L143" s="26" t="n">
        <x:v>959.81</x:v>
      </x:c>
      <x:c r="M143" t="n">
        <x:v>0</x:v>
      </x:c>
      <x:c r="N143" s="26" t="n">
        <x:v>0</x:v>
      </x:c>
      <x:c r="O143" s="26" t="n">
        <x:v>149.34</x:v>
      </x:c>
      <x:c r="P143" s="26" t="n">
        <x:v>36.33</x:v>
      </x:c>
      <x:c r="Q143" s="26" t="n">
        <x:v>68.62</x:v>
      </x:c>
      <x:c r="R143" s="26" t="n">
        <x:v>84.76</x:v>
      </x:c>
      <x:c r="S143" s="26" t="n">
        <x:v>620.77</x:v>
      </x:c>
    </x:row>
    <x:row r="144">
      <x:c r="A144" t="n">
        <x:v>500141</x:v>
      </x:c>
      <x:c r="B144" s="24" t="n">
        <x:v>45683</x:v>
      </x:c>
      <x:c r="C144" t="n">
        <x:v>1079</x:v>
      </x:c>
      <x:c r="D144" t="str">
        <x:v>Seller 1079</x:v>
      </x:c>
      <x:c r="E144" t="str">
        <x:v>Bronze</x:v>
      </x:c>
      <x:c r="F144" t="str">
        <x:v>South</x:v>
      </x:c>
      <x:c r="G144" t="str">
        <x:v>Beauty</x:v>
      </x:c>
      <x:c r="H144" t="n">
        <x:v>2</x:v>
      </x:c>
      <x:c r="I144" s="26" t="n">
        <x:v>1443.6</x:v>
      </x:c>
      <x:c r="J144" s="26" t="n">
        <x:v>1892.4</x:v>
      </x:c>
      <x:c r="K144" s="28" t="n">
        <x:v>0.1428</x:v>
      </x:c>
      <x:c r="L144" s="26" t="n">
        <x:v>270.23</x:v>
      </x:c>
      <x:c r="M144" t="n">
        <x:v>0</x:v>
      </x:c>
      <x:c r="N144" s="26" t="n">
        <x:v>0</x:v>
      </x:c>
      <x:c r="O144" s="26" t="n">
        <x:v>35.01</x:v>
      </x:c>
      <x:c r="P144" s="26" t="n">
        <x:v>8.52</x:v>
      </x:c>
      <x:c r="Q144" s="26" t="n">
        <x:v>16.09</x:v>
      </x:c>
      <x:c r="R144" s="26" t="n">
        <x:v>19.87</x:v>
      </x:c>
      <x:c r="S144" s="26" t="n">
        <x:v>190.75</x:v>
      </x:c>
    </x:row>
    <x:row r="145">
      <x:c r="A145" t="n">
        <x:v>500142</x:v>
      </x:c>
      <x:c r="B145" s="24" t="n">
        <x:v>45687</x:v>
      </x:c>
      <x:c r="C145" t="n">
        <x:v>1043</x:v>
      </x:c>
      <x:c r="D145" t="str">
        <x:v>Seller 1043</x:v>
      </x:c>
      <x:c r="E145" t="str">
        <x:v>Silver</x:v>
      </x:c>
      <x:c r="F145" t="str">
        <x:v>West</x:v>
      </x:c>
      <x:c r="G145" t="str">
        <x:v>Sports</x:v>
      </x:c>
      <x:c r="H145" t="n">
        <x:v>3</x:v>
      </x:c>
      <x:c r="I145" s="26" t="n">
        <x:v>1827.6000000000001</x:v>
      </x:c>
      <x:c r="J145" s="26" t="n">
        <x:v>5101.2</x:v>
      </x:c>
      <x:c r="K145" s="28" t="n">
        <x:v>0.1228</x:v>
      </x:c>
      <x:c r="L145" s="26" t="n">
        <x:v>626.43</x:v>
      </x:c>
      <x:c r="M145" t="n">
        <x:v>0</x:v>
      </x:c>
      <x:c r="N145" s="26" t="n">
        <x:v>0</x:v>
      </x:c>
      <x:c r="O145" s="26" t="n">
        <x:v>94.37</x:v>
      </x:c>
      <x:c r="P145" s="26" t="n">
        <x:v>22.96</x:v>
      </x:c>
      <x:c r="Q145" s="26" t="n">
        <x:v>43.36</x:v>
      </x:c>
      <x:c r="R145" s="26" t="n">
        <x:v>53.56</x:v>
      </x:c>
      <x:c r="S145" s="26" t="n">
        <x:v>412.18</x:v>
      </x:c>
    </x:row>
    <x:row r="146">
      <x:c r="A146" t="n">
        <x:v>500143</x:v>
      </x:c>
      <x:c r="B146" s="24" t="n">
        <x:v>45679</x:v>
      </x:c>
      <x:c r="C146" t="n">
        <x:v>1078</x:v>
      </x:c>
      <x:c r="D146" t="str">
        <x:v>Seller 1078</x:v>
      </x:c>
      <x:c r="E146" t="str">
        <x:v>Bronze</x:v>
      </x:c>
      <x:c r="F146" t="str">
        <x:v>East</x:v>
      </x:c>
      <x:c r="G146" t="str">
        <x:v>Beauty</x:v>
      </x:c>
      <x:c r="H146" t="n">
        <x:v>3</x:v>
      </x:c>
      <x:c r="I146" s="26" t="n">
        <x:v>1032.6000000000001</x:v>
      </x:c>
      <x:c r="J146" s="26" t="n">
        <x:v>2031</x:v>
      </x:c>
      <x:c r="K146" s="28" t="n">
        <x:v>0.155</x:v>
      </x:c>
      <x:c r="L146" s="26" t="n">
        <x:v>314.81</x:v>
      </x:c>
      <x:c r="M146" t="n">
        <x:v>0</x:v>
      </x:c>
      <x:c r="N146" s="26" t="n">
        <x:v>0</x:v>
      </x:c>
      <x:c r="O146" s="26" t="n">
        <x:v>37.57</x:v>
      </x:c>
      <x:c r="P146" s="26" t="n">
        <x:v>9.14</x:v>
      </x:c>
      <x:c r="Q146" s="26" t="n">
        <x:v>17.26</x:v>
      </x:c>
      <x:c r="R146" s="26" t="n">
        <x:v>21.33</x:v>
      </x:c>
      <x:c r="S146" s="26" t="n">
        <x:v>229.5</x:v>
      </x:c>
    </x:row>
    <x:row r="147">
      <x:c r="A147" t="n">
        <x:v>500144</x:v>
      </x:c>
      <x:c r="B147" s="24" t="n">
        <x:v>45662</x:v>
      </x:c>
      <x:c r="C147" t="n">
        <x:v>1051</x:v>
      </x:c>
      <x:c r="D147" t="str">
        <x:v>Seller 1051</x:v>
      </x:c>
      <x:c r="E147" t="str">
        <x:v>Silver</x:v>
      </x:c>
      <x:c r="F147" t="str">
        <x:v>East</x:v>
      </x:c>
      <x:c r="G147" t="str">
        <x:v>Sports</x:v>
      </x:c>
      <x:c r="H147" t="n">
        <x:v>2</x:v>
      </x:c>
      <x:c r="I147" s="26" t="n">
        <x:v>2131.8</x:v>
      </x:c>
      <x:c r="J147" s="26" t="n">
        <x:v>3967.2</x:v>
      </x:c>
      <x:c r="K147" s="28" t="n">
        <x:v>0.1294</x:v>
      </x:c>
      <x:c r="L147" s="26" t="n">
        <x:v>513.36</x:v>
      </x:c>
      <x:c r="M147" t="n">
        <x:v>0</x:v>
      </x:c>
      <x:c r="N147" s="26" t="n">
        <x:v>0</x:v>
      </x:c>
      <x:c r="O147" s="26" t="n">
        <x:v>73.39</x:v>
      </x:c>
      <x:c r="P147" s="26" t="n">
        <x:v>17.85</x:v>
      </x:c>
      <x:c r="Q147" s="26" t="n">
        <x:v>33.72</x:v>
      </x:c>
      <x:c r="R147" s="26" t="n">
        <x:v>41.66</x:v>
      </x:c>
      <x:c r="S147" s="26" t="n">
        <x:v>346.73</x:v>
      </x:c>
    </x:row>
    <x:row r="148">
      <x:c r="A148" t="n">
        <x:v>500145</x:v>
      </x:c>
      <x:c r="B148" s="24" t="n">
        <x:v>45668</x:v>
      </x:c>
      <x:c r="C148" t="n">
        <x:v>1068</x:v>
      </x:c>
      <x:c r="D148" t="str">
        <x:v>Seller 1068</x:v>
      </x:c>
      <x:c r="E148" t="str">
        <x:v>Bronze</x:v>
      </x:c>
      <x:c r="F148" t="str">
        <x:v>South</x:v>
      </x:c>
      <x:c r="G148" t="str">
        <x:v>Pet Supplies</x:v>
      </x:c>
      <x:c r="H148" t="n">
        <x:v>2</x:v>
      </x:c>
      <x:c r="I148" s="26" t="n">
        <x:v>1299</x:v>
      </x:c>
      <x:c r="J148" s="26" t="n">
        <x:v>1702.8</x:v>
      </x:c>
      <x:c r="K148" s="28" t="n">
        <x:v>0.1204</x:v>
      </x:c>
      <x:c r="L148" s="26" t="n">
        <x:v>205.02</x:v>
      </x:c>
      <x:c r="M148" t="n">
        <x:v>0</x:v>
      </x:c>
      <x:c r="N148" s="26" t="n">
        <x:v>0</x:v>
      </x:c>
      <x:c r="O148" s="26" t="n">
        <x:v>31.5</x:v>
      </x:c>
      <x:c r="P148" s="26" t="n">
        <x:v>7.66</x:v>
      </x:c>
      <x:c r="Q148" s="26" t="n">
        <x:v>14.47</x:v>
      </x:c>
      <x:c r="R148" s="26" t="n">
        <x:v>17.88</x:v>
      </x:c>
      <x:c r="S148" s="26" t="n">
        <x:v>133.5</x:v>
      </x:c>
    </x:row>
    <x:row r="149">
      <x:c r="A149" t="n">
        <x:v>500146</x:v>
      </x:c>
      <x:c r="B149" s="24" t="n">
        <x:v>45675</x:v>
      </x:c>
      <x:c r="C149" t="n">
        <x:v>1063</x:v>
      </x:c>
      <x:c r="D149" t="str">
        <x:v>Seller 1063</x:v>
      </x:c>
      <x:c r="E149" t="str">
        <x:v>Bronze</x:v>
      </x:c>
      <x:c r="F149" t="str">
        <x:v>West</x:v>
      </x:c>
      <x:c r="G149" t="str">
        <x:v>Pet Supplies</x:v>
      </x:c>
      <x:c r="H149" t="n">
        <x:v>3</x:v>
      </x:c>
      <x:c r="I149" s="26" t="n">
        <x:v>1039.8</x:v>
      </x:c>
      <x:c r="J149" s="26" t="n">
        <x:v>2045.4</x:v>
      </x:c>
      <x:c r="K149" s="28" t="n">
        <x:v>0.1271</x:v>
      </x:c>
      <x:c r="L149" s="26" t="n">
        <x:v>259.97</x:v>
      </x:c>
      <x:c r="M149" t="n">
        <x:v>0</x:v>
      </x:c>
      <x:c r="N149" s="26" t="n">
        <x:v>0</x:v>
      </x:c>
      <x:c r="O149" s="26" t="n">
        <x:v>37.84</x:v>
      </x:c>
      <x:c r="P149" s="26" t="n">
        <x:v>9.2</x:v>
      </x:c>
      <x:c r="Q149" s="26" t="n">
        <x:v>17.39</x:v>
      </x:c>
      <x:c r="R149" s="26" t="n">
        <x:v>21.48</x:v>
      </x:c>
      <x:c r="S149" s="26" t="n">
        <x:v>174.06</x:v>
      </x:c>
    </x:row>
    <x:row r="150">
      <x:c r="A150" t="n">
        <x:v>500147</x:v>
      </x:c>
      <x:c r="B150" s="24" t="n">
        <x:v>45684</x:v>
      </x:c>
      <x:c r="C150" t="n">
        <x:v>1068</x:v>
      </x:c>
      <x:c r="D150" t="str">
        <x:v>Seller 1068</x:v>
      </x:c>
      <x:c r="E150" t="str">
        <x:v>Bronze</x:v>
      </x:c>
      <x:c r="F150" t="str">
        <x:v>South</x:v>
      </x:c>
      <x:c r="G150" t="str">
        <x:v>Pet Supplies</x:v>
      </x:c>
      <x:c r="H150" t="n">
        <x:v>1</x:v>
      </x:c>
      <x:c r="I150" s="26" t="n">
        <x:v>3484.2</x:v>
      </x:c>
      <x:c r="J150" s="26" t="n">
        <x:v>2284.2</x:v>
      </x:c>
      <x:c r="K150" s="28" t="n">
        <x:v>0.1231</x:v>
      </x:c>
      <x:c r="L150" s="26" t="n">
        <x:v>281.19</x:v>
      </x:c>
      <x:c r="M150" t="n">
        <x:v>0</x:v>
      </x:c>
      <x:c r="N150" s="26" t="n">
        <x:v>0</x:v>
      </x:c>
      <x:c r="O150" s="26" t="n">
        <x:v>42.26</x:v>
      </x:c>
      <x:c r="P150" s="26" t="n">
        <x:v>10.28</x:v>
      </x:c>
      <x:c r="Q150" s="26" t="n">
        <x:v>19.42</x:v>
      </x:c>
      <x:c r="R150" s="26" t="n">
        <x:v>23.98</x:v>
      </x:c>
      <x:c r="S150" s="26" t="n">
        <x:v>185.25</x:v>
      </x:c>
    </x:row>
    <x:row r="151">
      <x:c r="A151" t="n">
        <x:v>500148</x:v>
      </x:c>
      <x:c r="B151" s="24" t="n">
        <x:v>45677</x:v>
      </x:c>
      <x:c r="C151" t="n">
        <x:v>1080</x:v>
      </x:c>
      <x:c r="D151" t="str">
        <x:v>Seller 1080</x:v>
      </x:c>
      <x:c r="E151" t="str">
        <x:v>Bronze</x:v>
      </x:c>
      <x:c r="F151" t="str">
        <x:v>South</x:v>
      </x:c>
      <x:c r="G151" t="str">
        <x:v>Home &amp; Kitchen</x:v>
      </x:c>
      <x:c r="H151" t="n">
        <x:v>2</x:v>
      </x:c>
      <x:c r="I151" s="26" t="n">
        <x:v>2344.2</x:v>
      </x:c>
      <x:c r="J151" s="26" t="n">
        <x:v>3073.8</x:v>
      </x:c>
      <x:c r="K151" s="28" t="n">
        <x:v>0.1317</x:v>
      </x:c>
      <x:c r="L151" s="26" t="n">
        <x:v>404.82</x:v>
      </x:c>
      <x:c r="M151" t="n">
        <x:v>0</x:v>
      </x:c>
      <x:c r="N151" s="26" t="n">
        <x:v>0</x:v>
      </x:c>
      <x:c r="O151" s="26" t="n">
        <x:v>56.87</x:v>
      </x:c>
      <x:c r="P151" s="26" t="n">
        <x:v>13.83</x:v>
      </x:c>
      <x:c r="Q151" s="26" t="n">
        <x:v>26.13</x:v>
      </x:c>
      <x:c r="R151" s="26" t="n">
        <x:v>32.27</x:v>
      </x:c>
      <x:c r="S151" s="26" t="n">
        <x:v>275.72</x:v>
      </x:c>
    </x:row>
    <x:row r="152">
      <x:c r="A152" t="n">
        <x:v>500149</x:v>
      </x:c>
      <x:c r="B152" s="24" t="n">
        <x:v>45664</x:v>
      </x:c>
      <x:c r="C152" t="n">
        <x:v>1037</x:v>
      </x:c>
      <x:c r="D152" t="str">
        <x:v>Seller 1037</x:v>
      </x:c>
      <x:c r="E152" t="str">
        <x:v>Silver</x:v>
      </x:c>
      <x:c r="F152" t="str">
        <x:v>East</x:v>
      </x:c>
      <x:c r="G152" t="str">
        <x:v>Apparel</x:v>
      </x:c>
      <x:c r="H152" t="n">
        <x:v>2</x:v>
      </x:c>
      <x:c r="I152" s="26" t="n">
        <x:v>2146.2000000000003</x:v>
      </x:c>
      <x:c r="J152" s="26" t="n">
        <x:v>3993.6</x:v>
      </x:c>
      <x:c r="K152" s="28" t="n">
        <x:v>0.1312</x:v>
      </x:c>
      <x:c r="L152" s="26" t="n">
        <x:v>523.96</x:v>
      </x:c>
      <x:c r="M152" t="n">
        <x:v>0</x:v>
      </x:c>
      <x:c r="N152" s="26" t="n">
        <x:v>0</x:v>
      </x:c>
      <x:c r="O152" s="26" t="n">
        <x:v>73.88</x:v>
      </x:c>
      <x:c r="P152" s="26" t="n">
        <x:v>17.97</x:v>
      </x:c>
      <x:c r="Q152" s="26" t="n">
        <x:v>33.95</x:v>
      </x:c>
      <x:c r="R152" s="26" t="n">
        <x:v>41.93</x:v>
      </x:c>
      <x:c r="S152" s="26" t="n">
        <x:v>356.23</x:v>
      </x:c>
    </x:row>
    <x:row r="153">
      <x:c r="A153" t="n">
        <x:v>500150</x:v>
      </x:c>
      <x:c r="B153" s="24" t="n">
        <x:v>45671</x:v>
      </x:c>
      <x:c r="C153" t="n">
        <x:v>1048</x:v>
      </x:c>
      <x:c r="D153" t="str">
        <x:v>Seller 1048</x:v>
      </x:c>
      <x:c r="E153" t="str">
        <x:v>Silver</x:v>
      </x:c>
      <x:c r="F153" t="str">
        <x:v>East</x:v>
      </x:c>
      <x:c r="G153" t="str">
        <x:v>Electronics</x:v>
      </x:c>
      <x:c r="H153" t="n">
        <x:v>1</x:v>
      </x:c>
      <x:c r="I153" s="26" t="n">
        <x:v>8379</x:v>
      </x:c>
      <x:c r="J153" s="26" t="n">
        <x:v>7796.4</x:v>
      </x:c>
      <x:c r="K153" s="28" t="n">
        <x:v>0.1315</x:v>
      </x:c>
      <x:c r="L153" s="26" t="n">
        <x:v>1025.23</x:v>
      </x:c>
      <x:c r="M153" t="n">
        <x:v>0</x:v>
      </x:c>
      <x:c r="N153" s="26" t="n">
        <x:v>0</x:v>
      </x:c>
      <x:c r="O153" s="26" t="n">
        <x:v>144.23</x:v>
      </x:c>
      <x:c r="P153" s="26" t="n">
        <x:v>35.08</x:v>
      </x:c>
      <x:c r="Q153" s="26" t="n">
        <x:v>66.27</x:v>
      </x:c>
      <x:c r="R153" s="26" t="n">
        <x:v>81.86</x:v>
      </x:c>
      <x:c r="S153" s="26" t="n">
        <x:v>697.78</x:v>
      </x:c>
    </x:row>
    <x:row r="154">
      <x:c r="A154" t="n">
        <x:v>500151</x:v>
      </x:c>
      <x:c r="B154" s="24" t="n">
        <x:v>45661</x:v>
      </x:c>
      <x:c r="C154" t="n">
        <x:v>1021</x:v>
      </x:c>
      <x:c r="D154" t="str">
        <x:v>Seller 1021</x:v>
      </x:c>
      <x:c r="E154" t="str">
        <x:v>Gold</x:v>
      </x:c>
      <x:c r="F154" t="str">
        <x:v>Central</x:v>
      </x:c>
      <x:c r="G154" t="str">
        <x:v>Sports</x:v>
      </x:c>
      <x:c r="H154" t="n">
        <x:v>3</x:v>
      </x:c>
      <x:c r="I154" s="26" t="n">
        <x:v>1731.6</x:v>
      </x:c>
      <x:c r="J154" s="26" t="n">
        <x:v>6316.2</x:v>
      </x:c>
      <x:c r="K154" s="28" t="n">
        <x:v>0.1314</x:v>
      </x:c>
      <x:c r="L154" s="26" t="n">
        <x:v>829.95</x:v>
      </x:c>
      <x:c r="M154" t="n">
        <x:v>0</x:v>
      </x:c>
      <x:c r="N154" s="26" t="n">
        <x:v>0</x:v>
      </x:c>
      <x:c r="O154" s="26" t="n">
        <x:v>116.85</x:v>
      </x:c>
      <x:c r="P154" s="26" t="n">
        <x:v>28.42</x:v>
      </x:c>
      <x:c r="Q154" s="26" t="n">
        <x:v>53.69</x:v>
      </x:c>
      <x:c r="R154" s="26" t="n">
        <x:v>66.32</x:v>
      </x:c>
      <x:c r="S154" s="26" t="n">
        <x:v>564.67</x:v>
      </x:c>
    </x:row>
    <x:row r="155">
      <x:c r="A155" t="n">
        <x:v>500152</x:v>
      </x:c>
      <x:c r="B155" s="24" t="n">
        <x:v>45660</x:v>
      </x:c>
      <x:c r="C155" t="n">
        <x:v>1067</x:v>
      </x:c>
      <x:c r="D155" t="str">
        <x:v>Seller 1067</x:v>
      </x:c>
      <x:c r="E155" t="str">
        <x:v>Bronze</x:v>
      </x:c>
      <x:c r="F155" t="str">
        <x:v>South</x:v>
      </x:c>
      <x:c r="G155" t="str">
        <x:v>Beauty</x:v>
      </x:c>
      <x:c r="H155" t="n">
        <x:v>3</x:v>
      </x:c>
      <x:c r="I155" s="26" t="n">
        <x:v>942.6</x:v>
      </x:c>
      <x:c r="J155" s="26" t="n">
        <x:v>1854</x:v>
      </x:c>
      <x:c r="K155" s="28" t="n">
        <x:v>0.1438</x:v>
      </x:c>
      <x:c r="L155" s="26" t="n">
        <x:v>266.61</x:v>
      </x:c>
      <x:c r="M155" t="n">
        <x:v>0</x:v>
      </x:c>
      <x:c r="N155" s="26" t="n">
        <x:v>0</x:v>
      </x:c>
      <x:c r="O155" s="26" t="n">
        <x:v>34.3</x:v>
      </x:c>
      <x:c r="P155" s="26" t="n">
        <x:v>8.34</x:v>
      </x:c>
      <x:c r="Q155" s="26" t="n">
        <x:v>15.76</x:v>
      </x:c>
      <x:c r="R155" s="26" t="n">
        <x:v>19.47</x:v>
      </x:c>
      <x:c r="S155" s="26" t="n">
        <x:v>188.74</x:v>
      </x:c>
    </x:row>
    <x:row r="156">
      <x:c r="A156" t="n">
        <x:v>500153</x:v>
      </x:c>
      <x:c r="B156" s="24" t="n">
        <x:v>45660</x:v>
      </x:c>
      <x:c r="C156" t="n">
        <x:v>1029</x:v>
      </x:c>
      <x:c r="D156" t="str">
        <x:v>Seller 1029</x:v>
      </x:c>
      <x:c r="E156" t="str">
        <x:v>Gold</x:v>
      </x:c>
      <x:c r="F156" t="str">
        <x:v>West</x:v>
      </x:c>
      <x:c r="G156" t="str">
        <x:v>Beauty</x:v>
      </x:c>
      <x:c r="H156" t="n">
        <x:v>3</x:v>
      </x:c>
      <x:c r="I156" s="26" t="n">
        <x:v>787.1999999999999</x:v>
      </x:c>
      <x:c r="J156" s="26" t="n">
        <x:v>2872.8</x:v>
      </x:c>
      <x:c r="K156" s="28" t="n">
        <x:v>0.1425</x:v>
      </x:c>
      <x:c r="L156" s="26" t="n">
        <x:v>409.37</x:v>
      </x:c>
      <x:c r="M156" t="n">
        <x:v>0</x:v>
      </x:c>
      <x:c r="N156" s="26" t="n">
        <x:v>0</x:v>
      </x:c>
      <x:c r="O156" s="26" t="n">
        <x:v>53.15</x:v>
      </x:c>
      <x:c r="P156" s="26" t="n">
        <x:v>12.93</x:v>
      </x:c>
      <x:c r="Q156" s="26" t="n">
        <x:v>24.42</x:v>
      </x:c>
      <x:c r="R156" s="26" t="n">
        <x:v>30.16</x:v>
      </x:c>
      <x:c r="S156" s="26" t="n">
        <x:v>288.72</x:v>
      </x:c>
    </x:row>
    <x:row r="157">
      <x:c r="A157" t="n">
        <x:v>500154</x:v>
      </x:c>
      <x:c r="B157" s="24" t="n">
        <x:v>45659</x:v>
      </x:c>
      <x:c r="C157" t="n">
        <x:v>1048</x:v>
      </x:c>
      <x:c r="D157" t="str">
        <x:v>Seller 1048</x:v>
      </x:c>
      <x:c r="E157" t="str">
        <x:v>Silver</x:v>
      </x:c>
      <x:c r="F157" t="str">
        <x:v>East</x:v>
      </x:c>
      <x:c r="G157" t="str">
        <x:v>Electronics</x:v>
      </x:c>
      <x:c r="H157" t="n">
        <x:v>2</x:v>
      </x:c>
      <x:c r="I157" s="26" t="n">
        <x:v>4638.6</x:v>
      </x:c>
      <x:c r="J157" s="26" t="n">
        <x:v>8632.8</x:v>
      </x:c>
      <x:c r="K157" s="28" t="n">
        <x:v>0.1302</x:v>
      </x:c>
      <x:c r="L157" s="26" t="n">
        <x:v>1123.99</x:v>
      </x:c>
      <x:c r="M157" t="n">
        <x:v>0</x:v>
      </x:c>
      <x:c r="N157" s="26" t="n">
        <x:v>0</x:v>
      </x:c>
      <x:c r="O157" s="26" t="n">
        <x:v>159.71</x:v>
      </x:c>
      <x:c r="P157" s="26" t="n">
        <x:v>38.85</x:v>
      </x:c>
      <x:c r="Q157" s="26" t="n">
        <x:v>73.38</x:v>
      </x:c>
      <x:c r="R157" s="26" t="n">
        <x:v>90.64</x:v>
      </x:c>
      <x:c r="S157" s="26" t="n">
        <x:v>761.41</x:v>
      </x:c>
    </x:row>
    <x:row r="158">
      <x:c r="A158" t="n">
        <x:v>500155</x:v>
      </x:c>
      <x:c r="B158" s="24" t="n">
        <x:v>45666</x:v>
      </x:c>
      <x:c r="C158" t="n">
        <x:v>1037</x:v>
      </x:c>
      <x:c r="D158" t="str">
        <x:v>Seller 1037</x:v>
      </x:c>
      <x:c r="E158" t="str">
        <x:v>Silver</x:v>
      </x:c>
      <x:c r="F158" t="str">
        <x:v>East</x:v>
      </x:c>
      <x:c r="G158" t="str">
        <x:v>Apparel</x:v>
      </x:c>
      <x:c r="H158" t="n">
        <x:v>2</x:v>
      </x:c>
      <x:c r="I158" s="26" t="n">
        <x:v>1761.6</x:v>
      </x:c>
      <x:c r="J158" s="26" t="n">
        <x:v>3278.4</x:v>
      </x:c>
      <x:c r="K158" s="28" t="n">
        <x:v>0.1249</x:v>
      </x:c>
      <x:c r="L158" s="26" t="n">
        <x:v>409.47</x:v>
      </x:c>
      <x:c r="M158" t="n">
        <x:v>1</x:v>
      </x:c>
      <x:c r="N158" s="26" t="n">
        <x:v>1920</x:v>
      </x:c>
      <x:c r="O158" s="26" t="n">
        <x:v>60.65</x:v>
      </x:c>
      <x:c r="P158" s="26" t="n">
        <x:v>14.75</x:v>
      </x:c>
      <x:c r="Q158" s="26" t="n">
        <x:v>27.87</x:v>
      </x:c>
      <x:c r="R158" s="26" t="n">
        <x:v>34.42</x:v>
      </x:c>
      <x:c r="S158" s="26" t="n">
        <x:v>233.38</x:v>
      </x:c>
    </x:row>
    <x:row r="159">
      <x:c r="A159" t="n">
        <x:v>500156</x:v>
      </x:c>
      <x:c r="B159" s="24" t="n">
        <x:v>45691</x:v>
      </x:c>
      <x:c r="C159" t="n">
        <x:v>1028</x:v>
      </x:c>
      <x:c r="D159" t="str">
        <x:v>Seller 1028</x:v>
      </x:c>
      <x:c r="E159" t="str">
        <x:v>Gold</x:v>
      </x:c>
      <x:c r="F159" t="str">
        <x:v>Central</x:v>
      </x:c>
      <x:c r="G159" t="str">
        <x:v>Sports</x:v>
      </x:c>
      <x:c r="H159" t="n">
        <x:v>3</x:v>
      </x:c>
      <x:c r="I159" s="26" t="n">
        <x:v>1336.8000000000002</x:v>
      </x:c>
      <x:c r="J159" s="26" t="n">
        <x:v>4980</x:v>
      </x:c>
      <x:c r="K159" s="28" t="n">
        <x:v>0.1262</x:v>
      </x:c>
      <x:c r="L159" s="26" t="n">
        <x:v>628.48</x:v>
      </x:c>
      <x:c r="M159" t="n">
        <x:v>0</x:v>
      </x:c>
      <x:c r="N159" s="26" t="n">
        <x:v>0</x:v>
      </x:c>
      <x:c r="O159" s="26" t="n">
        <x:v>92.13</x:v>
      </x:c>
      <x:c r="P159" s="26" t="n">
        <x:v>22.41</x:v>
      </x:c>
      <x:c r="Q159" s="26" t="n">
        <x:v>42.33</x:v>
      </x:c>
      <x:c r="R159" s="26" t="n">
        <x:v>52.29</x:v>
      </x:c>
      <x:c r="S159" s="26" t="n">
        <x:v>419.32</x:v>
      </x:c>
    </x:row>
    <x:row r="160">
      <x:c r="A160" t="n">
        <x:v>500157</x:v>
      </x:c>
      <x:c r="B160" s="24" t="n">
        <x:v>45705</x:v>
      </x:c>
      <x:c r="C160" t="n">
        <x:v>1007</x:v>
      </x:c>
      <x:c r="D160" t="str">
        <x:v>Seller 1007</x:v>
      </x:c>
      <x:c r="E160" t="str">
        <x:v>Platinum</x:v>
      </x:c>
      <x:c r="F160" t="str">
        <x:v>South</x:v>
      </x:c>
      <x:c r="G160" t="str">
        <x:v>Home &amp; Kitchen</x:v>
      </x:c>
      <x:c r="H160" t="n">
        <x:v>1</x:v>
      </x:c>
      <x:c r="I160" s="26" t="n">
        <x:v>4498.8</x:v>
      </x:c>
      <x:c r="J160" s="26" t="n">
        <x:v>7530.6</x:v>
      </x:c>
      <x:c r="K160" s="28" t="n">
        <x:v>0.1245</x:v>
      </x:c>
      <x:c r="L160" s="26" t="n">
        <x:v>937.56</x:v>
      </x:c>
      <x:c r="M160" t="n">
        <x:v>0</x:v>
      </x:c>
      <x:c r="N160" s="26" t="n">
        <x:v>0</x:v>
      </x:c>
      <x:c r="O160" s="26" t="n">
        <x:v>139.32</x:v>
      </x:c>
      <x:c r="P160" s="26" t="n">
        <x:v>33.89</x:v>
      </x:c>
      <x:c r="Q160" s="26" t="n">
        <x:v>64.01</x:v>
      </x:c>
      <x:c r="R160" s="26" t="n">
        <x:v>79.07</x:v>
      </x:c>
      <x:c r="S160" s="26" t="n">
        <x:v>621.27</x:v>
      </x:c>
    </x:row>
    <x:row r="161">
      <x:c r="A161" t="n">
        <x:v>500158</x:v>
      </x:c>
      <x:c r="B161" s="24" t="n">
        <x:v>45706</x:v>
      </x:c>
      <x:c r="C161" t="n">
        <x:v>1003</x:v>
      </x:c>
      <x:c r="D161" t="str">
        <x:v>Seller 1003</x:v>
      </x:c>
      <x:c r="E161" t="str">
        <x:v>Platinum</x:v>
      </x:c>
      <x:c r="F161" t="str">
        <x:v>East</x:v>
      </x:c>
      <x:c r="G161" t="str">
        <x:v>Pet Supplies</x:v>
      </x:c>
      <x:c r="H161" t="n">
        <x:v>1</x:v>
      </x:c>
      <x:c r="I161" s="26" t="n">
        <x:v>2939.4</x:v>
      </x:c>
      <x:c r="J161" s="26" t="n">
        <x:v>4920.6</x:v>
      </x:c>
      <x:c r="K161" s="28" t="n">
        <x:v>0.127</x:v>
      </x:c>
      <x:c r="L161" s="26" t="n">
        <x:v>624.92</x:v>
      </x:c>
      <x:c r="M161" t="n">
        <x:v>0</x:v>
      </x:c>
      <x:c r="N161" s="26" t="n">
        <x:v>0</x:v>
      </x:c>
      <x:c r="O161" s="26" t="n">
        <x:v>91.03</x:v>
      </x:c>
      <x:c r="P161" s="26" t="n">
        <x:v>22.14</x:v>
      </x:c>
      <x:c r="Q161" s="26" t="n">
        <x:v>41.83</x:v>
      </x:c>
      <x:c r="R161" s="26" t="n">
        <x:v>51.67</x:v>
      </x:c>
      <x:c r="S161" s="26" t="n">
        <x:v>418.25</x:v>
      </x:c>
    </x:row>
    <x:row r="162">
      <x:c r="A162" t="n">
        <x:v>500159</x:v>
      </x:c>
      <x:c r="B162" s="24" t="n">
        <x:v>45713</x:v>
      </x:c>
      <x:c r="C162" t="n">
        <x:v>1054</x:v>
      </x:c>
      <x:c r="D162" t="str">
        <x:v>Seller 1054</x:v>
      </x:c>
      <x:c r="E162" t="str">
        <x:v>Silver</x:v>
      </x:c>
      <x:c r="F162" t="str">
        <x:v>South</x:v>
      </x:c>
      <x:c r="G162" t="str">
        <x:v>Home &amp; Kitchen</x:v>
      </x:c>
      <x:c r="H162" t="n">
        <x:v>2</x:v>
      </x:c>
      <x:c r="I162" s="26" t="n">
        <x:v>2042.3999999999999</x:v>
      </x:c>
      <x:c r="J162" s="26" t="n">
        <x:v>3882.6</x:v>
      </x:c>
      <x:c r="K162" s="28" t="n">
        <x:v>0.1317</x:v>
      </x:c>
      <x:c r="L162" s="26" t="n">
        <x:v>511.34</x:v>
      </x:c>
      <x:c r="M162" t="n">
        <x:v>0</x:v>
      </x:c>
      <x:c r="N162" s="26" t="n">
        <x:v>0</x:v>
      </x:c>
      <x:c r="O162" s="26" t="n">
        <x:v>71.83</x:v>
      </x:c>
      <x:c r="P162" s="26" t="n">
        <x:v>17.47</x:v>
      </x:c>
      <x:c r="Q162" s="26" t="n">
        <x:v>33</x:v>
      </x:c>
      <x:c r="R162" s="26" t="n">
        <x:v>40.77</x:v>
      </x:c>
      <x:c r="S162" s="26" t="n">
        <x:v>348.27</x:v>
      </x:c>
    </x:row>
    <x:row r="163">
      <x:c r="A163" t="n">
        <x:v>500160</x:v>
      </x:c>
      <x:c r="B163" s="24" t="n">
        <x:v>45688</x:v>
      </x:c>
      <x:c r="C163" t="n">
        <x:v>1065</x:v>
      </x:c>
      <x:c r="D163" t="str">
        <x:v>Seller 1065</x:v>
      </x:c>
      <x:c r="E163" t="str">
        <x:v>Bronze</x:v>
      </x:c>
      <x:c r="F163" t="str">
        <x:v>South</x:v>
      </x:c>
      <x:c r="G163" t="str">
        <x:v>Home &amp; Kitchen</x:v>
      </x:c>
      <x:c r="H163" t="n">
        <x:v>1</x:v>
      </x:c>
      <x:c r="I163" s="26" t="n">
        <x:v>5202</x:v>
      </x:c>
      <x:c r="J163" s="26" t="n">
        <x:v>3483</x:v>
      </x:c>
      <x:c r="K163" s="28" t="n">
        <x:v>0.1383</x:v>
      </x:c>
      <x:c r="L163" s="26" t="n">
        <x:v>481.7</x:v>
      </x:c>
      <x:c r="M163" t="n">
        <x:v>0</x:v>
      </x:c>
      <x:c r="N163" s="26" t="n">
        <x:v>0</x:v>
      </x:c>
      <x:c r="O163" s="26" t="n">
        <x:v>64.44</x:v>
      </x:c>
      <x:c r="P163" s="26" t="n">
        <x:v>15.67</x:v>
      </x:c>
      <x:c r="Q163" s="26" t="n">
        <x:v>29.61</x:v>
      </x:c>
      <x:c r="R163" s="26" t="n">
        <x:v>36.57</x:v>
      </x:c>
      <x:c r="S163" s="26" t="n">
        <x:v>335.41</x:v>
      </x:c>
    </x:row>
    <x:row r="164">
      <x:c r="A164" t="n">
        <x:v>500161</x:v>
      </x:c>
      <x:c r="B164" s="24" t="n">
        <x:v>45692</x:v>
      </x:c>
      <x:c r="C164" t="n">
        <x:v>1046</x:v>
      </x:c>
      <x:c r="D164" t="str">
        <x:v>Seller 1046</x:v>
      </x:c>
      <x:c r="E164" t="str">
        <x:v>Silver</x:v>
      </x:c>
      <x:c r="F164" t="str">
        <x:v>Central</x:v>
      </x:c>
      <x:c r="G164" t="str">
        <x:v>Beauty</x:v>
      </x:c>
      <x:c r="H164" t="n">
        <x:v>2</x:v>
      </x:c>
      <x:c r="I164" s="26" t="n">
        <x:v>1628.4</x:v>
      </x:c>
      <x:c r="J164" s="26" t="n">
        <x:v>3095.4</x:v>
      </x:c>
      <x:c r="K164" s="28" t="n">
        <x:v>0.1355</x:v>
      </x:c>
      <x:c r="L164" s="26" t="n">
        <x:v>419.43</x:v>
      </x:c>
      <x:c r="M164" t="n">
        <x:v>0</x:v>
      </x:c>
      <x:c r="N164" s="26" t="n">
        <x:v>0</x:v>
      </x:c>
      <x:c r="O164" s="26" t="n">
        <x:v>57.26</x:v>
      </x:c>
      <x:c r="P164" s="26" t="n">
        <x:v>13.93</x:v>
      </x:c>
      <x:c r="Q164" s="26" t="n">
        <x:v>26.31</x:v>
      </x:c>
      <x:c r="R164" s="26" t="n">
        <x:v>32.5</x:v>
      </x:c>
      <x:c r="S164" s="26" t="n">
        <x:v>289.42</x:v>
      </x:c>
    </x:row>
    <x:row r="165">
      <x:c r="A165" t="n">
        <x:v>500162</x:v>
      </x:c>
      <x:c r="B165" s="24" t="n">
        <x:v>45703</x:v>
      </x:c>
      <x:c r="C165" t="n">
        <x:v>1006</x:v>
      </x:c>
      <x:c r="D165" t="str">
        <x:v>Seller 1006</x:v>
      </x:c>
      <x:c r="E165" t="str">
        <x:v>Platinum</x:v>
      </x:c>
      <x:c r="F165" t="str">
        <x:v>East</x:v>
      </x:c>
      <x:c r="G165" t="str">
        <x:v>Sports</x:v>
      </x:c>
      <x:c r="H165" t="n">
        <x:v>1</x:v>
      </x:c>
      <x:c r="I165" s="26" t="n">
        <x:v>5004.599999999999</x:v>
      </x:c>
      <x:c r="J165" s="26" t="n">
        <x:v>8377.2</x:v>
      </x:c>
      <x:c r="K165" s="28" t="n">
        <x:v>0.1359</x:v>
      </x:c>
      <x:c r="L165" s="26" t="n">
        <x:v>1138.46</x:v>
      </x:c>
      <x:c r="M165" t="n">
        <x:v>0</x:v>
      </x:c>
      <x:c r="N165" s="26" t="n">
        <x:v>0</x:v>
      </x:c>
      <x:c r="O165" s="26" t="n">
        <x:v>154.98</x:v>
      </x:c>
      <x:c r="P165" s="26" t="n">
        <x:v>37.7</x:v>
      </x:c>
      <x:c r="Q165" s="26" t="n">
        <x:v>71.21</x:v>
      </x:c>
      <x:c r="R165" s="26" t="n">
        <x:v>87.96</x:v>
      </x:c>
      <x:c r="S165" s="26" t="n">
        <x:v>786.62</x:v>
      </x:c>
    </x:row>
    <x:row r="166">
      <x:c r="A166" t="n">
        <x:v>500163</x:v>
      </x:c>
      <x:c r="B166" s="24" t="n">
        <x:v>45689</x:v>
      </x:c>
      <x:c r="C166" t="n">
        <x:v>1024</x:v>
      </x:c>
      <x:c r="D166" t="str">
        <x:v>Seller 1024</x:v>
      </x:c>
      <x:c r="E166" t="str">
        <x:v>Gold</x:v>
      </x:c>
      <x:c r="F166" t="str">
        <x:v>West</x:v>
      </x:c>
      <x:c r="G166" t="str">
        <x:v>Electronics</x:v>
      </x:c>
      <x:c r="H166" t="n">
        <x:v>2</x:v>
      </x:c>
      <x:c r="I166" s="26" t="n">
        <x:v>2718.6000000000004</x:v>
      </x:c>
      <x:c r="J166" s="26" t="n">
        <x:v>6753</x:v>
      </x:c>
      <x:c r="K166" s="28" t="n">
        <x:v>0.1139</x:v>
      </x:c>
      <x:c r="L166" s="26" t="n">
        <x:v>769.17</x:v>
      </x:c>
      <x:c r="M166" t="n">
        <x:v>0</x:v>
      </x:c>
      <x:c r="N166" s="26" t="n">
        <x:v>0</x:v>
      </x:c>
      <x:c r="O166" s="26" t="n">
        <x:v>124.93</x:v>
      </x:c>
      <x:c r="P166" s="26" t="n">
        <x:v>30.39</x:v>
      </x:c>
      <x:c r="Q166" s="26" t="n">
        <x:v>57.4</x:v>
      </x:c>
      <x:c r="R166" s="26" t="n">
        <x:v>70.91</x:v>
      </x:c>
      <x:c r="S166" s="26" t="n">
        <x:v>485.54</x:v>
      </x:c>
    </x:row>
    <x:row r="167">
      <x:c r="A167" t="n">
        <x:v>500164</x:v>
      </x:c>
      <x:c r="B167" s="24" t="n">
        <x:v>45697</x:v>
      </x:c>
      <x:c r="C167" t="n">
        <x:v>1041</x:v>
      </x:c>
      <x:c r="D167" t="str">
        <x:v>Seller 1041</x:v>
      </x:c>
      <x:c r="E167" t="str">
        <x:v>Silver</x:v>
      </x:c>
      <x:c r="F167" t="str">
        <x:v>West</x:v>
      </x:c>
      <x:c r="G167" t="str">
        <x:v>Sports</x:v>
      </x:c>
      <x:c r="H167" t="n">
        <x:v>1</x:v>
      </x:c>
      <x:c r="I167" s="26" t="n">
        <x:v>4960.2</x:v>
      </x:c>
      <x:c r="J167" s="26" t="n">
        <x:v>4714.2</x:v>
      </x:c>
      <x:c r="K167" s="28" t="n">
        <x:v>0.1274</x:v>
      </x:c>
      <x:c r="L167" s="26" t="n">
        <x:v>600.59</x:v>
      </x:c>
      <x:c r="M167" t="n">
        <x:v>0</x:v>
      </x:c>
      <x:c r="N167" s="26" t="n">
        <x:v>0</x:v>
      </x:c>
      <x:c r="O167" s="26" t="n">
        <x:v>87.21</x:v>
      </x:c>
      <x:c r="P167" s="26" t="n">
        <x:v>21.21</x:v>
      </x:c>
      <x:c r="Q167" s="26" t="n">
        <x:v>40.07</x:v>
      </x:c>
      <x:c r="R167" s="26" t="n">
        <x:v>49.5</x:v>
      </x:c>
      <x:c r="S167" s="26" t="n">
        <x:v>402.59</x:v>
      </x:c>
    </x:row>
    <x:row r="168">
      <x:c r="A168" t="n">
        <x:v>500165</x:v>
      </x:c>
      <x:c r="B168" s="24" t="n">
        <x:v>45711</x:v>
      </x:c>
      <x:c r="C168" t="n">
        <x:v>1046</x:v>
      </x:c>
      <x:c r="D168" t="str">
        <x:v>Seller 1046</x:v>
      </x:c>
      <x:c r="E168" t="str">
        <x:v>Silver</x:v>
      </x:c>
      <x:c r="F168" t="str">
        <x:v>Central</x:v>
      </x:c>
      <x:c r="G168" t="str">
        <x:v>Electronics</x:v>
      </x:c>
      <x:c r="H168" t="n">
        <x:v>3</x:v>
      </x:c>
      <x:c r="I168" s="26" t="n">
        <x:v>2433</x:v>
      </x:c>
      <x:c r="J168" s="26" t="n">
        <x:v>6937.2</x:v>
      </x:c>
      <x:c r="K168" s="28" t="n">
        <x:v>0.116</x:v>
      </x:c>
      <x:c r="L168" s="26" t="n">
        <x:v>804.72</x:v>
      </x:c>
      <x:c r="M168" t="n">
        <x:v>0</x:v>
      </x:c>
      <x:c r="N168" s="26" t="n">
        <x:v>0</x:v>
      </x:c>
      <x:c r="O168" s="26" t="n">
        <x:v>128.34</x:v>
      </x:c>
      <x:c r="P168" s="26" t="n">
        <x:v>31.22</x:v>
      </x:c>
      <x:c r="Q168" s="26" t="n">
        <x:v>58.97</x:v>
      </x:c>
      <x:c r="R168" s="26" t="n">
        <x:v>72.84</x:v>
      </x:c>
      <x:c r="S168" s="26" t="n">
        <x:v>513.35</x:v>
      </x:c>
    </x:row>
    <x:row r="169">
      <x:c r="A169" t="n">
        <x:v>500166</x:v>
      </x:c>
      <x:c r="B169" s="24" t="n">
        <x:v>45696</x:v>
      </x:c>
      <x:c r="C169" t="n">
        <x:v>1057</x:v>
      </x:c>
      <x:c r="D169" t="str">
        <x:v>Seller 1057</x:v>
      </x:c>
      <x:c r="E169" t="str">
        <x:v>Bronze</x:v>
      </x:c>
      <x:c r="F169" t="str">
        <x:v>South</x:v>
      </x:c>
      <x:c r="G169" t="str">
        <x:v>Apparel</x:v>
      </x:c>
      <x:c r="H169" t="n">
        <x:v>2</x:v>
      </x:c>
      <x:c r="I169" s="26" t="n">
        <x:v>2087.4</x:v>
      </x:c>
      <x:c r="J169" s="26" t="n">
        <x:v>2795.4</x:v>
      </x:c>
      <x:c r="K169" s="28" t="n">
        <x:v>0.1246</x:v>
      </x:c>
      <x:c r="L169" s="26" t="n">
        <x:v>348.31</x:v>
      </x:c>
      <x:c r="M169" t="n">
        <x:v>0</x:v>
      </x:c>
      <x:c r="N169" s="26" t="n">
        <x:v>0</x:v>
      </x:c>
      <x:c r="O169" s="26" t="n">
        <x:v>51.71</x:v>
      </x:c>
      <x:c r="P169" s="26" t="n">
        <x:v>12.58</x:v>
      </x:c>
      <x:c r="Q169" s="26" t="n">
        <x:v>23.76</x:v>
      </x:c>
      <x:c r="R169" s="26" t="n">
        <x:v>29.35</x:v>
      </x:c>
      <x:c r="S169" s="26" t="n">
        <x:v>230.9</x:v>
      </x:c>
    </x:row>
    <x:row r="170">
      <x:c r="A170" t="n">
        <x:v>500167</x:v>
      </x:c>
      <x:c r="B170" s="24" t="n">
        <x:v>45690</x:v>
      </x:c>
      <x:c r="C170" t="n">
        <x:v>1011</x:v>
      </x:c>
      <x:c r="D170" t="str">
        <x:v>Seller 1011</x:v>
      </x:c>
      <x:c r="E170" t="str">
        <x:v>Platinum</x:v>
      </x:c>
      <x:c r="F170" t="str">
        <x:v>West</x:v>
      </x:c>
      <x:c r="G170" t="str">
        <x:v>Electronics</x:v>
      </x:c>
      <x:c r="H170" t="n">
        <x:v>3</x:v>
      </x:c>
      <x:c r="I170" s="26" t="n">
        <x:v>3349.7999999999997</x:v>
      </x:c>
      <x:c r="J170" s="26" t="n">
        <x:v>16822.2</x:v>
      </x:c>
      <x:c r="K170" s="28" t="n">
        <x:v>0.1327</x:v>
      </x:c>
      <x:c r="L170" s="26" t="n">
        <x:v>2232.31</x:v>
      </x:c>
      <x:c r="M170" t="n">
        <x:v>0</x:v>
      </x:c>
      <x:c r="N170" s="26" t="n">
        <x:v>0</x:v>
      </x:c>
      <x:c r="O170" s="26" t="n">
        <x:v>311.21</x:v>
      </x:c>
      <x:c r="P170" s="26" t="n">
        <x:v>75.7</x:v>
      </x:c>
      <x:c r="Q170" s="26" t="n">
        <x:v>142.99</x:v>
      </x:c>
      <x:c r="R170" s="26" t="n">
        <x:v>176.63</x:v>
      </x:c>
      <x:c r="S170" s="26" t="n">
        <x:v>1525.77</x:v>
      </x:c>
    </x:row>
    <x:row r="171">
      <x:c r="A171" t="n">
        <x:v>500168</x:v>
      </x:c>
      <x:c r="B171" s="24" t="n">
        <x:v>45689</x:v>
      </x:c>
      <x:c r="C171" t="n">
        <x:v>1042</x:v>
      </x:c>
      <x:c r="D171" t="str">
        <x:v>Seller 1042</x:v>
      </x:c>
      <x:c r="E171" t="str">
        <x:v>Silver</x:v>
      </x:c>
      <x:c r="F171" t="str">
        <x:v>East</x:v>
      </x:c>
      <x:c r="G171" t="str">
        <x:v>Pet Supplies</x:v>
      </x:c>
      <x:c r="H171" t="n">
        <x:v>2</x:v>
      </x:c>
      <x:c r="I171" s="26" t="n">
        <x:v>1878</x:v>
      </x:c>
      <x:c r="J171" s="26" t="n">
        <x:v>3569.4</x:v>
      </x:c>
      <x:c r="K171" s="28" t="n">
        <x:v>0.1302</x:v>
      </x:c>
      <x:c r="L171" s="26" t="n">
        <x:v>464.74</x:v>
      </x:c>
      <x:c r="M171" t="n">
        <x:v>0</x:v>
      </x:c>
      <x:c r="N171" s="26" t="n">
        <x:v>0</x:v>
      </x:c>
      <x:c r="O171" s="26" t="n">
        <x:v>66.03</x:v>
      </x:c>
      <x:c r="P171" s="26" t="n">
        <x:v>16.06</x:v>
      </x:c>
      <x:c r="Q171" s="26" t="n">
        <x:v>30.34</x:v>
      </x:c>
      <x:c r="R171" s="26" t="n">
        <x:v>37.48</x:v>
      </x:c>
      <x:c r="S171" s="26" t="n">
        <x:v>314.82</x:v>
      </x:c>
    </x:row>
    <x:row r="172">
      <x:c r="A172" t="n">
        <x:v>500169</x:v>
      </x:c>
      <x:c r="B172" s="24" t="n">
        <x:v>45700</x:v>
      </x:c>
      <x:c r="C172" t="n">
        <x:v>1046</x:v>
      </x:c>
      <x:c r="D172" t="str">
        <x:v>Seller 1046</x:v>
      </x:c>
      <x:c r="E172" t="str">
        <x:v>Silver</x:v>
      </x:c>
      <x:c r="F172" t="str">
        <x:v>Central</x:v>
      </x:c>
      <x:c r="G172" t="str">
        <x:v>Sports</x:v>
      </x:c>
      <x:c r="H172" t="n">
        <x:v>1</x:v>
      </x:c>
      <x:c r="I172" s="26" t="n">
        <x:v>4767</x:v>
      </x:c>
      <x:c r="J172" s="26" t="n">
        <x:v>4530.6</x:v>
      </x:c>
      <x:c r="K172" s="28" t="n">
        <x:v>0.135</x:v>
      </x:c>
      <x:c r="L172" s="26" t="n">
        <x:v>611.63</x:v>
      </x:c>
      <x:c r="M172" t="n">
        <x:v>0</x:v>
      </x:c>
      <x:c r="N172" s="26" t="n">
        <x:v>0</x:v>
      </x:c>
      <x:c r="O172" s="26" t="n">
        <x:v>83.82</x:v>
      </x:c>
      <x:c r="P172" s="26" t="n">
        <x:v>20.39</x:v>
      </x:c>
      <x:c r="Q172" s="26" t="n">
        <x:v>38.51</x:v>
      </x:c>
      <x:c r="R172" s="26" t="n">
        <x:v>47.57</x:v>
      </x:c>
      <x:c r="S172" s="26" t="n">
        <x:v>421.35</x:v>
      </x:c>
    </x:row>
    <x:row r="173">
      <x:c r="A173" t="n">
        <x:v>500170</x:v>
      </x:c>
      <x:c r="B173" s="24" t="n">
        <x:v>45702</x:v>
      </x:c>
      <x:c r="C173" t="n">
        <x:v>1047</x:v>
      </x:c>
      <x:c r="D173" t="str">
        <x:v>Seller 1047</x:v>
      </x:c>
      <x:c r="E173" t="str">
        <x:v>Silver</x:v>
      </x:c>
      <x:c r="F173" t="str">
        <x:v>East</x:v>
      </x:c>
      <x:c r="G173" t="str">
        <x:v>Sports</x:v>
      </x:c>
      <x:c r="H173" t="n">
        <x:v>2</x:v>
      </x:c>
      <x:c r="I173" s="26" t="n">
        <x:v>2064.6</x:v>
      </x:c>
      <x:c r="J173" s="26" t="n">
        <x:v>3924</x:v>
      </x:c>
      <x:c r="K173" s="28" t="n">
        <x:v>0.1167</x:v>
      </x:c>
      <x:c r="L173" s="26" t="n">
        <x:v>457.93</x:v>
      </x:c>
      <x:c r="M173" t="n">
        <x:v>0</x:v>
      </x:c>
      <x:c r="N173" s="26" t="n">
        <x:v>0</x:v>
      </x:c>
      <x:c r="O173" s="26" t="n">
        <x:v>72.59</x:v>
      </x:c>
      <x:c r="P173" s="26" t="n">
        <x:v>17.66</x:v>
      </x:c>
      <x:c r="Q173" s="26" t="n">
        <x:v>33.35</x:v>
      </x:c>
      <x:c r="R173" s="26" t="n">
        <x:v>41.2</x:v>
      </x:c>
      <x:c r="S173" s="26" t="n">
        <x:v>293.12</x:v>
      </x:c>
    </x:row>
    <x:row r="174">
      <x:c r="A174" t="n">
        <x:v>500171</x:v>
      </x:c>
      <x:c r="B174" s="24" t="n">
        <x:v>45702</x:v>
      </x:c>
      <x:c r="C174" t="n">
        <x:v>1005</x:v>
      </x:c>
      <x:c r="D174" t="str">
        <x:v>Seller 1005</x:v>
      </x:c>
      <x:c r="E174" t="str">
        <x:v>Platinum</x:v>
      </x:c>
      <x:c r="F174" t="str">
        <x:v>East</x:v>
      </x:c>
      <x:c r="G174" t="str">
        <x:v>Electronics</x:v>
      </x:c>
      <x:c r="H174" t="n">
        <x:v>2</x:v>
      </x:c>
      <x:c r="I174" s="26" t="n">
        <x:v>5347.799999999999</x:v>
      </x:c>
      <x:c r="J174" s="26" t="n">
        <x:v>17904.6</x:v>
      </x:c>
      <x:c r="K174" s="28" t="n">
        <x:v>0.1217</x:v>
      </x:c>
      <x:c r="L174" s="26" t="n">
        <x:v>2178.99</x:v>
      </x:c>
      <x:c r="M174" t="n">
        <x:v>1</x:v>
      </x:c>
      <x:c r="N174" s="26" t="n">
        <x:v>11083.8</x:v>
      </x:c>
      <x:c r="O174" s="26" t="n">
        <x:v>331.24</x:v>
      </x:c>
      <x:c r="P174" s="26" t="n">
        <x:v>80.57</x:v>
      </x:c>
      <x:c r="Q174" s="26" t="n">
        <x:v>152.19</x:v>
      </x:c>
      <x:c r="R174" s="26" t="n">
        <x:v>188</x:v>
      </x:c>
      <x:c r="S174" s="26" t="n">
        <x:v>1205.32</x:v>
      </x:c>
    </x:row>
    <x:row r="175">
      <x:c r="A175" t="n">
        <x:v>500172</x:v>
      </x:c>
      <x:c r="B175" s="24" t="n">
        <x:v>45695</x:v>
      </x:c>
      <x:c r="C175" t="n">
        <x:v>1048</x:v>
      </x:c>
      <x:c r="D175" t="str">
        <x:v>Seller 1048</x:v>
      </x:c>
      <x:c r="E175" t="str">
        <x:v>Silver</x:v>
      </x:c>
      <x:c r="F175" t="str">
        <x:v>East</x:v>
      </x:c>
      <x:c r="G175" t="str">
        <x:v>Electronics</x:v>
      </x:c>
      <x:c r="H175" t="n">
        <x:v>2</x:v>
      </x:c>
      <x:c r="I175" s="26" t="n">
        <x:v>3444</x:v>
      </x:c>
      <x:c r="J175" s="26" t="n">
        <x:v>6546</x:v>
      </x:c>
      <x:c r="K175" s="28" t="n">
        <x:v>0.1257</x:v>
      </x:c>
      <x:c r="L175" s="26" t="n">
        <x:v>822.83</x:v>
      </x:c>
      <x:c r="M175" t="n">
        <x:v>0</x:v>
      </x:c>
      <x:c r="N175" s="26" t="n">
        <x:v>0</x:v>
      </x:c>
      <x:c r="O175" s="26" t="n">
        <x:v>121.1</x:v>
      </x:c>
      <x:c r="P175" s="26" t="n">
        <x:v>29.46</x:v>
      </x:c>
      <x:c r="Q175" s="26" t="n">
        <x:v>55.64</x:v>
      </x:c>
      <x:c r="R175" s="26" t="n">
        <x:v>68.73</x:v>
      </x:c>
      <x:c r="S175" s="26" t="n">
        <x:v>547.9</x:v>
      </x:c>
    </x:row>
    <x:row r="176">
      <x:c r="A176" t="n">
        <x:v>500173</x:v>
      </x:c>
      <x:c r="B176" s="24" t="n">
        <x:v>45710</x:v>
      </x:c>
      <x:c r="C176" t="n">
        <x:v>1015</x:v>
      </x:c>
      <x:c r="D176" t="str">
        <x:v>Seller 1015</x:v>
      </x:c>
      <x:c r="E176" t="str">
        <x:v>Gold</x:v>
      </x:c>
      <x:c r="F176" t="str">
        <x:v>West</x:v>
      </x:c>
      <x:c r="G176" t="str">
        <x:v>Pet Supplies</x:v>
      </x:c>
      <x:c r="H176" t="n">
        <x:v>3</x:v>
      </x:c>
      <x:c r="I176" s="26" t="n">
        <x:v>1317.6000000000001</x:v>
      </x:c>
      <x:c r="J176" s="26" t="n">
        <x:v>4908.6</x:v>
      </x:c>
      <x:c r="K176" s="28" t="n">
        <x:v>0.1419</x:v>
      </x:c>
      <x:c r="L176" s="26" t="n">
        <x:v>696.53</x:v>
      </x:c>
      <x:c r="M176" t="n">
        <x:v>0</x:v>
      </x:c>
      <x:c r="N176" s="26" t="n">
        <x:v>0</x:v>
      </x:c>
      <x:c r="O176" s="26" t="n">
        <x:v>90.81</x:v>
      </x:c>
      <x:c r="P176" s="26" t="n">
        <x:v>22.09</x:v>
      </x:c>
      <x:c r="Q176" s="26" t="n">
        <x:v>41.72</x:v>
      </x:c>
      <x:c r="R176" s="26" t="n">
        <x:v>51.54</x:v>
      </x:c>
      <x:c r="S176" s="26" t="n">
        <x:v>490.37</x:v>
      </x:c>
    </x:row>
    <x:row r="177">
      <x:c r="A177" t="n">
        <x:v>500174</x:v>
      </x:c>
      <x:c r="B177" s="24" t="n">
        <x:v>45690</x:v>
      </x:c>
      <x:c r="C177" t="n">
        <x:v>1058</x:v>
      </x:c>
      <x:c r="D177" t="str">
        <x:v>Seller 1058</x:v>
      </x:c>
      <x:c r="E177" t="str">
        <x:v>Bronze</x:v>
      </x:c>
      <x:c r="F177" t="str">
        <x:v>East</x:v>
      </x:c>
      <x:c r="G177" t="str">
        <x:v>Beauty</x:v>
      </x:c>
      <x:c r="H177" t="n">
        <x:v>1</x:v>
      </x:c>
      <x:c r="I177" s="26" t="n">
        <x:v>2430</x:v>
      </x:c>
      <x:c r="J177" s="26" t="n">
        <x:v>1627.2</x:v>
      </x:c>
      <x:c r="K177" s="28" t="n">
        <x:v>0.157</x:v>
      </x:c>
      <x:c r="L177" s="26" t="n">
        <x:v>255.47</x:v>
      </x:c>
      <x:c r="M177" t="n">
        <x:v>0</x:v>
      </x:c>
      <x:c r="N177" s="26" t="n">
        <x:v>0</x:v>
      </x:c>
      <x:c r="O177" s="26" t="n">
        <x:v>30.1</x:v>
      </x:c>
      <x:c r="P177" s="26" t="n">
        <x:v>7.32</x:v>
      </x:c>
      <x:c r="Q177" s="26" t="n">
        <x:v>13.83</x:v>
      </x:c>
      <x:c r="R177" s="26" t="n">
        <x:v>17.09</x:v>
      </x:c>
      <x:c r="S177" s="26" t="n">
        <x:v>187.13</x:v>
      </x:c>
    </x:row>
    <x:row r="178">
      <x:c r="A178" t="n">
        <x:v>500175</x:v>
      </x:c>
      <x:c r="B178" s="24" t="n">
        <x:v>45709</x:v>
      </x:c>
      <x:c r="C178" t="n">
        <x:v>1058</x:v>
      </x:c>
      <x:c r="D178" t="str">
        <x:v>Seller 1058</x:v>
      </x:c>
      <x:c r="E178" t="str">
        <x:v>Bronze</x:v>
      </x:c>
      <x:c r="F178" t="str">
        <x:v>East</x:v>
      </x:c>
      <x:c r="G178" t="str">
        <x:v>Beauty</x:v>
      </x:c>
      <x:c r="H178" t="n">
        <x:v>1</x:v>
      </x:c>
      <x:c r="I178" s="26" t="n">
        <x:v>1933.7999999999997</x:v>
      </x:c>
      <x:c r="J178" s="26" t="n">
        <x:v>1294.8</x:v>
      </x:c>
      <x:c r="K178" s="28" t="n">
        <x:v>0.1525</x:v>
      </x:c>
      <x:c r="L178" s="26" t="n">
        <x:v>197.46</x:v>
      </x:c>
      <x:c r="M178" t="n">
        <x:v>0</x:v>
      </x:c>
      <x:c r="N178" s="26" t="n">
        <x:v>0</x:v>
      </x:c>
      <x:c r="O178" s="26" t="n">
        <x:v>23.95</x:v>
      </x:c>
      <x:c r="P178" s="26" t="n">
        <x:v>5.83</x:v>
      </x:c>
      <x:c r="Q178" s="26" t="n">
        <x:v>11.01</x:v>
      </x:c>
      <x:c r="R178" s="26" t="n">
        <x:v>13.6</x:v>
      </x:c>
      <x:c r="S178" s="26" t="n">
        <x:v>143.08</x:v>
      </x:c>
    </x:row>
    <x:row r="179">
      <x:c r="A179" t="n">
        <x:v>500176</x:v>
      </x:c>
      <x:c r="B179" s="24" t="n">
        <x:v>45710</x:v>
      </x:c>
      <x:c r="C179" t="n">
        <x:v>1045</x:v>
      </x:c>
      <x:c r="D179" t="str">
        <x:v>Seller 1045</x:v>
      </x:c>
      <x:c r="E179" t="str">
        <x:v>Silver</x:v>
      </x:c>
      <x:c r="F179" t="str">
        <x:v>Central</x:v>
      </x:c>
      <x:c r="G179" t="str">
        <x:v>Home &amp; Kitchen</x:v>
      </x:c>
      <x:c r="H179" t="n">
        <x:v>1</x:v>
      </x:c>
      <x:c r="I179" s="26" t="n">
        <x:v>4819.2</x:v>
      </x:c>
      <x:c r="J179" s="26" t="n">
        <x:v>4579.8</x:v>
      </x:c>
      <x:c r="K179" s="28" t="n">
        <x:v>0.1302</x:v>
      </x:c>
      <x:c r="L179" s="26" t="n">
        <x:v>596.29</x:v>
      </x:c>
      <x:c r="M179" t="n">
        <x:v>0</x:v>
      </x:c>
      <x:c r="N179" s="26" t="n">
        <x:v>0</x:v>
      </x:c>
      <x:c r="O179" s="26" t="n">
        <x:v>84.73</x:v>
      </x:c>
      <x:c r="P179" s="26" t="n">
        <x:v>20.61</x:v>
      </x:c>
      <x:c r="Q179" s="26" t="n">
        <x:v>38.93</x:v>
      </x:c>
      <x:c r="R179" s="26" t="n">
        <x:v>48.09</x:v>
      </x:c>
      <x:c r="S179" s="26" t="n">
        <x:v>403.94</x:v>
      </x:c>
    </x:row>
    <x:row r="180">
      <x:c r="A180" t="n">
        <x:v>500177</x:v>
      </x:c>
      <x:c r="B180" s="24" t="n">
        <x:v>45699</x:v>
      </x:c>
      <x:c r="C180" t="n">
        <x:v>1023</x:v>
      </x:c>
      <x:c r="D180" t="str">
        <x:v>Seller 1023</x:v>
      </x:c>
      <x:c r="E180" t="str">
        <x:v>Gold</x:v>
      </x:c>
      <x:c r="F180" t="str">
        <x:v>Central</x:v>
      </x:c>
      <x:c r="G180" t="str">
        <x:v>Sports</x:v>
      </x:c>
      <x:c r="H180" t="n">
        <x:v>3</x:v>
      </x:c>
      <x:c r="I180" s="26" t="n">
        <x:v>2564.4</x:v>
      </x:c>
      <x:c r="J180" s="26" t="n">
        <x:v>9555</x:v>
      </x:c>
      <x:c r="K180" s="28" t="n">
        <x:v>0.135</x:v>
      </x:c>
      <x:c r="L180" s="26" t="n">
        <x:v>1289.93</x:v>
      </x:c>
      <x:c r="M180" t="n">
        <x:v>0</x:v>
      </x:c>
      <x:c r="N180" s="26" t="n">
        <x:v>0</x:v>
      </x:c>
      <x:c r="O180" s="26" t="n">
        <x:v>176.77</x:v>
      </x:c>
      <x:c r="P180" s="26" t="n">
        <x:v>43</x:v>
      </x:c>
      <x:c r="Q180" s="26" t="n">
        <x:v>81.22</x:v>
      </x:c>
      <x:c r="R180" s="26" t="n">
        <x:v>100.33</x:v>
      </x:c>
      <x:c r="S180" s="26" t="n">
        <x:v>888.62</x:v>
      </x:c>
    </x:row>
    <x:row r="181">
      <x:c r="A181" t="n">
        <x:v>500178</x:v>
      </x:c>
      <x:c r="B181" s="24" t="n">
        <x:v>45700</x:v>
      </x:c>
      <x:c r="C181" t="n">
        <x:v>1071</x:v>
      </x:c>
      <x:c r="D181" t="str">
        <x:v>Seller 1071</x:v>
      </x:c>
      <x:c r="E181" t="str">
        <x:v>Bronze</x:v>
      </x:c>
      <x:c r="F181" t="str">
        <x:v>Central</x:v>
      </x:c>
      <x:c r="G181" t="str">
        <x:v>Sports</x:v>
      </x:c>
      <x:c r="H181" t="n">
        <x:v>1</x:v>
      </x:c>
      <x:c r="I181" s="26" t="n">
        <x:v>4771.8</x:v>
      </x:c>
      <x:c r="J181" s="26" t="n">
        <x:v>3195</x:v>
      </x:c>
      <x:c r="K181" s="28" t="n">
        <x:v>0.1191</x:v>
      </x:c>
      <x:c r="L181" s="26" t="n">
        <x:v>380.52</x:v>
      </x:c>
      <x:c r="M181" t="n">
        <x:v>0</x:v>
      </x:c>
      <x:c r="N181" s="26" t="n">
        <x:v>0</x:v>
      </x:c>
      <x:c r="O181" s="26" t="n">
        <x:v>59.11</x:v>
      </x:c>
      <x:c r="P181" s="26" t="n">
        <x:v>14.38</x:v>
      </x:c>
      <x:c r="Q181" s="26" t="n">
        <x:v>27.16</x:v>
      </x:c>
      <x:c r="R181" s="26" t="n">
        <x:v>33.55</x:v>
      </x:c>
      <x:c r="S181" s="26" t="n">
        <x:v>246.33</x:v>
      </x:c>
    </x:row>
    <x:row r="182">
      <x:c r="A182" t="n">
        <x:v>500179</x:v>
      </x:c>
      <x:c r="B182" s="24" t="n">
        <x:v>45702</x:v>
      </x:c>
      <x:c r="C182" t="n">
        <x:v>1062</x:v>
      </x:c>
      <x:c r="D182" t="str">
        <x:v>Seller 1062</x:v>
      </x:c>
      <x:c r="E182" t="str">
        <x:v>Bronze</x:v>
      </x:c>
      <x:c r="F182" t="str">
        <x:v>West</x:v>
      </x:c>
      <x:c r="G182" t="str">
        <x:v>Electronics</x:v>
      </x:c>
      <x:c r="H182" t="n">
        <x:v>2</x:v>
      </x:c>
      <x:c r="I182" s="26" t="n">
        <x:v>3063.6000000000004</x:v>
      </x:c>
      <x:c r="J182" s="26" t="n">
        <x:v>4102.2</x:v>
      </x:c>
      <x:c r="K182" s="28" t="n">
        <x:v>0.1148</x:v>
      </x:c>
      <x:c r="L182" s="26" t="n">
        <x:v>470.93</x:v>
      </x:c>
      <x:c r="M182" t="n">
        <x:v>0</x:v>
      </x:c>
      <x:c r="N182" s="26" t="n">
        <x:v>0</x:v>
      </x:c>
      <x:c r="O182" s="26" t="n">
        <x:v>75.89</x:v>
      </x:c>
      <x:c r="P182" s="26" t="n">
        <x:v>18.46</x:v>
      </x:c>
      <x:c r="Q182" s="26" t="n">
        <x:v>34.87</x:v>
      </x:c>
      <x:c r="R182" s="26" t="n">
        <x:v>43.07</x:v>
      </x:c>
      <x:c r="S182" s="26" t="n">
        <x:v>298.64</x:v>
      </x:c>
    </x:row>
    <x:row r="183">
      <x:c r="A183" t="n">
        <x:v>500180</x:v>
      </x:c>
      <x:c r="B183" s="24" t="n">
        <x:v>45692</x:v>
      </x:c>
      <x:c r="C183" t="n">
        <x:v>1060</x:v>
      </x:c>
      <x:c r="D183" t="str">
        <x:v>Seller 1060</x:v>
      </x:c>
      <x:c r="E183" t="str">
        <x:v>Bronze</x:v>
      </x:c>
      <x:c r="F183" t="str">
        <x:v>East</x:v>
      </x:c>
      <x:c r="G183" t="str">
        <x:v>Pet Supplies</x:v>
      </x:c>
      <x:c r="H183" t="n">
        <x:v>1</x:v>
      </x:c>
      <x:c r="I183" s="26" t="n">
        <x:v>3544.2</x:v>
      </x:c>
      <x:c r="J183" s="26" t="n">
        <x:v>2373</x:v>
      </x:c>
      <x:c r="K183" s="28" t="n">
        <x:v>0.1387</x:v>
      </x:c>
      <x:c r="L183" s="26" t="n">
        <x:v>329.14</x:v>
      </x:c>
      <x:c r="M183" t="n">
        <x:v>0</x:v>
      </x:c>
      <x:c r="N183" s="26" t="n">
        <x:v>0</x:v>
      </x:c>
      <x:c r="O183" s="26" t="n">
        <x:v>43.9</x:v>
      </x:c>
      <x:c r="P183" s="26" t="n">
        <x:v>10.68</x:v>
      </x:c>
      <x:c r="Q183" s="26" t="n">
        <x:v>20.17</x:v>
      </x:c>
      <x:c r="R183" s="26" t="n">
        <x:v>24.92</x:v>
      </x:c>
      <x:c r="S183" s="26" t="n">
        <x:v>229.47</x:v>
      </x:c>
    </x:row>
    <x:row r="184">
      <x:c r="A184" t="n">
        <x:v>500181</x:v>
      </x:c>
      <x:c r="B184" s="24" t="n">
        <x:v>45710</x:v>
      </x:c>
      <x:c r="C184" t="n">
        <x:v>1056</x:v>
      </x:c>
      <x:c r="D184" t="str">
        <x:v>Seller 1056</x:v>
      </x:c>
      <x:c r="E184" t="str">
        <x:v>Bronze</x:v>
      </x:c>
      <x:c r="F184" t="str">
        <x:v>West</x:v>
      </x:c>
      <x:c r="G184" t="str">
        <x:v>Apparel</x:v>
      </x:c>
      <x:c r="H184" t="n">
        <x:v>3</x:v>
      </x:c>
      <x:c r="I184" s="26" t="n">
        <x:v>853.2</x:v>
      </x:c>
      <x:c r="J184" s="26" t="n">
        <x:v>1713.6</x:v>
      </x:c>
      <x:c r="K184" s="28" t="n">
        <x:v>0.1204</x:v>
      </x:c>
      <x:c r="L184" s="26" t="n">
        <x:v>206.32</x:v>
      </x:c>
      <x:c r="M184" t="n">
        <x:v>0</x:v>
      </x:c>
      <x:c r="N184" s="26" t="n">
        <x:v>0</x:v>
      </x:c>
      <x:c r="O184" s="26" t="n">
        <x:v>31.7</x:v>
      </x:c>
      <x:c r="P184" s="26" t="n">
        <x:v>7.71</x:v>
      </x:c>
      <x:c r="Q184" s="26" t="n">
        <x:v>14.57</x:v>
      </x:c>
      <x:c r="R184" s="26" t="n">
        <x:v>17.99</x:v>
      </x:c>
      <x:c r="S184" s="26" t="n">
        <x:v>134.35</x:v>
      </x:c>
    </x:row>
    <x:row r="185">
      <x:c r="A185" t="n">
        <x:v>500182</x:v>
      </x:c>
      <x:c r="B185" s="24" t="n">
        <x:v>45705</x:v>
      </x:c>
      <x:c r="C185" t="n">
        <x:v>1029</x:v>
      </x:c>
      <x:c r="D185" t="str">
        <x:v>Seller 1029</x:v>
      </x:c>
      <x:c r="E185" t="str">
        <x:v>Gold</x:v>
      </x:c>
      <x:c r="F185" t="str">
        <x:v>West</x:v>
      </x:c>
      <x:c r="G185" t="str">
        <x:v>Home &amp; Kitchen</x:v>
      </x:c>
      <x:c r="H185" t="n">
        <x:v>4</x:v>
      </x:c>
      <x:c r="I185" s="26" t="n">
        <x:v>927</x:v>
      </x:c>
      <x:c r="J185" s="26" t="n">
        <x:v>4604.4</x:v>
      </x:c>
      <x:c r="K185" s="28" t="n">
        <x:v>0.1433</x:v>
      </x:c>
      <x:c r="L185" s="26" t="n">
        <x:v>659.81</x:v>
      </x:c>
      <x:c r="M185" t="n">
        <x:v>0</x:v>
      </x:c>
      <x:c r="N185" s="26" t="n">
        <x:v>0</x:v>
      </x:c>
      <x:c r="O185" s="26" t="n">
        <x:v>85.18</x:v>
      </x:c>
      <x:c r="P185" s="26" t="n">
        <x:v>20.72</x:v>
      </x:c>
      <x:c r="Q185" s="26" t="n">
        <x:v>39.14</x:v>
      </x:c>
      <x:c r="R185" s="26" t="n">
        <x:v>48.35</x:v>
      </x:c>
      <x:c r="S185" s="26" t="n">
        <x:v>466.43</x:v>
      </x:c>
    </x:row>
    <x:row r="186">
      <x:c r="A186" t="n">
        <x:v>500183</x:v>
      </x:c>
      <x:c r="B186" s="24" t="n">
        <x:v>45692</x:v>
      </x:c>
      <x:c r="C186" t="n">
        <x:v>1036</x:v>
      </x:c>
      <x:c r="D186" t="str">
        <x:v>Seller 1036</x:v>
      </x:c>
      <x:c r="E186" t="str">
        <x:v>Silver</x:v>
      </x:c>
      <x:c r="F186" t="str">
        <x:v>Central</x:v>
      </x:c>
      <x:c r="G186" t="str">
        <x:v>Pet Supplies</x:v>
      </x:c>
      <x:c r="H186" t="n">
        <x:v>2</x:v>
      </x:c>
      <x:c r="I186" s="26" t="n">
        <x:v>1851.6</x:v>
      </x:c>
      <x:c r="J186" s="26" t="n">
        <x:v>3519</x:v>
      </x:c>
      <x:c r="K186" s="28" t="n">
        <x:v>0.1321</x:v>
      </x:c>
      <x:c r="L186" s="26" t="n">
        <x:v>464.86</x:v>
      </x:c>
      <x:c r="M186" t="n">
        <x:v>0</x:v>
      </x:c>
      <x:c r="N186" s="26" t="n">
        <x:v>0</x:v>
      </x:c>
      <x:c r="O186" s="26" t="n">
        <x:v>65.1</x:v>
      </x:c>
      <x:c r="P186" s="26" t="n">
        <x:v>15.84</x:v>
      </x:c>
      <x:c r="Q186" s="26" t="n">
        <x:v>29.91</x:v>
      </x:c>
      <x:c r="R186" s="26" t="n">
        <x:v>36.95</x:v>
      </x:c>
      <x:c r="S186" s="26" t="n">
        <x:v>317.06</x:v>
      </x:c>
    </x:row>
    <x:row r="187">
      <x:c r="A187" t="n">
        <x:v>500184</x:v>
      </x:c>
      <x:c r="B187" s="24" t="n">
        <x:v>45688</x:v>
      </x:c>
      <x:c r="C187" t="n">
        <x:v>1022</x:v>
      </x:c>
      <x:c r="D187" t="str">
        <x:v>Seller 1022</x:v>
      </x:c>
      <x:c r="E187" t="str">
        <x:v>Gold</x:v>
      </x:c>
      <x:c r="F187" t="str">
        <x:v>East</x:v>
      </x:c>
      <x:c r="G187" t="str">
        <x:v>Sports</x:v>
      </x:c>
      <x:c r="H187" t="n">
        <x:v>2</x:v>
      </x:c>
      <x:c r="I187" s="26" t="n">
        <x:v>1791</x:v>
      </x:c>
      <x:c r="J187" s="26" t="n">
        <x:v>4449</x:v>
      </x:c>
      <x:c r="K187" s="28" t="n">
        <x:v>0.1362</x:v>
      </x:c>
      <x:c r="L187" s="26" t="n">
        <x:v>605.95</x:v>
      </x:c>
      <x:c r="M187" t="n">
        <x:v>0</x:v>
      </x:c>
      <x:c r="N187" s="26" t="n">
        <x:v>0</x:v>
      </x:c>
      <x:c r="O187" s="26" t="n">
        <x:v>82.31</x:v>
      </x:c>
      <x:c r="P187" s="26" t="n">
        <x:v>20.02</x:v>
      </x:c>
      <x:c r="Q187" s="26" t="n">
        <x:v>37.82</x:v>
      </x:c>
      <x:c r="R187" s="26" t="n">
        <x:v>46.71</x:v>
      </x:c>
      <x:c r="S187" s="26" t="n">
        <x:v>419.1</x:v>
      </x:c>
    </x:row>
    <x:row r="188">
      <x:c r="A188" t="n">
        <x:v>500185</x:v>
      </x:c>
      <x:c r="B188" s="24" t="n">
        <x:v>45708</x:v>
      </x:c>
      <x:c r="C188" t="n">
        <x:v>1011</x:v>
      </x:c>
      <x:c r="D188" t="str">
        <x:v>Seller 1011</x:v>
      </x:c>
      <x:c r="E188" t="str">
        <x:v>Platinum</x:v>
      </x:c>
      <x:c r="F188" t="str">
        <x:v>West</x:v>
      </x:c>
      <x:c r="G188" t="str">
        <x:v>Electronics</x:v>
      </x:c>
      <x:c r="H188" t="n">
        <x:v>1</x:v>
      </x:c>
      <x:c r="I188" s="26" t="n">
        <x:v>7991.4</x:v>
      </x:c>
      <x:c r="J188" s="26" t="n">
        <x:v>13377</x:v>
      </x:c>
      <x:c r="K188" s="28" t="n">
        <x:v>0.1286</x:v>
      </x:c>
      <x:c r="L188" s="26" t="n">
        <x:v>1720.28</x:v>
      </x:c>
      <x:c r="M188" t="n">
        <x:v>0</x:v>
      </x:c>
      <x:c r="N188" s="26" t="n">
        <x:v>0</x:v>
      </x:c>
      <x:c r="O188" s="26" t="n">
        <x:v>247.47</x:v>
      </x:c>
      <x:c r="P188" s="26" t="n">
        <x:v>60.2</x:v>
      </x:c>
      <x:c r="Q188" s="26" t="n">
        <x:v>113.7</x:v>
      </x:c>
      <x:c r="R188" s="26" t="n">
        <x:v>140.46</x:v>
      </x:c>
      <x:c r="S188" s="26" t="n">
        <x:v>1158.45</x:v>
      </x:c>
    </x:row>
    <x:row r="189">
      <x:c r="A189" t="n">
        <x:v>500186</x:v>
      </x:c>
      <x:c r="B189" s="24" t="n">
        <x:v>45709</x:v>
      </x:c>
      <x:c r="C189" t="n">
        <x:v>1004</x:v>
      </x:c>
      <x:c r="D189" t="str">
        <x:v>Seller 1004</x:v>
      </x:c>
      <x:c r="E189" t="str">
        <x:v>Platinum</x:v>
      </x:c>
      <x:c r="F189" t="str">
        <x:v>East</x:v>
      </x:c>
      <x:c r="G189" t="str">
        <x:v>Sports</x:v>
      </x:c>
      <x:c r="H189" t="n">
        <x:v>2</x:v>
      </x:c>
      <x:c r="I189" s="26" t="n">
        <x:v>2064</x:v>
      </x:c>
      <x:c r="J189" s="26" t="n">
        <x:v>6909</x:v>
      </x:c>
      <x:c r="K189" s="28" t="n">
        <x:v>0.139</x:v>
      </x:c>
      <x:c r="L189" s="26" t="n">
        <x:v>960.35</x:v>
      </x:c>
      <x:c r="M189" t="n">
        <x:v>0</x:v>
      </x:c>
      <x:c r="N189" s="26" t="n">
        <x:v>0</x:v>
      </x:c>
      <x:c r="O189" s="26" t="n">
        <x:v>127.82</x:v>
      </x:c>
      <x:c r="P189" s="26" t="n">
        <x:v>31.09</x:v>
      </x:c>
      <x:c r="Q189" s="26" t="n">
        <x:v>58.73</x:v>
      </x:c>
      <x:c r="R189" s="26" t="n">
        <x:v>72.54</x:v>
      </x:c>
      <x:c r="S189" s="26" t="n">
        <x:v>670.17</x:v>
      </x:c>
    </x:row>
    <x:row r="190">
      <x:c r="A190" t="n">
        <x:v>500187</x:v>
      </x:c>
      <x:c r="B190" s="24" t="n">
        <x:v>45707</x:v>
      </x:c>
      <x:c r="C190" t="n">
        <x:v>1052</x:v>
      </x:c>
      <x:c r="D190" t="str">
        <x:v>Seller 1052</x:v>
      </x:c>
      <x:c r="E190" t="str">
        <x:v>Silver</x:v>
      </x:c>
      <x:c r="F190" t="str">
        <x:v>Central</x:v>
      </x:c>
      <x:c r="G190" t="str">
        <x:v>Pet Supplies</x:v>
      </x:c>
      <x:c r="H190" t="n">
        <x:v>2</x:v>
      </x:c>
      <x:c r="I190" s="26" t="n">
        <x:v>1599</x:v>
      </x:c>
      <x:c r="J190" s="26" t="n">
        <x:v>3039</x:v>
      </x:c>
      <x:c r="K190" s="28" t="n">
        <x:v>0.1306</x:v>
      </x:c>
      <x:c r="L190" s="26" t="n">
        <x:v>396.89</x:v>
      </x:c>
      <x:c r="M190" t="n">
        <x:v>0</x:v>
      </x:c>
      <x:c r="N190" s="26" t="n">
        <x:v>0</x:v>
      </x:c>
      <x:c r="O190" s="26" t="n">
        <x:v>56.22</x:v>
      </x:c>
      <x:c r="P190" s="26" t="n">
        <x:v>13.68</x:v>
      </x:c>
      <x:c r="Q190" s="26" t="n">
        <x:v>25.83</x:v>
      </x:c>
      <x:c r="R190" s="26" t="n">
        <x:v>31.91</x:v>
      </x:c>
      <x:c r="S190" s="26" t="n">
        <x:v>269.26</x:v>
      </x:c>
    </x:row>
    <x:row r="191">
      <x:c r="A191" t="n">
        <x:v>500188</x:v>
      </x:c>
      <x:c r="B191" s="24" t="n">
        <x:v>45699</x:v>
      </x:c>
      <x:c r="C191" t="n">
        <x:v>1019</x:v>
      </x:c>
      <x:c r="D191" t="str">
        <x:v>Seller 1019</x:v>
      </x:c>
      <x:c r="E191" t="str">
        <x:v>Gold</x:v>
      </x:c>
      <x:c r="F191" t="str">
        <x:v>East</x:v>
      </x:c>
      <x:c r="G191" t="str">
        <x:v>Apparel</x:v>
      </x:c>
      <x:c r="H191" t="n">
        <x:v>2</x:v>
      </x:c>
      <x:c r="I191" s="26" t="n">
        <x:v>1429.8</x:v>
      </x:c>
      <x:c r="J191" s="26" t="n">
        <x:v>3551.4</x:v>
      </x:c>
      <x:c r="K191" s="28" t="n">
        <x:v>0.1287</x:v>
      </x:c>
      <x:c r="L191" s="26" t="n">
        <x:v>457.07</x:v>
      </x:c>
      <x:c r="M191" t="n">
        <x:v>0</x:v>
      </x:c>
      <x:c r="N191" s="26" t="n">
        <x:v>0</x:v>
      </x:c>
      <x:c r="O191" s="26" t="n">
        <x:v>65.7</x:v>
      </x:c>
      <x:c r="P191" s="26" t="n">
        <x:v>15.98</x:v>
      </x:c>
      <x:c r="Q191" s="26" t="n">
        <x:v>30.19</x:v>
      </x:c>
      <x:c r="R191" s="26" t="n">
        <x:v>37.29</x:v>
      </x:c>
      <x:c r="S191" s="26" t="n">
        <x:v>307.91</x:v>
      </x:c>
    </x:row>
    <x:row r="192">
      <x:c r="A192" t="n">
        <x:v>500189</x:v>
      </x:c>
      <x:c r="B192" s="24" t="n">
        <x:v>45697</x:v>
      </x:c>
      <x:c r="C192" t="n">
        <x:v>1066</x:v>
      </x:c>
      <x:c r="D192" t="str">
        <x:v>Seller 1066</x:v>
      </x:c>
      <x:c r="E192" t="str">
        <x:v>Bronze</x:v>
      </x:c>
      <x:c r="F192" t="str">
        <x:v>South</x:v>
      </x:c>
      <x:c r="G192" t="str">
        <x:v>Home &amp; Kitchen</x:v>
      </x:c>
      <x:c r="H192" t="n">
        <x:v>2</x:v>
      </x:c>
      <x:c r="I192" s="26" t="n">
        <x:v>2860.2000000000003</x:v>
      </x:c>
      <x:c r="J192" s="26" t="n">
        <x:v>3830.4</x:v>
      </x:c>
      <x:c r="K192" s="28" t="n">
        <x:v>0.1294</x:v>
      </x:c>
      <x:c r="L192" s="26" t="n">
        <x:v>495.65</x:v>
      </x:c>
      <x:c r="M192" t="n">
        <x:v>0</x:v>
      </x:c>
      <x:c r="N192" s="26" t="n">
        <x:v>0</x:v>
      </x:c>
      <x:c r="O192" s="26" t="n">
        <x:v>70.86</x:v>
      </x:c>
      <x:c r="P192" s="26" t="n">
        <x:v>17.24</x:v>
      </x:c>
      <x:c r="Q192" s="26" t="n">
        <x:v>32.56</x:v>
      </x:c>
      <x:c r="R192" s="26" t="n">
        <x:v>40.22</x:v>
      </x:c>
      <x:c r="S192" s="26" t="n">
        <x:v>334.78</x:v>
      </x:c>
    </x:row>
    <x:row r="193">
      <x:c r="A193" t="n">
        <x:v>500190</x:v>
      </x:c>
      <x:c r="B193" s="24" t="n">
        <x:v>45698</x:v>
      </x:c>
      <x:c r="C193" t="n">
        <x:v>1050</x:v>
      </x:c>
      <x:c r="D193" t="str">
        <x:v>Seller 1050</x:v>
      </x:c>
      <x:c r="E193" t="str">
        <x:v>Silver</x:v>
      </x:c>
      <x:c r="F193" t="str">
        <x:v>East</x:v>
      </x:c>
      <x:c r="G193" t="str">
        <x:v>Apparel</x:v>
      </x:c>
      <x:c r="H193" t="n">
        <x:v>2</x:v>
      </x:c>
      <x:c r="I193" s="26" t="n">
        <x:v>2535</x:v>
      </x:c>
      <x:c r="J193" s="26" t="n">
        <x:v>4818.6</x:v>
      </x:c>
      <x:c r="K193" s="28" t="n">
        <x:v>0.1118</x:v>
      </x:c>
      <x:c r="L193" s="26" t="n">
        <x:v>538.72</x:v>
      </x:c>
      <x:c r="M193" t="n">
        <x:v>0</x:v>
      </x:c>
      <x:c r="N193" s="26" t="n">
        <x:v>0</x:v>
      </x:c>
      <x:c r="O193" s="26" t="n">
        <x:v>89.14</x:v>
      </x:c>
      <x:c r="P193" s="26" t="n">
        <x:v>21.68</x:v>
      </x:c>
      <x:c r="Q193" s="26" t="n">
        <x:v>40.96</x:v>
      </x:c>
      <x:c r="R193" s="26" t="n">
        <x:v>50.6</x:v>
      </x:c>
      <x:c r="S193" s="26" t="n">
        <x:v>336.34</x:v>
      </x:c>
    </x:row>
    <x:row r="194">
      <x:c r="A194" t="n">
        <x:v>500191</x:v>
      </x:c>
      <x:c r="B194" s="24" t="n">
        <x:v>45700</x:v>
      </x:c>
      <x:c r="C194" t="n">
        <x:v>1025</x:v>
      </x:c>
      <x:c r="D194" t="str">
        <x:v>Seller 1025</x:v>
      </x:c>
      <x:c r="E194" t="str">
        <x:v>Gold</x:v>
      </x:c>
      <x:c r="F194" t="str">
        <x:v>Central</x:v>
      </x:c>
      <x:c r="G194" t="str">
        <x:v>Apparel</x:v>
      </x:c>
      <x:c r="H194" t="n">
        <x:v>3</x:v>
      </x:c>
      <x:c r="I194" s="26" t="n">
        <x:v>1271.4</x:v>
      </x:c>
      <x:c r="J194" s="26" t="n">
        <x:v>4736.4</x:v>
      </x:c>
      <x:c r="K194" s="28" t="n">
        <x:v>0.1291</x:v>
      </x:c>
      <x:c r="L194" s="26" t="n">
        <x:v>611.47</x:v>
      </x:c>
      <x:c r="M194" t="n">
        <x:v>0</x:v>
      </x:c>
      <x:c r="N194" s="26" t="n">
        <x:v>0</x:v>
      </x:c>
      <x:c r="O194" s="26" t="n">
        <x:v>87.62</x:v>
      </x:c>
      <x:c r="P194" s="26" t="n">
        <x:v>21.31</x:v>
      </x:c>
      <x:c r="Q194" s="26" t="n">
        <x:v>40.26</x:v>
      </x:c>
      <x:c r="R194" s="26" t="n">
        <x:v>49.73</x:v>
      </x:c>
      <x:c r="S194" s="26" t="n">
        <x:v>412.54</x:v>
      </x:c>
    </x:row>
    <x:row r="195">
      <x:c r="A195" t="n">
        <x:v>500192</x:v>
      </x:c>
      <x:c r="B195" s="24" t="n">
        <x:v>45714</x:v>
      </x:c>
      <x:c r="C195" t="n">
        <x:v>1065</x:v>
      </x:c>
      <x:c r="D195" t="str">
        <x:v>Seller 1065</x:v>
      </x:c>
      <x:c r="E195" t="str">
        <x:v>Bronze</x:v>
      </x:c>
      <x:c r="F195" t="str">
        <x:v>South</x:v>
      </x:c>
      <x:c r="G195" t="str">
        <x:v>Home &amp; Kitchen</x:v>
      </x:c>
      <x:c r="H195" t="n">
        <x:v>2</x:v>
      </x:c>
      <x:c r="I195" s="26" t="n">
        <x:v>2980.2000000000003</x:v>
      </x:c>
      <x:c r="J195" s="26" t="n">
        <x:v>3990.6</x:v>
      </x:c>
      <x:c r="K195" s="28" t="n">
        <x:v>0.1242</x:v>
      </x:c>
      <x:c r="L195" s="26" t="n">
        <x:v>495.63</x:v>
      </x:c>
      <x:c r="M195" t="n">
        <x:v>0</x:v>
      </x:c>
      <x:c r="N195" s="26" t="n">
        <x:v>0</x:v>
      </x:c>
      <x:c r="O195" s="26" t="n">
        <x:v>73.83</x:v>
      </x:c>
      <x:c r="P195" s="26" t="n">
        <x:v>17.96</x:v>
      </x:c>
      <x:c r="Q195" s="26" t="n">
        <x:v>33.92</x:v>
      </x:c>
      <x:c r="R195" s="26" t="n">
        <x:v>41.9</x:v>
      </x:c>
      <x:c r="S195" s="26" t="n">
        <x:v>328.03</x:v>
      </x:c>
    </x:row>
    <x:row r="196">
      <x:c r="A196" t="n">
        <x:v>500193</x:v>
      </x:c>
      <x:c r="B196" s="24" t="n">
        <x:v>45700</x:v>
      </x:c>
      <x:c r="C196" t="n">
        <x:v>1061</x:v>
      </x:c>
      <x:c r="D196" t="str">
        <x:v>Seller 1061</x:v>
      </x:c>
      <x:c r="E196" t="str">
        <x:v>Bronze</x:v>
      </x:c>
      <x:c r="F196" t="str">
        <x:v>Central</x:v>
      </x:c>
      <x:c r="G196" t="str">
        <x:v>Electronics</x:v>
      </x:c>
      <x:c r="H196" t="n">
        <x:v>3</x:v>
      </x:c>
      <x:c r="I196" s="26" t="n">
        <x:v>2917.2</x:v>
      </x:c>
      <x:c r="J196" s="26" t="n">
        <x:v>5859.6</x:v>
      </x:c>
      <x:c r="K196" s="28" t="n">
        <x:v>0.1162</x:v>
      </x:c>
      <x:c r="L196" s="26" t="n">
        <x:v>680.89</x:v>
      </x:c>
      <x:c r="M196" t="n">
        <x:v>0</x:v>
      </x:c>
      <x:c r="N196" s="26" t="n">
        <x:v>0</x:v>
      </x:c>
      <x:c r="O196" s="26" t="n">
        <x:v>108.4</x:v>
      </x:c>
      <x:c r="P196" s="26" t="n">
        <x:v>26.37</x:v>
      </x:c>
      <x:c r="Q196" s="26" t="n">
        <x:v>49.81</x:v>
      </x:c>
      <x:c r="R196" s="26" t="n">
        <x:v>61.53</x:v>
      </x:c>
      <x:c r="S196" s="26" t="n">
        <x:v>434.78</x:v>
      </x:c>
    </x:row>
    <x:row r="197">
      <x:c r="A197" t="n">
        <x:v>500194</x:v>
      </x:c>
      <x:c r="B197" s="24" t="n">
        <x:v>45702</x:v>
      </x:c>
      <x:c r="C197" t="n">
        <x:v>1047</x:v>
      </x:c>
      <x:c r="D197" t="str">
        <x:v>Seller 1047</x:v>
      </x:c>
      <x:c r="E197" t="str">
        <x:v>Silver</x:v>
      </x:c>
      <x:c r="F197" t="str">
        <x:v>East</x:v>
      </x:c>
      <x:c r="G197" t="str">
        <x:v>Sports</x:v>
      </x:c>
      <x:c r="H197" t="n">
        <x:v>3</x:v>
      </x:c>
      <x:c r="I197" s="26" t="n">
        <x:v>1668</x:v>
      </x:c>
      <x:c r="J197" s="26" t="n">
        <x:v>4755.6</x:v>
      </x:c>
      <x:c r="K197" s="28" t="n">
        <x:v>0.1247</x:v>
      </x:c>
      <x:c r="L197" s="26" t="n">
        <x:v>593.02</x:v>
      </x:c>
      <x:c r="M197" t="n">
        <x:v>0</x:v>
      </x:c>
      <x:c r="N197" s="26" t="n">
        <x:v>0</x:v>
      </x:c>
      <x:c r="O197" s="26" t="n">
        <x:v>87.98</x:v>
      </x:c>
      <x:c r="P197" s="26" t="n">
        <x:v>21.4</x:v>
      </x:c>
      <x:c r="Q197" s="26" t="n">
        <x:v>40.42</x:v>
      </x:c>
      <x:c r="R197" s="26" t="n">
        <x:v>49.93</x:v>
      </x:c>
      <x:c r="S197" s="26" t="n">
        <x:v>393.29</x:v>
      </x:c>
    </x:row>
    <x:row r="198">
      <x:c r="A198" t="n">
        <x:v>500195</x:v>
      </x:c>
      <x:c r="B198" s="24" t="n">
        <x:v>45713</x:v>
      </x:c>
      <x:c r="C198" t="n">
        <x:v>1071</x:v>
      </x:c>
      <x:c r="D198" t="str">
        <x:v>Seller 1071</x:v>
      </x:c>
      <x:c r="E198" t="str">
        <x:v>Bronze</x:v>
      </x:c>
      <x:c r="F198" t="str">
        <x:v>Central</x:v>
      </x:c>
      <x:c r="G198" t="str">
        <x:v>Sports</x:v>
      </x:c>
      <x:c r="H198" t="n">
        <x:v>3</x:v>
      </x:c>
      <x:c r="I198" s="26" t="n">
        <x:v>1482</x:v>
      </x:c>
      <x:c r="J198" s="26" t="n">
        <x:v>2977.2</x:v>
      </x:c>
      <x:c r="K198" s="28" t="n">
        <x:v>0.1189</x:v>
      </x:c>
      <x:c r="L198" s="26" t="n">
        <x:v>353.99</x:v>
      </x:c>
      <x:c r="M198" t="n">
        <x:v>0</x:v>
      </x:c>
      <x:c r="N198" s="26" t="n">
        <x:v>0</x:v>
      </x:c>
      <x:c r="O198" s="26" t="n">
        <x:v>55.08</x:v>
      </x:c>
      <x:c r="P198" s="26" t="n">
        <x:v>13.4</x:v>
      </x:c>
      <x:c r="Q198" s="26" t="n">
        <x:v>25.31</x:v>
      </x:c>
      <x:c r="R198" s="26" t="n">
        <x:v>31.26</x:v>
      </x:c>
      <x:c r="S198" s="26" t="n">
        <x:v>228.95</x:v>
      </x:c>
    </x:row>
    <x:row r="199">
      <x:c r="A199" t="n">
        <x:v>500196</x:v>
      </x:c>
      <x:c r="B199" s="24" t="n">
        <x:v>45689</x:v>
      </x:c>
      <x:c r="C199" t="n">
        <x:v>1044</x:v>
      </x:c>
      <x:c r="D199" t="str">
        <x:v>Seller 1044</x:v>
      </x:c>
      <x:c r="E199" t="str">
        <x:v>Silver</x:v>
      </x:c>
      <x:c r="F199" t="str">
        <x:v>East</x:v>
      </x:c>
      <x:c r="G199" t="str">
        <x:v>Pet Supplies</x:v>
      </x:c>
      <x:c r="H199" t="n">
        <x:v>2</x:v>
      </x:c>
      <x:c r="I199" s="26" t="n">
        <x:v>1664.3999999999999</x:v>
      </x:c>
      <x:c r="J199" s="26" t="n">
        <x:v>3163.2</x:v>
      </x:c>
      <x:c r="K199" s="28" t="n">
        <x:v>0.1345</x:v>
      </x:c>
      <x:c r="L199" s="26" t="n">
        <x:v>425.45</x:v>
      </x:c>
      <x:c r="M199" t="n">
        <x:v>0</x:v>
      </x:c>
      <x:c r="N199" s="26" t="n">
        <x:v>0</x:v>
      </x:c>
      <x:c r="O199" s="26" t="n">
        <x:v>58.52</x:v>
      </x:c>
      <x:c r="P199" s="26" t="n">
        <x:v>14.23</x:v>
      </x:c>
      <x:c r="Q199" s="26" t="n">
        <x:v>26.89</x:v>
      </x:c>
      <x:c r="R199" s="26" t="n">
        <x:v>33.21</x:v>
      </x:c>
      <x:c r="S199" s="26" t="n">
        <x:v>292.6</x:v>
      </x:c>
    </x:row>
    <x:row r="200">
      <x:c r="A200" t="n">
        <x:v>500197</x:v>
      </x:c>
      <x:c r="B200" s="24" t="n">
        <x:v>45707</x:v>
      </x:c>
      <x:c r="C200" t="n">
        <x:v>1018</x:v>
      </x:c>
      <x:c r="D200" t="str">
        <x:v>Seller 1018</x:v>
      </x:c>
      <x:c r="E200" t="str">
        <x:v>Gold</x:v>
      </x:c>
      <x:c r="F200" t="str">
        <x:v>West</x:v>
      </x:c>
      <x:c r="G200" t="str">
        <x:v>Electronics</x:v>
      </x:c>
      <x:c r="H200" t="n">
        <x:v>2</x:v>
      </x:c>
      <x:c r="I200" s="26" t="n">
        <x:v>3555.6</x:v>
      </x:c>
      <x:c r="J200" s="26" t="n">
        <x:v>8831.4</x:v>
      </x:c>
      <x:c r="K200" s="28" t="n">
        <x:v>0.1166</x:v>
      </x:c>
      <x:c r="L200" s="26" t="n">
        <x:v>1029.74</x:v>
      </x:c>
      <x:c r="M200" t="n">
        <x:v>0</x:v>
      </x:c>
      <x:c r="N200" s="26" t="n">
        <x:v>0</x:v>
      </x:c>
      <x:c r="O200" s="26" t="n">
        <x:v>163.38</x:v>
      </x:c>
      <x:c r="P200" s="26" t="n">
        <x:v>39.74</x:v>
      </x:c>
      <x:c r="Q200" s="26" t="n">
        <x:v>75.07</x:v>
      </x:c>
      <x:c r="R200" s="26" t="n">
        <x:v>92.73</x:v>
      </x:c>
      <x:c r="S200" s="26" t="n">
        <x:v>658.82</x:v>
      </x:c>
    </x:row>
    <x:row r="201">
      <x:c r="A201" t="n">
        <x:v>500198</x:v>
      </x:c>
      <x:c r="B201" s="24" t="n">
        <x:v>45705</x:v>
      </x:c>
      <x:c r="C201" t="n">
        <x:v>1041</x:v>
      </x:c>
      <x:c r="D201" t="str">
        <x:v>Seller 1041</x:v>
      </x:c>
      <x:c r="E201" t="str">
        <x:v>Silver</x:v>
      </x:c>
      <x:c r="F201" t="str">
        <x:v>West</x:v>
      </x:c>
      <x:c r="G201" t="str">
        <x:v>Apparel</x:v>
      </x:c>
      <x:c r="H201" t="n">
        <x:v>4</x:v>
      </x:c>
      <x:c r="I201" s="26" t="n">
        <x:v>930.6</x:v>
      </x:c>
      <x:c r="J201" s="26" t="n">
        <x:v>3536.4</x:v>
      </x:c>
      <x:c r="K201" s="28" t="n">
        <x:v>0.1152</x:v>
      </x:c>
      <x:c r="L201" s="26" t="n">
        <x:v>407.39</x:v>
      </x:c>
      <x:c r="M201" t="n">
        <x:v>0</x:v>
      </x:c>
      <x:c r="N201" s="26" t="n">
        <x:v>0</x:v>
      </x:c>
      <x:c r="O201" s="26" t="n">
        <x:v>65.42</x:v>
      </x:c>
      <x:c r="P201" s="26" t="n">
        <x:v>15.91</x:v>
      </x:c>
      <x:c r="Q201" s="26" t="n">
        <x:v>30.06</x:v>
      </x:c>
      <x:c r="R201" s="26" t="n">
        <x:v>37.13</x:v>
      </x:c>
      <x:c r="S201" s="26" t="n">
        <x:v>258.86</x:v>
      </x:c>
    </x:row>
    <x:row r="202">
      <x:c r="A202" t="n">
        <x:v>500199</x:v>
      </x:c>
      <x:c r="B202" s="24" t="n">
        <x:v>45706</x:v>
      </x:c>
      <x:c r="C202" t="n">
        <x:v>1063</x:v>
      </x:c>
      <x:c r="D202" t="str">
        <x:v>Seller 1063</x:v>
      </x:c>
      <x:c r="E202" t="str">
        <x:v>Bronze</x:v>
      </x:c>
      <x:c r="F202" t="str">
        <x:v>West</x:v>
      </x:c>
      <x:c r="G202" t="str">
        <x:v>Pet Supplies</x:v>
      </x:c>
      <x:c r="H202" t="n">
        <x:v>2</x:v>
      </x:c>
      <x:c r="I202" s="26" t="n">
        <x:v>1996.8000000000002</x:v>
      </x:c>
      <x:c r="J202" s="26" t="n">
        <x:v>2674.2</x:v>
      </x:c>
      <x:c r="K202" s="28" t="n">
        <x:v>0.1288</x:v>
      </x:c>
      <x:c r="L202" s="26" t="n">
        <x:v>344.44</x:v>
      </x:c>
      <x:c r="M202" t="n">
        <x:v>0</x:v>
      </x:c>
      <x:c r="N202" s="26" t="n">
        <x:v>0</x:v>
      </x:c>
      <x:c r="O202" s="26" t="n">
        <x:v>49.47</x:v>
      </x:c>
      <x:c r="P202" s="26" t="n">
        <x:v>12.03</x:v>
      </x:c>
      <x:c r="Q202" s="26" t="n">
        <x:v>22.73</x:v>
      </x:c>
      <x:c r="R202" s="26" t="n">
        <x:v>28.08</x:v>
      </x:c>
      <x:c r="S202" s="26" t="n">
        <x:v>232.12</x:v>
      </x:c>
    </x:row>
    <x:row r="203">
      <x:c r="A203" t="n">
        <x:v>500200</x:v>
      </x:c>
      <x:c r="B203" s="24" t="n">
        <x:v>45712</x:v>
      </x:c>
      <x:c r="C203" t="n">
        <x:v>1040</x:v>
      </x:c>
      <x:c r="D203" t="str">
        <x:v>Seller 1040</x:v>
      </x:c>
      <x:c r="E203" t="str">
        <x:v>Silver</x:v>
      </x:c>
      <x:c r="F203" t="str">
        <x:v>West</x:v>
      </x:c>
      <x:c r="G203" t="str">
        <x:v>Pet Supplies</x:v>
      </x:c>
      <x:c r="H203" t="n">
        <x:v>3</x:v>
      </x:c>
      <x:c r="I203" s="26" t="n">
        <x:v>786.5999999999999</x:v>
      </x:c>
      <x:c r="J203" s="26" t="n">
        <x:v>2243.4</x:v>
      </x:c>
      <x:c r="K203" s="28" t="n">
        <x:v>0.1343</x:v>
      </x:c>
      <x:c r="L203" s="26" t="n">
        <x:v>301.29</x:v>
      </x:c>
      <x:c r="M203" t="n">
        <x:v>0</x:v>
      </x:c>
      <x:c r="N203" s="26" t="n">
        <x:v>0</x:v>
      </x:c>
      <x:c r="O203" s="26" t="n">
        <x:v>41.5</x:v>
      </x:c>
      <x:c r="P203" s="26" t="n">
        <x:v>10.1</x:v>
      </x:c>
      <x:c r="Q203" s="26" t="n">
        <x:v>19.07</x:v>
      </x:c>
      <x:c r="R203" s="26" t="n">
        <x:v>23.56</x:v>
      </x:c>
      <x:c r="S203" s="26" t="n">
        <x:v>207.07</x:v>
      </x:c>
    </x:row>
    <x:row r="204">
      <x:c r="A204" t="n">
        <x:v>500201</x:v>
      </x:c>
      <x:c r="B204" s="24" t="n">
        <x:v>45714</x:v>
      </x:c>
      <x:c r="C204" t="n">
        <x:v>1075</x:v>
      </x:c>
      <x:c r="D204" t="str">
        <x:v>Seller 1075</x:v>
      </x:c>
      <x:c r="E204" t="str">
        <x:v>Bronze</x:v>
      </x:c>
      <x:c r="F204" t="str">
        <x:v>East</x:v>
      </x:c>
      <x:c r="G204" t="str">
        <x:v>Electronics</x:v>
      </x:c>
      <x:c r="H204" t="n">
        <x:v>2</x:v>
      </x:c>
      <x:c r="I204" s="26" t="n">
        <x:v>3443.4</x:v>
      </x:c>
      <x:c r="J204" s="26" t="n">
        <x:v>4611.6</x:v>
      </x:c>
      <x:c r="K204" s="28" t="n">
        <x:v>0.1171</x:v>
      </x:c>
      <x:c r="L204" s="26" t="n">
        <x:v>540.02</x:v>
      </x:c>
      <x:c r="M204" t="n">
        <x:v>0</x:v>
      </x:c>
      <x:c r="N204" s="26" t="n">
        <x:v>0</x:v>
      </x:c>
      <x:c r="O204" s="26" t="n">
        <x:v>85.31</x:v>
      </x:c>
      <x:c r="P204" s="26" t="n">
        <x:v>20.75</x:v>
      </x:c>
      <x:c r="Q204" s="26" t="n">
        <x:v>39.2</x:v>
      </x:c>
      <x:c r="R204" s="26" t="n">
        <x:v>48.42</x:v>
      </x:c>
      <x:c r="S204" s="26" t="n">
        <x:v>346.33</x:v>
      </x:c>
    </x:row>
    <x:row r="205">
      <x:c r="A205" t="n">
        <x:v>500202</x:v>
      </x:c>
      <x:c r="B205" s="24" t="n">
        <x:v>45692</x:v>
      </x:c>
      <x:c r="C205" t="n">
        <x:v>1049</x:v>
      </x:c>
      <x:c r="D205" t="str">
        <x:v>Seller 1049</x:v>
      </x:c>
      <x:c r="E205" t="str">
        <x:v>Silver</x:v>
      </x:c>
      <x:c r="F205" t="str">
        <x:v>West</x:v>
      </x:c>
      <x:c r="G205" t="str">
        <x:v>Home &amp; Kitchen</x:v>
      </x:c>
      <x:c r="H205" t="n">
        <x:v>2</x:v>
      </x:c>
      <x:c r="I205" s="26" t="n">
        <x:v>2369.4</x:v>
      </x:c>
      <x:c r="J205" s="26" t="n">
        <x:v>4504.2</x:v>
      </x:c>
      <x:c r="K205" s="28" t="n">
        <x:v>0.1458</x:v>
      </x:c>
      <x:c r="L205" s="26" t="n">
        <x:v>656.71</x:v>
      </x:c>
      <x:c r="M205" t="n">
        <x:v>1</x:v>
      </x:c>
      <x:c r="N205" s="26" t="n">
        <x:v>3112.8</x:v>
      </x:c>
      <x:c r="O205" s="26" t="n">
        <x:v>83.33</x:v>
      </x:c>
      <x:c r="P205" s="26" t="n">
        <x:v>20.27</x:v>
      </x:c>
      <x:c r="Q205" s="26" t="n">
        <x:v>38.29</x:v>
      </x:c>
      <x:c r="R205" s="26" t="n">
        <x:v>47.29</x:v>
      </x:c>
      <x:c r="S205" s="26" t="n">
        <x:v>405.28</x:v>
      </x:c>
    </x:row>
    <x:row r="206">
      <x:c r="A206" t="n">
        <x:v>500203</x:v>
      </x:c>
      <x:c r="B206" s="24" t="n">
        <x:v>45689</x:v>
      </x:c>
      <x:c r="C206" t="n">
        <x:v>1053</x:v>
      </x:c>
      <x:c r="D206" t="str">
        <x:v>Seller 1053</x:v>
      </x:c>
      <x:c r="E206" t="str">
        <x:v>Silver</x:v>
      </x:c>
      <x:c r="F206" t="str">
        <x:v>Central</x:v>
      </x:c>
      <x:c r="G206" t="str">
        <x:v>Beauty</x:v>
      </x:c>
      <x:c r="H206" t="n">
        <x:v>1</x:v>
      </x:c>
      <x:c r="I206" s="26" t="n">
        <x:v>2835</x:v>
      </x:c>
      <x:c r="J206" s="26" t="n">
        <x:v>2694</x:v>
      </x:c>
      <x:c r="K206" s="28" t="n">
        <x:v>0.1551</x:v>
      </x:c>
      <x:c r="L206" s="26" t="n">
        <x:v>417.84</x:v>
      </x:c>
      <x:c r="M206" t="n">
        <x:v>0</x:v>
      </x:c>
      <x:c r="N206" s="26" t="n">
        <x:v>0</x:v>
      </x:c>
      <x:c r="O206" s="26" t="n">
        <x:v>49.84</x:v>
      </x:c>
      <x:c r="P206" s="26" t="n">
        <x:v>12.12</x:v>
      </x:c>
      <x:c r="Q206" s="26" t="n">
        <x:v>22.9</x:v>
      </x:c>
      <x:c r="R206" s="26" t="n">
        <x:v>28.29</x:v>
      </x:c>
      <x:c r="S206" s="26" t="n">
        <x:v>304.69</x:v>
      </x:c>
    </x:row>
    <x:row r="207">
      <x:c r="A207" t="n">
        <x:v>500204</x:v>
      </x:c>
      <x:c r="B207" s="24" t="n">
        <x:v>45702</x:v>
      </x:c>
      <x:c r="C207" t="n">
        <x:v>1018</x:v>
      </x:c>
      <x:c r="D207" t="str">
        <x:v>Seller 1018</x:v>
      </x:c>
      <x:c r="E207" t="str">
        <x:v>Gold</x:v>
      </x:c>
      <x:c r="F207" t="str">
        <x:v>West</x:v>
      </x:c>
      <x:c r="G207" t="str">
        <x:v>Electronics</x:v>
      </x:c>
      <x:c r="H207" t="n">
        <x:v>1</x:v>
      </x:c>
      <x:c r="I207" s="26" t="n">
        <x:v>7779.599999999999</x:v>
      </x:c>
      <x:c r="J207" s="26" t="n">
        <x:v>9661.8</x:v>
      </x:c>
      <x:c r="K207" s="28" t="n">
        <x:v>0.1245</x:v>
      </x:c>
      <x:c r="L207" s="26" t="n">
        <x:v>1202.89</x:v>
      </x:c>
      <x:c r="M207" t="n">
        <x:v>0</x:v>
      </x:c>
      <x:c r="N207" s="26" t="n">
        <x:v>0</x:v>
      </x:c>
      <x:c r="O207" s="26" t="n">
        <x:v>178.74</x:v>
      </x:c>
      <x:c r="P207" s="26" t="n">
        <x:v>43.48</x:v>
      </x:c>
      <x:c r="Q207" s="26" t="n">
        <x:v>82.13</x:v>
      </x:c>
      <x:c r="R207" s="26" t="n">
        <x:v>101.45</x:v>
      </x:c>
      <x:c r="S207" s="26" t="n">
        <x:v>797.1</x:v>
      </x:c>
    </x:row>
    <x:row r="208">
      <x:c r="A208" t="n">
        <x:v>500205</x:v>
      </x:c>
      <x:c r="B208" s="24" t="n">
        <x:v>45707</x:v>
      </x:c>
      <x:c r="C208" t="n">
        <x:v>1069</x:v>
      </x:c>
      <x:c r="D208" t="str">
        <x:v>Seller 1069</x:v>
      </x:c>
      <x:c r="E208" t="str">
        <x:v>Bronze</x:v>
      </x:c>
      <x:c r="F208" t="str">
        <x:v>East</x:v>
      </x:c>
      <x:c r="G208" t="str">
        <x:v>Electronics</x:v>
      </x:c>
      <x:c r="H208" t="n">
        <x:v>1</x:v>
      </x:c>
      <x:c r="I208" s="26" t="n">
        <x:v>9649.199999999999</x:v>
      </x:c>
      <x:c r="J208" s="26" t="n">
        <x:v>6460.8</x:v>
      </x:c>
      <x:c r="K208" s="28" t="n">
        <x:v>0.1303</x:v>
      </x:c>
      <x:c r="L208" s="26" t="n">
        <x:v>841.84</x:v>
      </x:c>
      <x:c r="M208" t="n">
        <x:v>0</x:v>
      </x:c>
      <x:c r="N208" s="26" t="n">
        <x:v>0</x:v>
      </x:c>
      <x:c r="O208" s="26" t="n">
        <x:v>119.52</x:v>
      </x:c>
      <x:c r="P208" s="26" t="n">
        <x:v>29.07</x:v>
      </x:c>
      <x:c r="Q208" s="26" t="n">
        <x:v>54.92</x:v>
      </x:c>
      <x:c r="R208" s="26" t="n">
        <x:v>67.84</x:v>
      </x:c>
      <x:c r="S208" s="26" t="n">
        <x:v>570.49</x:v>
      </x:c>
    </x:row>
    <x:row r="209">
      <x:c r="A209" t="n">
        <x:v>500206</x:v>
      </x:c>
      <x:c r="B209" s="24" t="n">
        <x:v>45697</x:v>
      </x:c>
      <x:c r="C209" t="n">
        <x:v>1062</x:v>
      </x:c>
      <x:c r="D209" t="str">
        <x:v>Seller 1062</x:v>
      </x:c>
      <x:c r="E209" t="str">
        <x:v>Bronze</x:v>
      </x:c>
      <x:c r="F209" t="str">
        <x:v>West</x:v>
      </x:c>
      <x:c r="G209" t="str">
        <x:v>Electronics</x:v>
      </x:c>
      <x:c r="H209" t="n">
        <x:v>2</x:v>
      </x:c>
      <x:c r="I209" s="26" t="n">
        <x:v>5239.2</x:v>
      </x:c>
      <x:c r="J209" s="26" t="n">
        <x:v>7016.4</x:v>
      </x:c>
      <x:c r="K209" s="28" t="n">
        <x:v>0.1184</x:v>
      </x:c>
      <x:c r="L209" s="26" t="n">
        <x:v>830.74</x:v>
      </x:c>
      <x:c r="M209" t="n">
        <x:v>0</x:v>
      </x:c>
      <x:c r="N209" s="26" t="n">
        <x:v>0</x:v>
      </x:c>
      <x:c r="O209" s="26" t="n">
        <x:v>129.8</x:v>
      </x:c>
      <x:c r="P209" s="26" t="n">
        <x:v>31.57</x:v>
      </x:c>
      <x:c r="Q209" s="26" t="n">
        <x:v>59.64</x:v>
      </x:c>
      <x:c r="R209" s="26" t="n">
        <x:v>73.67</x:v>
      </x:c>
      <x:c r="S209" s="26" t="n">
        <x:v>536.05</x:v>
      </x:c>
    </x:row>
    <x:row r="210">
      <x:c r="A210" t="n">
        <x:v>500207</x:v>
      </x:c>
      <x:c r="B210" s="24" t="n">
        <x:v>45697</x:v>
      </x:c>
      <x:c r="C210" t="n">
        <x:v>1027</x:v>
      </x:c>
      <x:c r="D210" t="str">
        <x:v>Seller 1027</x:v>
      </x:c>
      <x:c r="E210" t="str">
        <x:v>Gold</x:v>
      </x:c>
      <x:c r="F210" t="str">
        <x:v>West</x:v>
      </x:c>
      <x:c r="G210" t="str">
        <x:v>Apparel</x:v>
      </x:c>
      <x:c r="H210" t="n">
        <x:v>1</x:v>
      </x:c>
      <x:c r="I210" s="26" t="n">
        <x:v>3864.0000000000005</x:v>
      </x:c>
      <x:c r="J210" s="26" t="n">
        <x:v>4799.4</x:v>
      </x:c>
      <x:c r="K210" s="28" t="n">
        <x:v>0.1215</x:v>
      </x:c>
      <x:c r="L210" s="26" t="n">
        <x:v>583.13</x:v>
      </x:c>
      <x:c r="M210" t="n">
        <x:v>0</x:v>
      </x:c>
      <x:c r="N210" s="26" t="n">
        <x:v>0</x:v>
      </x:c>
      <x:c r="O210" s="26" t="n">
        <x:v>88.79</x:v>
      </x:c>
      <x:c r="P210" s="26" t="n">
        <x:v>21.6</x:v>
      </x:c>
      <x:c r="Q210" s="26" t="n">
        <x:v>40.79</x:v>
      </x:c>
      <x:c r="R210" s="26" t="n">
        <x:v>50.39</x:v>
      </x:c>
      <x:c r="S210" s="26" t="n">
        <x:v>381.55</x:v>
      </x:c>
    </x:row>
    <x:row r="211">
      <x:c r="A211" t="n">
        <x:v>500208</x:v>
      </x:c>
      <x:c r="B211" s="24" t="n">
        <x:v>45692</x:v>
      </x:c>
      <x:c r="C211" t="n">
        <x:v>1016</x:v>
      </x:c>
      <x:c r="D211" t="str">
        <x:v>Seller 1016</x:v>
      </x:c>
      <x:c r="E211" t="str">
        <x:v>Gold</x:v>
      </x:c>
      <x:c r="F211" t="str">
        <x:v>West</x:v>
      </x:c>
      <x:c r="G211" t="str">
        <x:v>Sports</x:v>
      </x:c>
      <x:c r="H211" t="n">
        <x:v>1</x:v>
      </x:c>
      <x:c r="I211" s="26" t="n">
        <x:v>4351.8</x:v>
      </x:c>
      <x:c r="J211" s="26" t="n">
        <x:v>5404.8</x:v>
      </x:c>
      <x:c r="K211" s="28" t="n">
        <x:v>0.1255</x:v>
      </x:c>
      <x:c r="L211" s="26" t="n">
        <x:v>678.3</x:v>
      </x:c>
      <x:c r="M211" t="n">
        <x:v>0</x:v>
      </x:c>
      <x:c r="N211" s="26" t="n">
        <x:v>0</x:v>
      </x:c>
      <x:c r="O211" s="26" t="n">
        <x:v>99.99</x:v>
      </x:c>
      <x:c r="P211" s="26" t="n">
        <x:v>24.32</x:v>
      </x:c>
      <x:c r="Q211" s="26" t="n">
        <x:v>45.94</x:v>
      </x:c>
      <x:c r="R211" s="26" t="n">
        <x:v>56.75</x:v>
      </x:c>
      <x:c r="S211" s="26" t="n">
        <x:v>451.3</x:v>
      </x:c>
    </x:row>
    <x:row r="212">
      <x:c r="A212" t="n">
        <x:v>500209</x:v>
      </x:c>
      <x:c r="B212" s="24" t="n">
        <x:v>45694</x:v>
      </x:c>
      <x:c r="C212" t="n">
        <x:v>1038</x:v>
      </x:c>
      <x:c r="D212" t="str">
        <x:v>Seller 1038</x:v>
      </x:c>
      <x:c r="E212" t="str">
        <x:v>Silver</x:v>
      </x:c>
      <x:c r="F212" t="str">
        <x:v>South</x:v>
      </x:c>
      <x:c r="G212" t="str">
        <x:v>Sports</x:v>
      </x:c>
      <x:c r="H212" t="n">
        <x:v>2</x:v>
      </x:c>
      <x:c r="I212" s="26" t="n">
        <x:v>2239.2</x:v>
      </x:c>
      <x:c r="J212" s="26" t="n">
        <x:v>4255.8</x:v>
      </x:c>
      <x:c r="K212" s="28" t="n">
        <x:v>0.1382</x:v>
      </x:c>
      <x:c r="L212" s="26" t="n">
        <x:v>588.15</x:v>
      </x:c>
      <x:c r="M212" t="n">
        <x:v>0</x:v>
      </x:c>
      <x:c r="N212" s="26" t="n">
        <x:v>0</x:v>
      </x:c>
      <x:c r="O212" s="26" t="n">
        <x:v>78.73</x:v>
      </x:c>
      <x:c r="P212" s="26" t="n">
        <x:v>19.15</x:v>
      </x:c>
      <x:c r="Q212" s="26" t="n">
        <x:v>36.17</x:v>
      </x:c>
      <x:c r="R212" s="26" t="n">
        <x:v>44.69</x:v>
      </x:c>
      <x:c r="S212" s="26" t="n">
        <x:v>409.41</x:v>
      </x:c>
    </x:row>
    <x:row r="213">
      <x:c r="A213" t="n">
        <x:v>500210</x:v>
      </x:c>
      <x:c r="B213" s="24" t="n">
        <x:v>45695</x:v>
      </x:c>
      <x:c r="C213" t="n">
        <x:v>1026</x:v>
      </x:c>
      <x:c r="D213" t="str">
        <x:v>Seller 1026</x:v>
      </x:c>
      <x:c r="E213" t="str">
        <x:v>Gold</x:v>
      </x:c>
      <x:c r="F213" t="str">
        <x:v>East</x:v>
      </x:c>
      <x:c r="G213" t="str">
        <x:v>Beauty</x:v>
      </x:c>
      <x:c r="H213" t="n">
        <x:v>3</x:v>
      </x:c>
      <x:c r="I213" s="26" t="n">
        <x:v>747</x:v>
      </x:c>
      <x:c r="J213" s="26" t="n">
        <x:v>2782.8</x:v>
      </x:c>
      <x:c r="K213" s="28" t="n">
        <x:v>0.1363</x:v>
      </x:c>
      <x:c r="L213" s="26" t="n">
        <x:v>379.3</x:v>
      </x:c>
      <x:c r="M213" t="n">
        <x:v>0</x:v>
      </x:c>
      <x:c r="N213" s="26" t="n">
        <x:v>0</x:v>
      </x:c>
      <x:c r="O213" s="26" t="n">
        <x:v>51.48</x:v>
      </x:c>
      <x:c r="P213" s="26" t="n">
        <x:v>12.52</x:v>
      </x:c>
      <x:c r="Q213" s="26" t="n">
        <x:v>23.65</x:v>
      </x:c>
      <x:c r="R213" s="26" t="n">
        <x:v>29.22</x:v>
      </x:c>
      <x:c r="S213" s="26" t="n">
        <x:v>262.42</x:v>
      </x:c>
    </x:row>
    <x:row r="214">
      <x:c r="A214" t="n">
        <x:v>500211</x:v>
      </x:c>
      <x:c r="B214" s="24" t="n">
        <x:v>45691</x:v>
      </x:c>
      <x:c r="C214" t="n">
        <x:v>1007</x:v>
      </x:c>
      <x:c r="D214" t="str">
        <x:v>Seller 1007</x:v>
      </x:c>
      <x:c r="E214" t="str">
        <x:v>Platinum</x:v>
      </x:c>
      <x:c r="F214" t="str">
        <x:v>South</x:v>
      </x:c>
      <x:c r="G214" t="str">
        <x:v>Home &amp; Kitchen</x:v>
      </x:c>
      <x:c r="H214" t="n">
        <x:v>1</x:v>
      </x:c>
      <x:c r="I214" s="26" t="n">
        <x:v>4811.4</x:v>
      </x:c>
      <x:c r="J214" s="26" t="n">
        <x:v>8053.8</x:v>
      </x:c>
      <x:c r="K214" s="28" t="n">
        <x:v>0.1243</x:v>
      </x:c>
      <x:c r="L214" s="26" t="n">
        <x:v>1001.09</x:v>
      </x:c>
      <x:c r="M214" t="n">
        <x:v>0</x:v>
      </x:c>
      <x:c r="N214" s="26" t="n">
        <x:v>0</x:v>
      </x:c>
      <x:c r="O214" s="26" t="n">
        <x:v>149</x:v>
      </x:c>
      <x:c r="P214" s="26" t="n">
        <x:v>36.24</x:v>
      </x:c>
      <x:c r="Q214" s="26" t="n">
        <x:v>68.46</x:v>
      </x:c>
      <x:c r="R214" s="26" t="n">
        <x:v>84.56</x:v>
      </x:c>
      <x:c r="S214" s="26" t="n">
        <x:v>662.83</x:v>
      </x:c>
    </x:row>
    <x:row r="215">
      <x:c r="A215" t="n">
        <x:v>500212</x:v>
      </x:c>
      <x:c r="B215" s="24" t="n">
        <x:v>45703</x:v>
      </x:c>
      <x:c r="C215" t="n">
        <x:v>1018</x:v>
      </x:c>
      <x:c r="D215" t="str">
        <x:v>Seller 1018</x:v>
      </x:c>
      <x:c r="E215" t="str">
        <x:v>Gold</x:v>
      </x:c>
      <x:c r="F215" t="str">
        <x:v>West</x:v>
      </x:c>
      <x:c r="G215" t="str">
        <x:v>Electronics</x:v>
      </x:c>
      <x:c r="H215" t="n">
        <x:v>1</x:v>
      </x:c>
      <x:c r="I215" s="26" t="n">
        <x:v>8202</x:v>
      </x:c>
      <x:c r="J215" s="26" t="n">
        <x:v>10186.2</x:v>
      </x:c>
      <x:c r="K215" s="28" t="n">
        <x:v>0.1228</x:v>
      </x:c>
      <x:c r="L215" s="26" t="n">
        <x:v>1250.87</x:v>
      </x:c>
      <x:c r="M215" t="n">
        <x:v>0</x:v>
      </x:c>
      <x:c r="N215" s="26" t="n">
        <x:v>0</x:v>
      </x:c>
      <x:c r="O215" s="26" t="n">
        <x:v>188.44</x:v>
      </x:c>
      <x:c r="P215" s="26" t="n">
        <x:v>45.84</x:v>
      </x:c>
      <x:c r="Q215" s="26" t="n">
        <x:v>86.58</x:v>
      </x:c>
      <x:c r="R215" s="26" t="n">
        <x:v>106.96</x:v>
      </x:c>
      <x:c r="S215" s="26" t="n">
        <x:v>823.04</x:v>
      </x:c>
    </x:row>
    <x:row r="216">
      <x:c r="A216" t="n">
        <x:v>500213</x:v>
      </x:c>
      <x:c r="B216" s="24" t="n">
        <x:v>45705</x:v>
      </x:c>
      <x:c r="C216" t="n">
        <x:v>1026</x:v>
      </x:c>
      <x:c r="D216" t="str">
        <x:v>Seller 1026</x:v>
      </x:c>
      <x:c r="E216" t="str">
        <x:v>Gold</x:v>
      </x:c>
      <x:c r="F216" t="str">
        <x:v>East</x:v>
      </x:c>
      <x:c r="G216" t="str">
        <x:v>Beauty</x:v>
      </x:c>
      <x:c r="H216" t="n">
        <x:v>2</x:v>
      </x:c>
      <x:c r="I216" s="26" t="n">
        <x:v>1594.2</x:v>
      </x:c>
      <x:c r="J216" s="26" t="n">
        <x:v>3960.6</x:v>
      </x:c>
      <x:c r="K216" s="28" t="n">
        <x:v>0.1548</x:v>
      </x:c>
      <x:c r="L216" s="26" t="n">
        <x:v>613.1</x:v>
      </x:c>
      <x:c r="M216" t="n">
        <x:v>0</x:v>
      </x:c>
      <x:c r="N216" s="26" t="n">
        <x:v>0</x:v>
      </x:c>
      <x:c r="O216" s="26" t="n">
        <x:v>73.27</x:v>
      </x:c>
      <x:c r="P216" s="26" t="n">
        <x:v>17.82</x:v>
      </x:c>
      <x:c r="Q216" s="26" t="n">
        <x:v>33.67</x:v>
      </x:c>
      <x:c r="R216" s="26" t="n">
        <x:v>41.59</x:v>
      </x:c>
      <x:c r="S216" s="26" t="n">
        <x:v>446.76</x:v>
      </x:c>
    </x:row>
    <x:row r="217">
      <x:c r="A217" t="n">
        <x:v>500214</x:v>
      </x:c>
      <x:c r="B217" s="24" t="n">
        <x:v>45713</x:v>
      </x:c>
      <x:c r="C217" t="n">
        <x:v>1005</x:v>
      </x:c>
      <x:c r="D217" t="str">
        <x:v>Seller 1005</x:v>
      </x:c>
      <x:c r="E217" t="str">
        <x:v>Platinum</x:v>
      </x:c>
      <x:c r="F217" t="str">
        <x:v>East</x:v>
      </x:c>
      <x:c r="G217" t="str">
        <x:v>Home &amp; Kitchen</x:v>
      </x:c>
      <x:c r="H217" t="n">
        <x:v>1</x:v>
      </x:c>
      <x:c r="I217" s="26" t="n">
        <x:v>5290.2</x:v>
      </x:c>
      <x:c r="J217" s="26" t="n">
        <x:v>8855.4</x:v>
      </x:c>
      <x:c r="K217" s="28" t="n">
        <x:v>0.1454</x:v>
      </x:c>
      <x:c r="L217" s="26" t="n">
        <x:v>1287.58</x:v>
      </x:c>
      <x:c r="M217" t="n">
        <x:v>0</x:v>
      </x:c>
      <x:c r="N217" s="26" t="n">
        <x:v>0</x:v>
      </x:c>
      <x:c r="O217" s="26" t="n">
        <x:v>163.82</x:v>
      </x:c>
      <x:c r="P217" s="26" t="n">
        <x:v>39.85</x:v>
      </x:c>
      <x:c r="Q217" s="26" t="n">
        <x:v>75.27</x:v>
      </x:c>
      <x:c r="R217" s="26" t="n">
        <x:v>92.98</x:v>
      </x:c>
      <x:c r="S217" s="26" t="n">
        <x:v>915.65</x:v>
      </x:c>
    </x:row>
    <x:row r="218">
      <x:c r="A218" t="n">
        <x:v>500215</x:v>
      </x:c>
      <x:c r="B218" s="24" t="n">
        <x:v>45707</x:v>
      </x:c>
      <x:c r="C218" t="n">
        <x:v>1064</x:v>
      </x:c>
      <x:c r="D218" t="str">
        <x:v>Seller 1064</x:v>
      </x:c>
      <x:c r="E218" t="str">
        <x:v>Bronze</x:v>
      </x:c>
      <x:c r="F218" t="str">
        <x:v>Central</x:v>
      </x:c>
      <x:c r="G218" t="str">
        <x:v>Pet Supplies</x:v>
      </x:c>
      <x:c r="H218" t="n">
        <x:v>2</x:v>
      </x:c>
      <x:c r="I218" s="26" t="n">
        <x:v>1053.6</x:v>
      </x:c>
      <x:c r="J218" s="26" t="n">
        <x:v>1411.2</x:v>
      </x:c>
      <x:c r="K218" s="28" t="n">
        <x:v>0.1269</x:v>
      </x:c>
      <x:c r="L218" s="26" t="n">
        <x:v>179.08</x:v>
      </x:c>
      <x:c r="M218" t="n">
        <x:v>0</x:v>
      </x:c>
      <x:c r="N218" s="26" t="n">
        <x:v>0</x:v>
      </x:c>
      <x:c r="O218" s="26" t="n">
        <x:v>26.11</x:v>
      </x:c>
      <x:c r="P218" s="26" t="n">
        <x:v>6.35</x:v>
      </x:c>
      <x:c r="Q218" s="26" t="n">
        <x:v>12</x:v>
      </x:c>
      <x:c r="R218" s="26" t="n">
        <x:v>14.82</x:v>
      </x:c>
      <x:c r="S218" s="26" t="n">
        <x:v>119.81</x:v>
      </x:c>
    </x:row>
    <x:row r="219">
      <x:c r="A219" t="n">
        <x:v>500216</x:v>
      </x:c>
      <x:c r="B219" s="24" t="n">
        <x:v>45715</x:v>
      </x:c>
      <x:c r="C219" t="n">
        <x:v>1014</x:v>
      </x:c>
      <x:c r="D219" t="str">
        <x:v>Seller 1014</x:v>
      </x:c>
      <x:c r="E219" t="str">
        <x:v>Gold</x:v>
      </x:c>
      <x:c r="F219" t="str">
        <x:v>East</x:v>
      </x:c>
      <x:c r="G219" t="str">
        <x:v>Beauty</x:v>
      </x:c>
      <x:c r="H219" t="n">
        <x:v>2</x:v>
      </x:c>
      <x:c r="I219" s="26" t="n">
        <x:v>1939.8</x:v>
      </x:c>
      <x:c r="J219" s="26" t="n">
        <x:v>4818.6</x:v>
      </x:c>
      <x:c r="K219" s="28" t="n">
        <x:v>0.146</x:v>
      </x:c>
      <x:c r="L219" s="26" t="n">
        <x:v>703.52</x:v>
      </x:c>
      <x:c r="M219" t="n">
        <x:v>0</x:v>
      </x:c>
      <x:c r="N219" s="26" t="n">
        <x:v>0</x:v>
      </x:c>
      <x:c r="O219" s="26" t="n">
        <x:v>89.14</x:v>
      </x:c>
      <x:c r="P219" s="26" t="n">
        <x:v>21.68</x:v>
      </x:c>
      <x:c r="Q219" s="26" t="n">
        <x:v>40.96</x:v>
      </x:c>
      <x:c r="R219" s="26" t="n">
        <x:v>50.6</x:v>
      </x:c>
      <x:c r="S219" s="26" t="n">
        <x:v>501.13</x:v>
      </x:c>
    </x:row>
    <x:row r="220">
      <x:c r="A220" t="n">
        <x:v>500217</x:v>
      </x:c>
      <x:c r="B220" s="24" t="n">
        <x:v>45693</x:v>
      </x:c>
      <x:c r="C220" t="n">
        <x:v>1065</x:v>
      </x:c>
      <x:c r="D220" t="str">
        <x:v>Seller 1065</x:v>
      </x:c>
      <x:c r="E220" t="str">
        <x:v>Bronze</x:v>
      </x:c>
      <x:c r="F220" t="str">
        <x:v>South</x:v>
      </x:c>
      <x:c r="G220" t="str">
        <x:v>Home &amp; Kitchen</x:v>
      </x:c>
      <x:c r="H220" t="n">
        <x:v>2</x:v>
      </x:c>
      <x:c r="I220" s="26" t="n">
        <x:v>2640</x:v>
      </x:c>
      <x:c r="J220" s="26" t="n">
        <x:v>3535.8</x:v>
      </x:c>
      <x:c r="K220" s="28" t="n">
        <x:v>0.1269</x:v>
      </x:c>
      <x:c r="L220" s="26" t="n">
        <x:v>448.69</x:v>
      </x:c>
      <x:c r="M220" t="n">
        <x:v>0</x:v>
      </x:c>
      <x:c r="N220" s="26" t="n">
        <x:v>0</x:v>
      </x:c>
      <x:c r="O220" s="26" t="n">
        <x:v>65.41</x:v>
      </x:c>
      <x:c r="P220" s="26" t="n">
        <x:v>15.91</x:v>
      </x:c>
      <x:c r="Q220" s="26" t="n">
        <x:v>30.05</x:v>
      </x:c>
      <x:c r="R220" s="26" t="n">
        <x:v>37.13</x:v>
      </x:c>
      <x:c r="S220" s="26" t="n">
        <x:v>300.19</x:v>
      </x:c>
    </x:row>
    <x:row r="221">
      <x:c r="A221" t="n">
        <x:v>500218</x:v>
      </x:c>
      <x:c r="B221" s="24" t="n">
        <x:v>45700</x:v>
      </x:c>
      <x:c r="C221" t="n">
        <x:v>1002</x:v>
      </x:c>
      <x:c r="D221" t="str">
        <x:v>Seller 1002</x:v>
      </x:c>
      <x:c r="E221" t="str">
        <x:v>Platinum</x:v>
      </x:c>
      <x:c r="F221" t="str">
        <x:v>Central</x:v>
      </x:c>
      <x:c r="G221" t="str">
        <x:v>Home &amp; Kitchen</x:v>
      </x:c>
      <x:c r="H221" t="n">
        <x:v>2</x:v>
      </x:c>
      <x:c r="I221" s="26" t="n">
        <x:v>1966.8000000000002</x:v>
      </x:c>
      <x:c r="J221" s="26" t="n">
        <x:v>6585</x:v>
      </x:c>
      <x:c r="K221" s="28" t="n">
        <x:v>0.1412</x:v>
      </x:c>
      <x:c r="L221" s="26" t="n">
        <x:v>929.8</x:v>
      </x:c>
      <x:c r="M221" t="n">
        <x:v>0</x:v>
      </x:c>
      <x:c r="N221" s="26" t="n">
        <x:v>0</x:v>
      </x:c>
      <x:c r="O221" s="26" t="n">
        <x:v>121.82</x:v>
      </x:c>
      <x:c r="P221" s="26" t="n">
        <x:v>29.63</x:v>
      </x:c>
      <x:c r="Q221" s="26" t="n">
        <x:v>55.97</x:v>
      </x:c>
      <x:c r="R221" s="26" t="n">
        <x:v>69.14</x:v>
      </x:c>
      <x:c r="S221" s="26" t="n">
        <x:v>653.23</x:v>
      </x:c>
    </x:row>
    <x:row r="222">
      <x:c r="A222" t="n">
        <x:v>500219</x:v>
      </x:c>
      <x:c r="B222" s="24" t="n">
        <x:v>45695</x:v>
      </x:c>
      <x:c r="C222" t="n">
        <x:v>1055</x:v>
      </x:c>
      <x:c r="D222" t="str">
        <x:v>Seller 1055</x:v>
      </x:c>
      <x:c r="E222" t="str">
        <x:v>Bronze</x:v>
      </x:c>
      <x:c r="F222" t="str">
        <x:v>Central</x:v>
      </x:c>
      <x:c r="G222" t="str">
        <x:v>Pet Supplies</x:v>
      </x:c>
      <x:c r="H222" t="n">
        <x:v>3</x:v>
      </x:c>
      <x:c r="I222" s="26" t="n">
        <x:v>1232.3999999999999</x:v>
      </x:c>
      <x:c r="J222" s="26" t="n">
        <x:v>2475.6</x:v>
      </x:c>
      <x:c r="K222" s="28" t="n">
        <x:v>0.1244</x:v>
      </x:c>
      <x:c r="L222" s="26" t="n">
        <x:v>307.96</x:v>
      </x:c>
      <x:c r="M222" t="n">
        <x:v>0</x:v>
      </x:c>
      <x:c r="N222" s="26" t="n">
        <x:v>0</x:v>
      </x:c>
      <x:c r="O222" s="26" t="n">
        <x:v>45.8</x:v>
      </x:c>
      <x:c r="P222" s="26" t="n">
        <x:v>11.14</x:v>
      </x:c>
      <x:c r="Q222" s="26" t="n">
        <x:v>21.04</x:v>
      </x:c>
      <x:c r="R222" s="26" t="n">
        <x:v>25.99</x:v>
      </x:c>
      <x:c r="S222" s="26" t="n">
        <x:v>203.99</x:v>
      </x:c>
    </x:row>
    <x:row r="223">
      <x:c r="A223" t="n">
        <x:v>500220</x:v>
      </x:c>
      <x:c r="B223" s="24" t="n">
        <x:v>45688</x:v>
      </x:c>
      <x:c r="C223" t="n">
        <x:v>1001</x:v>
      </x:c>
      <x:c r="D223" t="str">
        <x:v>Seller 1001</x:v>
      </x:c>
      <x:c r="E223" t="str">
        <x:v>Platinum</x:v>
      </x:c>
      <x:c r="F223" t="str">
        <x:v>East</x:v>
      </x:c>
      <x:c r="G223" t="str">
        <x:v>Electronics</x:v>
      </x:c>
      <x:c r="H223" t="n">
        <x:v>2</x:v>
      </x:c>
      <x:c r="I223" s="26" t="n">
        <x:v>5510.400000000001</x:v>
      </x:c>
      <x:c r="J223" s="26" t="n">
        <x:v>18448.2</x:v>
      </x:c>
      <x:c r="K223" s="28" t="n">
        <x:v>0.1359</x:v>
      </x:c>
      <x:c r="L223" s="26" t="n">
        <x:v>2507.11</x:v>
      </x:c>
      <x:c r="M223" t="n">
        <x:v>0</x:v>
      </x:c>
      <x:c r="N223" s="26" t="n">
        <x:v>0</x:v>
      </x:c>
      <x:c r="O223" s="26" t="n">
        <x:v>341.29</x:v>
      </x:c>
      <x:c r="P223" s="26" t="n">
        <x:v>83.02</x:v>
      </x:c>
      <x:c r="Q223" s="26" t="n">
        <x:v>156.81</x:v>
      </x:c>
      <x:c r="R223" s="26" t="n">
        <x:v>193.71</x:v>
      </x:c>
      <x:c r="S223" s="26" t="n">
        <x:v>1732.29</x:v>
      </x:c>
    </x:row>
    <x:row r="224">
      <x:c r="A224" t="n">
        <x:v>500221</x:v>
      </x:c>
      <x:c r="B224" s="24" t="n">
        <x:v>45704</x:v>
      </x:c>
      <x:c r="C224" t="n">
        <x:v>1034</x:v>
      </x:c>
      <x:c r="D224" t="str">
        <x:v>Seller 1034</x:v>
      </x:c>
      <x:c r="E224" t="str">
        <x:v>Silver</x:v>
      </x:c>
      <x:c r="F224" t="str">
        <x:v>Central</x:v>
      </x:c>
      <x:c r="G224" t="str">
        <x:v>Sports</x:v>
      </x:c>
      <x:c r="H224" t="n">
        <x:v>2</x:v>
      </x:c>
      <x:c r="I224" s="26" t="n">
        <x:v>2157.6</x:v>
      </x:c>
      <x:c r="J224" s="26" t="n">
        <x:v>4101</x:v>
      </x:c>
      <x:c r="K224" s="28" t="n">
        <x:v>0.1188</x:v>
      </x:c>
      <x:c r="L224" s="26" t="n">
        <x:v>487.2</x:v>
      </x:c>
      <x:c r="M224" t="n">
        <x:v>0</x:v>
      </x:c>
      <x:c r="N224" s="26" t="n">
        <x:v>0</x:v>
      </x:c>
      <x:c r="O224" s="26" t="n">
        <x:v>75.87</x:v>
      </x:c>
      <x:c r="P224" s="26" t="n">
        <x:v>18.45</x:v>
      </x:c>
      <x:c r="Q224" s="26" t="n">
        <x:v>34.86</x:v>
      </x:c>
      <x:c r="R224" s="26" t="n">
        <x:v>43.06</x:v>
      </x:c>
      <x:c r="S224" s="26" t="n">
        <x:v>314.96</x:v>
      </x:c>
    </x:row>
    <x:row r="225">
      <x:c r="A225" t="n">
        <x:v>500222</x:v>
      </x:c>
      <x:c r="B225" s="24" t="n">
        <x:v>45703</x:v>
      </x:c>
      <x:c r="C225" t="n">
        <x:v>1040</x:v>
      </x:c>
      <x:c r="D225" t="str">
        <x:v>Seller 1040</x:v>
      </x:c>
      <x:c r="E225" t="str">
        <x:v>Silver</x:v>
      </x:c>
      <x:c r="F225" t="str">
        <x:v>West</x:v>
      </x:c>
      <x:c r="G225" t="str">
        <x:v>Pet Supplies</x:v>
      </x:c>
      <x:c r="H225" t="n">
        <x:v>1</x:v>
      </x:c>
      <x:c r="I225" s="26" t="n">
        <x:v>2665.8</x:v>
      </x:c>
      <x:c r="J225" s="26" t="n">
        <x:v>2533.8</x:v>
      </x:c>
      <x:c r="K225" s="28" t="n">
        <x:v>0.1288</x:v>
      </x:c>
      <x:c r="L225" s="26" t="n">
        <x:v>326.35</x:v>
      </x:c>
      <x:c r="M225" t="n">
        <x:v>0</x:v>
      </x:c>
      <x:c r="N225" s="26" t="n">
        <x:v>0</x:v>
      </x:c>
      <x:c r="O225" s="26" t="n">
        <x:v>46.88</x:v>
      </x:c>
      <x:c r="P225" s="26" t="n">
        <x:v>11.4</x:v>
      </x:c>
      <x:c r="Q225" s="26" t="n">
        <x:v>21.54</x:v>
      </x:c>
      <x:c r="R225" s="26" t="n">
        <x:v>26.6</x:v>
      </x:c>
      <x:c r="S225" s="26" t="n">
        <x:v>219.93</x:v>
      </x:c>
    </x:row>
    <x:row r="226">
      <x:c r="A226" t="n">
        <x:v>500223</x:v>
      </x:c>
      <x:c r="B226" s="24" t="n">
        <x:v>45713</x:v>
      </x:c>
      <x:c r="C226" t="n">
        <x:v>1020</x:v>
      </x:c>
      <x:c r="D226" t="str">
        <x:v>Seller 1020</x:v>
      </x:c>
      <x:c r="E226" t="str">
        <x:v>Gold</x:v>
      </x:c>
      <x:c r="F226" t="str">
        <x:v>West</x:v>
      </x:c>
      <x:c r="G226" t="str">
        <x:v>Home &amp; Kitchen</x:v>
      </x:c>
      <x:c r="H226" t="n">
        <x:v>3</x:v>
      </x:c>
      <x:c r="I226" s="26" t="n">
        <x:v>1613.4</x:v>
      </x:c>
      <x:c r="J226" s="26" t="n">
        <x:v>6010.8</x:v>
      </x:c>
      <x:c r="K226" s="28" t="n">
        <x:v>0.1398</x:v>
      </x:c>
      <x:c r="L226" s="26" t="n">
        <x:v>840.31</x:v>
      </x:c>
      <x:c r="M226" t="n">
        <x:v>0</x:v>
      </x:c>
      <x:c r="N226" s="26" t="n">
        <x:v>0</x:v>
      </x:c>
      <x:c r="O226" s="26" t="n">
        <x:v>111.2</x:v>
      </x:c>
      <x:c r="P226" s="26" t="n">
        <x:v>27.05</x:v>
      </x:c>
      <x:c r="Q226" s="26" t="n">
        <x:v>51.09</x:v>
      </x:c>
      <x:c r="R226" s="26" t="n">
        <x:v>63.11</x:v>
      </x:c>
      <x:c r="S226" s="26" t="n">
        <x:v>587.86</x:v>
      </x:c>
    </x:row>
    <x:row r="227">
      <x:c r="A227" t="n">
        <x:v>500224</x:v>
      </x:c>
      <x:c r="B227" s="24" t="n">
        <x:v>45690</x:v>
      </x:c>
      <x:c r="C227" t="n">
        <x:v>1028</x:v>
      </x:c>
      <x:c r="D227" t="str">
        <x:v>Seller 1028</x:v>
      </x:c>
      <x:c r="E227" t="str">
        <x:v>Gold</x:v>
      </x:c>
      <x:c r="F227" t="str">
        <x:v>Central</x:v>
      </x:c>
      <x:c r="G227" t="str">
        <x:v>Pet Supplies</x:v>
      </x:c>
      <x:c r="H227" t="n">
        <x:v>2</x:v>
      </x:c>
      <x:c r="I227" s="26" t="n">
        <x:v>1053</x:v>
      </x:c>
      <x:c r="J227" s="26" t="n">
        <x:v>2615.4</x:v>
      </x:c>
      <x:c r="K227" s="28" t="n">
        <x:v>0.122</x:v>
      </x:c>
      <x:c r="L227" s="26" t="n">
        <x:v>319.08</x:v>
      </x:c>
      <x:c r="M227" t="n">
        <x:v>0</x:v>
      </x:c>
      <x:c r="N227" s="26" t="n">
        <x:v>0</x:v>
      </x:c>
      <x:c r="O227" s="26" t="n">
        <x:v>48.38</x:v>
      </x:c>
      <x:c r="P227" s="26" t="n">
        <x:v>11.77</x:v>
      </x:c>
      <x:c r="Q227" s="26" t="n">
        <x:v>22.23</x:v>
      </x:c>
      <x:c r="R227" s="26" t="n">
        <x:v>27.46</x:v>
      </x:c>
      <x:c r="S227" s="26" t="n">
        <x:v>209.23</x:v>
      </x:c>
    </x:row>
    <x:row r="228">
      <x:c r="A228" t="n">
        <x:v>500225</x:v>
      </x:c>
      <x:c r="B228" s="24" t="n">
        <x:v>45715</x:v>
      </x:c>
      <x:c r="C228" t="n">
        <x:v>1073</x:v>
      </x:c>
      <x:c r="D228" t="str">
        <x:v>Seller 1073</x:v>
      </x:c>
      <x:c r="E228" t="str">
        <x:v>Bronze</x:v>
      </x:c>
      <x:c r="F228" t="str">
        <x:v>Central</x:v>
      </x:c>
      <x:c r="G228" t="str">
        <x:v>Electronics</x:v>
      </x:c>
      <x:c r="H228" t="n">
        <x:v>3</x:v>
      </x:c>
      <x:c r="I228" s="26" t="n">
        <x:v>1577.3999999999999</x:v>
      </x:c>
      <x:c r="J228" s="26" t="n">
        <x:v>3168.6</x:v>
      </x:c>
      <x:c r="K228" s="28" t="n">
        <x:v>0.1179</x:v>
      </x:c>
      <x:c r="L228" s="26" t="n">
        <x:v>373.58</x:v>
      </x:c>
      <x:c r="M228" t="n">
        <x:v>0</x:v>
      </x:c>
      <x:c r="N228" s="26" t="n">
        <x:v>0</x:v>
      </x:c>
      <x:c r="O228" s="26" t="n">
        <x:v>58.62</x:v>
      </x:c>
      <x:c r="P228" s="26" t="n">
        <x:v>14.26</x:v>
      </x:c>
      <x:c r="Q228" s="26" t="n">
        <x:v>26.93</x:v>
      </x:c>
      <x:c r="R228" s="26" t="n">
        <x:v>33.27</x:v>
      </x:c>
      <x:c r="S228" s="26" t="n">
        <x:v>240.5</x:v>
      </x:c>
    </x:row>
    <x:row r="229">
      <x:c r="A229" t="n">
        <x:v>500226</x:v>
      </x:c>
      <x:c r="B229" s="24" t="n">
        <x:v>45689</x:v>
      </x:c>
      <x:c r="C229" t="n">
        <x:v>1067</x:v>
      </x:c>
      <x:c r="D229" t="str">
        <x:v>Seller 1067</x:v>
      </x:c>
      <x:c r="E229" t="str">
        <x:v>Bronze</x:v>
      </x:c>
      <x:c r="F229" t="str">
        <x:v>South</x:v>
      </x:c>
      <x:c r="G229" t="str">
        <x:v>Beauty</x:v>
      </x:c>
      <x:c r="H229" t="n">
        <x:v>1</x:v>
      </x:c>
      <x:c r="I229" s="26" t="n">
        <x:v>2336.3999999999996</x:v>
      </x:c>
      <x:c r="J229" s="26" t="n">
        <x:v>1564.2</x:v>
      </x:c>
      <x:c r="K229" s="28" t="n">
        <x:v>0.1447</x:v>
      </x:c>
      <x:c r="L229" s="26" t="n">
        <x:v>226.34</x:v>
      </x:c>
      <x:c r="M229" t="n">
        <x:v>0</x:v>
      </x:c>
      <x:c r="N229" s="26" t="n">
        <x:v>0</x:v>
      </x:c>
      <x:c r="O229" s="26" t="n">
        <x:v>28.94</x:v>
      </x:c>
      <x:c r="P229" s="26" t="n">
        <x:v>7.04</x:v>
      </x:c>
      <x:c r="Q229" s="26" t="n">
        <x:v>13.3</x:v>
      </x:c>
      <x:c r="R229" s="26" t="n">
        <x:v>16.42</x:v>
      </x:c>
      <x:c r="S229" s="26" t="n">
        <x:v>160.64</x:v>
      </x:c>
    </x:row>
    <x:row r="230">
      <x:c r="A230" t="n">
        <x:v>500227</x:v>
      </x:c>
      <x:c r="B230" s="24" t="n">
        <x:v>45688</x:v>
      </x:c>
      <x:c r="C230" t="n">
        <x:v>1059</x:v>
      </x:c>
      <x:c r="D230" t="str">
        <x:v>Seller 1059</x:v>
      </x:c>
      <x:c r="E230" t="str">
        <x:v>Bronze</x:v>
      </x:c>
      <x:c r="F230" t="str">
        <x:v>Central</x:v>
      </x:c>
      <x:c r="G230" t="str">
        <x:v>Sports</x:v>
      </x:c>
      <x:c r="H230" t="n">
        <x:v>1</x:v>
      </x:c>
      <x:c r="I230" s="26" t="n">
        <x:v>4798.2</x:v>
      </x:c>
      <x:c r="J230" s="26" t="n">
        <x:v>3213</x:v>
      </x:c>
      <x:c r="K230" s="28" t="n">
        <x:v>0.1294</x:v>
      </x:c>
      <x:c r="L230" s="26" t="n">
        <x:v>415.76</x:v>
      </x:c>
      <x:c r="M230" t="n">
        <x:v>0</x:v>
      </x:c>
      <x:c r="N230" s="26" t="n">
        <x:v>0</x:v>
      </x:c>
      <x:c r="O230" s="26" t="n">
        <x:v>59.44</x:v>
      </x:c>
      <x:c r="P230" s="26" t="n">
        <x:v>14.46</x:v>
      </x:c>
      <x:c r="Q230" s="26" t="n">
        <x:v>27.31</x:v>
      </x:c>
      <x:c r="R230" s="26" t="n">
        <x:v>33.74</x:v>
      </x:c>
      <x:c r="S230" s="26" t="n">
        <x:v>280.82</x:v>
      </x:c>
    </x:row>
    <x:row r="231">
      <x:c r="A231" t="n">
        <x:v>500228</x:v>
      </x:c>
      <x:c r="B231" s="24" t="n">
        <x:v>45705</x:v>
      </x:c>
      <x:c r="C231" t="n">
        <x:v>1051</x:v>
      </x:c>
      <x:c r="D231" t="str">
        <x:v>Seller 1051</x:v>
      </x:c>
      <x:c r="E231" t="str">
        <x:v>Silver</x:v>
      </x:c>
      <x:c r="F231" t="str">
        <x:v>East</x:v>
      </x:c>
      <x:c r="G231" t="str">
        <x:v>Sports</x:v>
      </x:c>
      <x:c r="H231" t="n">
        <x:v>3</x:v>
      </x:c>
      <x:c r="I231" s="26" t="n">
        <x:v>1524.6</x:v>
      </x:c>
      <x:c r="J231" s="26" t="n">
        <x:v>4347.6</x:v>
      </x:c>
      <x:c r="K231" s="28" t="n">
        <x:v>0.1178</x:v>
      </x:c>
      <x:c r="L231" s="26" t="n">
        <x:v>512.15</x:v>
      </x:c>
      <x:c r="M231" t="n">
        <x:v>0</x:v>
      </x:c>
      <x:c r="N231" s="26" t="n">
        <x:v>0</x:v>
      </x:c>
      <x:c r="O231" s="26" t="n">
        <x:v>80.43</x:v>
      </x:c>
      <x:c r="P231" s="26" t="n">
        <x:v>19.56</x:v>
      </x:c>
      <x:c r="Q231" s="26" t="n">
        <x:v>36.95</x:v>
      </x:c>
      <x:c r="R231" s="26" t="n">
        <x:v>45.65</x:v>
      </x:c>
      <x:c r="S231" s="26" t="n">
        <x:v>329.55</x:v>
      </x:c>
    </x:row>
    <x:row r="232">
      <x:c r="A232" t="n">
        <x:v>500229</x:v>
      </x:c>
      <x:c r="B232" s="24" t="n">
        <x:v>45708</x:v>
      </x:c>
      <x:c r="C232" t="n">
        <x:v>1008</x:v>
      </x:c>
      <x:c r="D232" t="str">
        <x:v>Seller 1008</x:v>
      </x:c>
      <x:c r="E232" t="str">
        <x:v>Platinum</x:v>
      </x:c>
      <x:c r="F232" t="str">
        <x:v>West</x:v>
      </x:c>
      <x:c r="G232" t="str">
        <x:v>Electronics</x:v>
      </x:c>
      <x:c r="H232" t="n">
        <x:v>3</x:v>
      </x:c>
      <x:c r="I232" s="26" t="n">
        <x:v>2831.3999999999996</x:v>
      </x:c>
      <x:c r="J232" s="26" t="n">
        <x:v>14219.4</x:v>
      </x:c>
      <x:c r="K232" s="28" t="n">
        <x:v>0.1199</x:v>
      </x:c>
      <x:c r="L232" s="26" t="n">
        <x:v>1704.91</x:v>
      </x:c>
      <x:c r="M232" t="n">
        <x:v>0</x:v>
      </x:c>
      <x:c r="N232" s="26" t="n">
        <x:v>0</x:v>
      </x:c>
      <x:c r="O232" s="26" t="n">
        <x:v>263.06</x:v>
      </x:c>
      <x:c r="P232" s="26" t="n">
        <x:v>63.99</x:v>
      </x:c>
      <x:c r="Q232" s="26" t="n">
        <x:v>120.86</x:v>
      </x:c>
      <x:c r="R232" s="26" t="n">
        <x:v>149.3</x:v>
      </x:c>
      <x:c r="S232" s="26" t="n">
        <x:v>1107.69</x:v>
      </x:c>
    </x:row>
    <x:row r="233">
      <x:c r="A233" t="n">
        <x:v>500230</x:v>
      </x:c>
      <x:c r="B233" s="24" t="n">
        <x:v>45709</x:v>
      </x:c>
      <x:c r="C233" t="n">
        <x:v>1054</x:v>
      </x:c>
      <x:c r="D233" t="str">
        <x:v>Seller 1054</x:v>
      </x:c>
      <x:c r="E233" t="str">
        <x:v>Silver</x:v>
      </x:c>
      <x:c r="F233" t="str">
        <x:v>South</x:v>
      </x:c>
      <x:c r="G233" t="str">
        <x:v>Home &amp; Kitchen</x:v>
      </x:c>
      <x:c r="H233" t="n">
        <x:v>3</x:v>
      </x:c>
      <x:c r="I233" s="26" t="n">
        <x:v>1369.2</x:v>
      </x:c>
      <x:c r="J233" s="26" t="n">
        <x:v>3903.6</x:v>
      </x:c>
      <x:c r="K233" s="28" t="n">
        <x:v>0.145</x:v>
      </x:c>
      <x:c r="L233" s="26" t="n">
        <x:v>566.02</x:v>
      </x:c>
      <x:c r="M233" t="n">
        <x:v>0</x:v>
      </x:c>
      <x:c r="N233" s="26" t="n">
        <x:v>0</x:v>
      </x:c>
      <x:c r="O233" s="26" t="n">
        <x:v>72.22</x:v>
      </x:c>
      <x:c r="P233" s="26" t="n">
        <x:v>17.57</x:v>
      </x:c>
      <x:c r="Q233" s="26" t="n">
        <x:v>33.18</x:v>
      </x:c>
      <x:c r="R233" s="26" t="n">
        <x:v>40.99</x:v>
      </x:c>
      <x:c r="S233" s="26" t="n">
        <x:v>402.07</x:v>
      </x:c>
    </x:row>
    <x:row r="234">
      <x:c r="A234" t="n">
        <x:v>500231</x:v>
      </x:c>
      <x:c r="B234" s="24" t="n">
        <x:v>45695</x:v>
      </x:c>
      <x:c r="C234" t="n">
        <x:v>1070</x:v>
      </x:c>
      <x:c r="D234" t="str">
        <x:v>Seller 1070</x:v>
      </x:c>
      <x:c r="E234" t="str">
        <x:v>Bronze</x:v>
      </x:c>
      <x:c r="F234" t="str">
        <x:v>West</x:v>
      </x:c>
      <x:c r="G234" t="str">
        <x:v>Electronics</x:v>
      </x:c>
      <x:c r="H234" t="n">
        <x:v>2</x:v>
      </x:c>
      <x:c r="I234" s="26" t="n">
        <x:v>4080.6000000000004</x:v>
      </x:c>
      <x:c r="J234" s="26" t="n">
        <x:v>5464.8</x:v>
      </x:c>
      <x:c r="K234" s="28" t="n">
        <x:v>0.1368</x:v>
      </x:c>
      <x:c r="L234" s="26" t="n">
        <x:v>747.58</x:v>
      </x:c>
      <x:c r="M234" t="n">
        <x:v>0</x:v>
      </x:c>
      <x:c r="N234" s="26" t="n">
        <x:v>0</x:v>
      </x:c>
      <x:c r="O234" s="26" t="n">
        <x:v>101.1</x:v>
      </x:c>
      <x:c r="P234" s="26" t="n">
        <x:v>24.59</x:v>
      </x:c>
      <x:c r="Q234" s="26" t="n">
        <x:v>46.45</x:v>
      </x:c>
      <x:c r="R234" s="26" t="n">
        <x:v>57.38</x:v>
      </x:c>
      <x:c r="S234" s="26" t="n">
        <x:v>518.06</x:v>
      </x:c>
    </x:row>
    <x:row r="235">
      <x:c r="A235" t="n">
        <x:v>500232</x:v>
      </x:c>
      <x:c r="B235" s="24" t="n">
        <x:v>45702</x:v>
      </x:c>
      <x:c r="C235" t="n">
        <x:v>1001</x:v>
      </x:c>
      <x:c r="D235" t="str">
        <x:v>Seller 1001</x:v>
      </x:c>
      <x:c r="E235" t="str">
        <x:v>Platinum</x:v>
      </x:c>
      <x:c r="F235" t="str">
        <x:v>East</x:v>
      </x:c>
      <x:c r="G235" t="str">
        <x:v>Beauty</x:v>
      </x:c>
      <x:c r="H235" t="n">
        <x:v>1</x:v>
      </x:c>
      <x:c r="I235" s="26" t="n">
        <x:v>2717.4</x:v>
      </x:c>
      <x:c r="J235" s="26" t="n">
        <x:v>4549.2</x:v>
      </x:c>
      <x:c r="K235" s="28" t="n">
        <x:v>0.1432</x:v>
      </x:c>
      <x:c r="L235" s="26" t="n">
        <x:v>651.45</x:v>
      </x:c>
      <x:c r="M235" t="n">
        <x:v>0</x:v>
      </x:c>
      <x:c r="N235" s="26" t="n">
        <x:v>0</x:v>
      </x:c>
      <x:c r="O235" s="26" t="n">
        <x:v>84.16</x:v>
      </x:c>
      <x:c r="P235" s="26" t="n">
        <x:v>20.47</x:v>
      </x:c>
      <x:c r="Q235" s="26" t="n">
        <x:v>38.67</x:v>
      </x:c>
      <x:c r="R235" s="26" t="n">
        <x:v>47.77</x:v>
      </x:c>
      <x:c r="S235" s="26" t="n">
        <x:v>460.38</x:v>
      </x:c>
    </x:row>
    <x:row r="236">
      <x:c r="A236" t="n">
        <x:v>500233</x:v>
      </x:c>
      <x:c r="B236" s="24" t="n">
        <x:v>45707</x:v>
      </x:c>
      <x:c r="C236" t="n">
        <x:v>1045</x:v>
      </x:c>
      <x:c r="D236" t="str">
        <x:v>Seller 1045</x:v>
      </x:c>
      <x:c r="E236" t="str">
        <x:v>Silver</x:v>
      </x:c>
      <x:c r="F236" t="str">
        <x:v>Central</x:v>
      </x:c>
      <x:c r="G236" t="str">
        <x:v>Home &amp; Kitchen</x:v>
      </x:c>
      <x:c r="H236" t="n">
        <x:v>3</x:v>
      </x:c>
      <x:c r="I236" s="26" t="n">
        <x:v>2383.7999999999997</x:v>
      </x:c>
      <x:c r="J236" s="26" t="n">
        <x:v>6796.2</x:v>
      </x:c>
      <x:c r="K236" s="28" t="n">
        <x:v>0.1414</x:v>
      </x:c>
      <x:c r="L236" s="26" t="n">
        <x:v>960.98</x:v>
      </x:c>
      <x:c r="M236" t="n">
        <x:v>0</x:v>
      </x:c>
      <x:c r="N236" s="26" t="n">
        <x:v>0</x:v>
      </x:c>
      <x:c r="O236" s="26" t="n">
        <x:v>125.73</x:v>
      </x:c>
      <x:c r="P236" s="26" t="n">
        <x:v>30.58</x:v>
      </x:c>
      <x:c r="Q236" s="26" t="n">
        <x:v>57.77</x:v>
      </x:c>
      <x:c r="R236" s="26" t="n">
        <x:v>71.36</x:v>
      </x:c>
      <x:c r="S236" s="26" t="n">
        <x:v>675.54</x:v>
      </x:c>
    </x:row>
    <x:row r="237">
      <x:c r="A237" t="n">
        <x:v>500234</x:v>
      </x:c>
      <x:c r="B237" s="24" t="n">
        <x:v>45695</x:v>
      </x:c>
      <x:c r="C237" t="n">
        <x:v>1003</x:v>
      </x:c>
      <x:c r="D237" t="str">
        <x:v>Seller 1003</x:v>
      </x:c>
      <x:c r="E237" t="str">
        <x:v>Platinum</x:v>
      </x:c>
      <x:c r="F237" t="str">
        <x:v>East</x:v>
      </x:c>
      <x:c r="G237" t="str">
        <x:v>Pet Supplies</x:v>
      </x:c>
      <x:c r="H237" t="n">
        <x:v>3</x:v>
      </x:c>
      <x:c r="I237" s="26" t="n">
        <x:v>1177.8</x:v>
      </x:c>
      <x:c r="J237" s="26" t="n">
        <x:v>5913</x:v>
      </x:c>
      <x:c r="K237" s="28" t="n">
        <x:v>0.1307</x:v>
      </x:c>
      <x:c r="L237" s="26" t="n">
        <x:v>772.83</x:v>
      </x:c>
      <x:c r="M237" t="n">
        <x:v>0</x:v>
      </x:c>
      <x:c r="N237" s="26" t="n">
        <x:v>0</x:v>
      </x:c>
      <x:c r="O237" s="26" t="n">
        <x:v>109.39</x:v>
      </x:c>
      <x:c r="P237" s="26" t="n">
        <x:v>26.61</x:v>
      </x:c>
      <x:c r="Q237" s="26" t="n">
        <x:v>50.26</x:v>
      </x:c>
      <x:c r="R237" s="26" t="n">
        <x:v>62.09</x:v>
      </x:c>
      <x:c r="S237" s="26" t="n">
        <x:v>524.48</x:v>
      </x:c>
    </x:row>
    <x:row r="238">
      <x:c r="A238" t="n">
        <x:v>500235</x:v>
      </x:c>
      <x:c r="B238" s="24" t="n">
        <x:v>45697</x:v>
      </x:c>
      <x:c r="C238" t="n">
        <x:v>1006</x:v>
      </x:c>
      <x:c r="D238" t="str">
        <x:v>Seller 1006</x:v>
      </x:c>
      <x:c r="E238" t="str">
        <x:v>Platinum</x:v>
      </x:c>
      <x:c r="F238" t="str">
        <x:v>East</x:v>
      </x:c>
      <x:c r="G238" t="str">
        <x:v>Sports</x:v>
      </x:c>
      <x:c r="H238" t="n">
        <x:v>2</x:v>
      </x:c>
      <x:c r="I238" s="26" t="n">
        <x:v>2534.4</x:v>
      </x:c>
      <x:c r="J238" s="26" t="n">
        <x:v>8484</x:v>
      </x:c>
      <x:c r="K238" s="28" t="n">
        <x:v>0.1367</x:v>
      </x:c>
      <x:c r="L238" s="26" t="n">
        <x:v>1159.76</x:v>
      </x:c>
      <x:c r="M238" t="n">
        <x:v>0</x:v>
      </x:c>
      <x:c r="N238" s="26" t="n">
        <x:v>0</x:v>
      </x:c>
      <x:c r="O238" s="26" t="n">
        <x:v>156.95</x:v>
      </x:c>
      <x:c r="P238" s="26" t="n">
        <x:v>38.18</x:v>
      </x:c>
      <x:c r="Q238" s="26" t="n">
        <x:v>72.11</x:v>
      </x:c>
      <x:c r="R238" s="26" t="n">
        <x:v>89.08</x:v>
      </x:c>
      <x:c r="S238" s="26" t="n">
        <x:v>803.43</x:v>
      </x:c>
    </x:row>
    <x:row r="239">
      <x:c r="A239" t="n">
        <x:v>500236</x:v>
      </x:c>
      <x:c r="B239" s="24" t="n">
        <x:v>45692</x:v>
      </x:c>
      <x:c r="C239" t="n">
        <x:v>1030</x:v>
      </x:c>
      <x:c r="D239" t="str">
        <x:v>Seller 1030</x:v>
      </x:c>
      <x:c r="E239" t="str">
        <x:v>Gold</x:v>
      </x:c>
      <x:c r="F239" t="str">
        <x:v>South</x:v>
      </x:c>
      <x:c r="G239" t="str">
        <x:v>Pet Supplies</x:v>
      </x:c>
      <x:c r="H239" t="n">
        <x:v>1</x:v>
      </x:c>
      <x:c r="I239" s="26" t="n">
        <x:v>2969.4</x:v>
      </x:c>
      <x:c r="J239" s="26" t="n">
        <x:v>3687.6</x:v>
      </x:c>
      <x:c r="K239" s="28" t="n">
        <x:v>0.1385</x:v>
      </x:c>
      <x:c r="L239" s="26" t="n">
        <x:v>510.73</x:v>
      </x:c>
      <x:c r="M239" t="n">
        <x:v>0</x:v>
      </x:c>
      <x:c r="N239" s="26" t="n">
        <x:v>0</x:v>
      </x:c>
      <x:c r="O239" s="26" t="n">
        <x:v>68.22</x:v>
      </x:c>
      <x:c r="P239" s="26" t="n">
        <x:v>16.59</x:v>
      </x:c>
      <x:c r="Q239" s="26" t="n">
        <x:v>31.34</x:v>
      </x:c>
      <x:c r="R239" s="26" t="n">
        <x:v>38.72</x:v>
      </x:c>
      <x:c r="S239" s="26" t="n">
        <x:v>355.85</x:v>
      </x:c>
    </x:row>
    <x:row r="240">
      <x:c r="A240" t="n">
        <x:v>500237</x:v>
      </x:c>
      <x:c r="B240" s="24" t="n">
        <x:v>45708</x:v>
      </x:c>
      <x:c r="C240" t="n">
        <x:v>1067</x:v>
      </x:c>
      <x:c r="D240" t="str">
        <x:v>Seller 1067</x:v>
      </x:c>
      <x:c r="E240" t="str">
        <x:v>Bronze</x:v>
      </x:c>
      <x:c r="F240" t="str">
        <x:v>South</x:v>
      </x:c>
      <x:c r="G240" t="str">
        <x:v>Beauty</x:v>
      </x:c>
      <x:c r="H240" t="n">
        <x:v>2</x:v>
      </x:c>
      <x:c r="I240" s="26" t="n">
        <x:v>1391.4</x:v>
      </x:c>
      <x:c r="J240" s="26" t="n">
        <x:v>1863</x:v>
      </x:c>
      <x:c r="K240" s="28" t="n">
        <x:v>0.1558</x:v>
      </x:c>
      <x:c r="L240" s="26" t="n">
        <x:v>290.26</x:v>
      </x:c>
      <x:c r="M240" t="n">
        <x:v>0</x:v>
      </x:c>
      <x:c r="N240" s="26" t="n">
        <x:v>0</x:v>
      </x:c>
      <x:c r="O240" s="26" t="n">
        <x:v>34.47</x:v>
      </x:c>
      <x:c r="P240" s="26" t="n">
        <x:v>8.38</x:v>
      </x:c>
      <x:c r="Q240" s="26" t="n">
        <x:v>15.84</x:v>
      </x:c>
      <x:c r="R240" s="26" t="n">
        <x:v>19.56</x:v>
      </x:c>
      <x:c r="S240" s="26" t="n">
        <x:v>212.01</x:v>
      </x:c>
    </x:row>
    <x:row r="241">
      <x:c r="A241" t="n">
        <x:v>500238</x:v>
      </x:c>
      <x:c r="B241" s="24" t="n">
        <x:v>45710</x:v>
      </x:c>
      <x:c r="C241" t="n">
        <x:v>1055</x:v>
      </x:c>
      <x:c r="D241" t="str">
        <x:v>Seller 1055</x:v>
      </x:c>
      <x:c r="E241" t="str">
        <x:v>Bronze</x:v>
      </x:c>
      <x:c r="F241" t="str">
        <x:v>Central</x:v>
      </x:c>
      <x:c r="G241" t="str">
        <x:v>Pet Supplies</x:v>
      </x:c>
      <x:c r="H241" t="n">
        <x:v>3</x:v>
      </x:c>
      <x:c r="I241" s="26" t="n">
        <x:v>1106.4</x:v>
      </x:c>
      <x:c r="J241" s="26" t="n">
        <x:v>2223</x:v>
      </x:c>
      <x:c r="K241" s="28" t="n">
        <x:v>0.1354</x:v>
      </x:c>
      <x:c r="L241" s="26" t="n">
        <x:v>300.99</x:v>
      </x:c>
      <x:c r="M241" t="n">
        <x:v>0</x:v>
      </x:c>
      <x:c r="N241" s="26" t="n">
        <x:v>0</x:v>
      </x:c>
      <x:c r="O241" s="26" t="n">
        <x:v>41.13</x:v>
      </x:c>
      <x:c r="P241" s="26" t="n">
        <x:v>10</x:v>
      </x:c>
      <x:c r="Q241" s="26" t="n">
        <x:v>18.9</x:v>
      </x:c>
      <x:c r="R241" s="26" t="n">
        <x:v>23.34</x:v>
      </x:c>
      <x:c r="S241" s="26" t="n">
        <x:v>207.63</x:v>
      </x:c>
    </x:row>
    <x:row r="242">
      <x:c r="A242" t="n">
        <x:v>500239</x:v>
      </x:c>
      <x:c r="B242" s="24" t="n">
        <x:v>45715</x:v>
      </x:c>
      <x:c r="C242" t="n">
        <x:v>1054</x:v>
      </x:c>
      <x:c r="D242" t="str">
        <x:v>Seller 1054</x:v>
      </x:c>
      <x:c r="E242" t="str">
        <x:v>Silver</x:v>
      </x:c>
      <x:c r="F242" t="str">
        <x:v>South</x:v>
      </x:c>
      <x:c r="G242" t="str">
        <x:v>Home &amp; Kitchen</x:v>
      </x:c>
      <x:c r="H242" t="n">
        <x:v>2</x:v>
      </x:c>
      <x:c r="I242" s="26" t="n">
        <x:v>2698.7999999999997</x:v>
      </x:c>
      <x:c r="J242" s="26" t="n">
        <x:v>5129.4</x:v>
      </x:c>
      <x:c r="K242" s="28" t="n">
        <x:v>0.1359</x:v>
      </x:c>
      <x:c r="L242" s="26" t="n">
        <x:v>697.09</x:v>
      </x:c>
      <x:c r="M242" t="n">
        <x:v>0</x:v>
      </x:c>
      <x:c r="N242" s="26" t="n">
        <x:v>0</x:v>
      </x:c>
      <x:c r="O242" s="26" t="n">
        <x:v>94.89</x:v>
      </x:c>
      <x:c r="P242" s="26" t="n">
        <x:v>23.08</x:v>
      </x:c>
      <x:c r="Q242" s="26" t="n">
        <x:v>43.6</x:v>
      </x:c>
      <x:c r="R242" s="26" t="n">
        <x:v>53.86</x:v>
      </x:c>
      <x:c r="S242" s="26" t="n">
        <x:v>481.65</x:v>
      </x:c>
    </x:row>
    <x:row r="243">
      <x:c r="A243" t="n">
        <x:v>500240</x:v>
      </x:c>
      <x:c r="B243" s="24" t="n">
        <x:v>45694</x:v>
      </x:c>
      <x:c r="C243" t="n">
        <x:v>1019</x:v>
      </x:c>
      <x:c r="D243" t="str">
        <x:v>Seller 1019</x:v>
      </x:c>
      <x:c r="E243" t="str">
        <x:v>Gold</x:v>
      </x:c>
      <x:c r="F243" t="str">
        <x:v>East</x:v>
      </x:c>
      <x:c r="G243" t="str">
        <x:v>Electronics</x:v>
      </x:c>
      <x:c r="H243" t="n">
        <x:v>1</x:v>
      </x:c>
      <x:c r="I243" s="26" t="n">
        <x:v>8002.799999999999</x:v>
      </x:c>
      <x:c r="J243" s="26" t="n">
        <x:v>9939.6</x:v>
      </x:c>
      <x:c r="K243" s="28" t="n">
        <x:v>0.1264</x:v>
      </x:c>
      <x:c r="L243" s="26" t="n">
        <x:v>1256.37</x:v>
      </x:c>
      <x:c r="M243" t="n">
        <x:v>0</x:v>
      </x:c>
      <x:c r="N243" s="26" t="n">
        <x:v>0</x:v>
      </x:c>
      <x:c r="O243" s="26" t="n">
        <x:v>183.88</x:v>
      </x:c>
      <x:c r="P243" s="26" t="n">
        <x:v>44.73</x:v>
      </x:c>
      <x:c r="Q243" s="26" t="n">
        <x:v>84.49</x:v>
      </x:c>
      <x:c r="R243" s="26" t="n">
        <x:v>104.37</x:v>
      </x:c>
      <x:c r="S243" s="26" t="n">
        <x:v>838.9</x:v>
      </x:c>
    </x:row>
    <x:row r="244">
      <x:c r="A244" t="n">
        <x:v>500241</x:v>
      </x:c>
      <x:c r="B244" s="24" t="n">
        <x:v>45696</x:v>
      </x:c>
      <x:c r="C244" t="n">
        <x:v>1043</x:v>
      </x:c>
      <x:c r="D244" t="str">
        <x:v>Seller 1043</x:v>
      </x:c>
      <x:c r="E244" t="str">
        <x:v>Silver</x:v>
      </x:c>
      <x:c r="F244" t="str">
        <x:v>West</x:v>
      </x:c>
      <x:c r="G244" t="str">
        <x:v>Sports</x:v>
      </x:c>
      <x:c r="H244" t="n">
        <x:v>4</x:v>
      </x:c>
      <x:c r="I244" s="26" t="n">
        <x:v>808.2</x:v>
      </x:c>
      <x:c r="J244" s="26" t="n">
        <x:v>3072</x:v>
      </x:c>
      <x:c r="K244" s="28" t="n">
        <x:v>0.1182</x:v>
      </x:c>
      <x:c r="L244" s="26" t="n">
        <x:v>363.11</x:v>
      </x:c>
      <x:c r="M244" t="n">
        <x:v>0</x:v>
      </x:c>
      <x:c r="N244" s="26" t="n">
        <x:v>0</x:v>
      </x:c>
      <x:c r="O244" s="26" t="n">
        <x:v>56.83</x:v>
      </x:c>
      <x:c r="P244" s="26" t="n">
        <x:v>13.82</x:v>
      </x:c>
      <x:c r="Q244" s="26" t="n">
        <x:v>26.11</x:v>
      </x:c>
      <x:c r="R244" s="26" t="n">
        <x:v>32.26</x:v>
      </x:c>
      <x:c r="S244" s="26" t="n">
        <x:v>234.09</x:v>
      </x:c>
    </x:row>
    <x:row r="245">
      <x:c r="A245" t="n">
        <x:v>500242</x:v>
      </x:c>
      <x:c r="B245" s="24" t="n">
        <x:v>45705</x:v>
      </x:c>
      <x:c r="C245" t="n">
        <x:v>1049</x:v>
      </x:c>
      <x:c r="D245" t="str">
        <x:v>Seller 1049</x:v>
      </x:c>
      <x:c r="E245" t="str">
        <x:v>Silver</x:v>
      </x:c>
      <x:c r="F245" t="str">
        <x:v>West</x:v>
      </x:c>
      <x:c r="G245" t="str">
        <x:v>Home &amp; Kitchen</x:v>
      </x:c>
      <x:c r="H245" t="n">
        <x:v>1</x:v>
      </x:c>
      <x:c r="I245" s="26" t="n">
        <x:v>4437.599999999999</x:v>
      </x:c>
      <x:c r="J245" s="26" t="n">
        <x:v>4217.4</x:v>
      </x:c>
      <x:c r="K245" s="28" t="n">
        <x:v>0.1275</x:v>
      </x:c>
      <x:c r="L245" s="26" t="n">
        <x:v>537.72</x:v>
      </x:c>
      <x:c r="M245" t="n">
        <x:v>0</x:v>
      </x:c>
      <x:c r="N245" s="26" t="n">
        <x:v>0</x:v>
      </x:c>
      <x:c r="O245" s="26" t="n">
        <x:v>78.02</x:v>
      </x:c>
      <x:c r="P245" s="26" t="n">
        <x:v>18.98</x:v>
      </x:c>
      <x:c r="Q245" s="26" t="n">
        <x:v>35.85</x:v>
      </x:c>
      <x:c r="R245" s="26" t="n">
        <x:v>44.28</x:v>
      </x:c>
      <x:c r="S245" s="26" t="n">
        <x:v>360.59</x:v>
      </x:c>
    </x:row>
    <x:row r="246">
      <x:c r="A246" t="n">
        <x:v>500243</x:v>
      </x:c>
      <x:c r="B246" s="24" t="n">
        <x:v>45711</x:v>
      </x:c>
      <x:c r="C246" t="n">
        <x:v>1028</x:v>
      </x:c>
      <x:c r="D246" t="str">
        <x:v>Seller 1028</x:v>
      </x:c>
      <x:c r="E246" t="str">
        <x:v>Gold</x:v>
      </x:c>
      <x:c r="F246" t="str">
        <x:v>Central</x:v>
      </x:c>
      <x:c r="G246" t="str">
        <x:v>Sports</x:v>
      </x:c>
      <x:c r="H246" t="n">
        <x:v>3</x:v>
      </x:c>
      <x:c r="I246" s="26" t="n">
        <x:v>1279.8</x:v>
      </x:c>
      <x:c r="J246" s="26" t="n">
        <x:v>4768.8</x:v>
      </x:c>
      <x:c r="K246" s="28" t="n">
        <x:v>0.139</x:v>
      </x:c>
      <x:c r="L246" s="26" t="n">
        <x:v>662.86</x:v>
      </x:c>
      <x:c r="M246" t="n">
        <x:v>0</x:v>
      </x:c>
      <x:c r="N246" s="26" t="n">
        <x:v>0</x:v>
      </x:c>
      <x:c r="O246" s="26" t="n">
        <x:v>88.22</x:v>
      </x:c>
      <x:c r="P246" s="26" t="n">
        <x:v>21.46</x:v>
      </x:c>
      <x:c r="Q246" s="26" t="n">
        <x:v>40.53</x:v>
      </x:c>
      <x:c r="R246" s="26" t="n">
        <x:v>50.07</x:v>
      </x:c>
      <x:c r="S246" s="26" t="n">
        <x:v>462.57</x:v>
      </x:c>
    </x:row>
    <x:row r="247">
      <x:c r="A247" t="n">
        <x:v>500244</x:v>
      </x:c>
      <x:c r="B247" s="24" t="n">
        <x:v>45698</x:v>
      </x:c>
      <x:c r="C247" t="n">
        <x:v>1016</x:v>
      </x:c>
      <x:c r="D247" t="str">
        <x:v>Seller 1016</x:v>
      </x:c>
      <x:c r="E247" t="str">
        <x:v>Gold</x:v>
      </x:c>
      <x:c r="F247" t="str">
        <x:v>West</x:v>
      </x:c>
      <x:c r="G247" t="str">
        <x:v>Apparel</x:v>
      </x:c>
      <x:c r="H247" t="n">
        <x:v>3</x:v>
      </x:c>
      <x:c r="I247" s="26" t="n">
        <x:v>1037.3999999999999</x:v>
      </x:c>
      <x:c r="J247" s="26" t="n">
        <x:v>3865.2</x:v>
      </x:c>
      <x:c r="K247" s="28" t="n">
        <x:v>0.1249</x:v>
      </x:c>
      <x:c r="L247" s="26" t="n">
        <x:v>482.76</x:v>
      </x:c>
      <x:c r="M247" t="n">
        <x:v>0</x:v>
      </x:c>
      <x:c r="N247" s="26" t="n">
        <x:v>0</x:v>
      </x:c>
      <x:c r="O247" s="26" t="n">
        <x:v>71.51</x:v>
      </x:c>
      <x:c r="P247" s="26" t="n">
        <x:v>17.39</x:v>
      </x:c>
      <x:c r="Q247" s="26" t="n">
        <x:v>32.85</x:v>
      </x:c>
      <x:c r="R247" s="26" t="n">
        <x:v>40.58</x:v>
      </x:c>
      <x:c r="S247" s="26" t="n">
        <x:v>320.43</x:v>
      </x:c>
    </x:row>
    <x:row r="248">
      <x:c r="A248" t="n">
        <x:v>500245</x:v>
      </x:c>
      <x:c r="B248" s="24" t="n">
        <x:v>45691</x:v>
      </x:c>
      <x:c r="C248" t="n">
        <x:v>1037</x:v>
      </x:c>
      <x:c r="D248" t="str">
        <x:v>Seller 1037</x:v>
      </x:c>
      <x:c r="E248" t="str">
        <x:v>Silver</x:v>
      </x:c>
      <x:c r="F248" t="str">
        <x:v>East</x:v>
      </x:c>
      <x:c r="G248" t="str">
        <x:v>Apparel</x:v>
      </x:c>
      <x:c r="H248" t="n">
        <x:v>1</x:v>
      </x:c>
      <x:c r="I248" s="26" t="n">
        <x:v>3779.4</x:v>
      </x:c>
      <x:c r="J248" s="26" t="n">
        <x:v>3591.6</x:v>
      </x:c>
      <x:c r="K248" s="28" t="n">
        <x:v>0.1143</x:v>
      </x:c>
      <x:c r="L248" s="26" t="n">
        <x:v>410.52</x:v>
      </x:c>
      <x:c r="M248" t="n">
        <x:v>0</x:v>
      </x:c>
      <x:c r="N248" s="26" t="n">
        <x:v>0</x:v>
      </x:c>
      <x:c r="O248" s="26" t="n">
        <x:v>66.44</x:v>
      </x:c>
      <x:c r="P248" s="26" t="n">
        <x:v>16.16</x:v>
      </x:c>
      <x:c r="Q248" s="26" t="n">
        <x:v>30.53</x:v>
      </x:c>
      <x:c r="R248" s="26" t="n">
        <x:v>37.71</x:v>
      </x:c>
      <x:c r="S248" s="26" t="n">
        <x:v>259.67</x:v>
      </x:c>
    </x:row>
    <x:row r="249">
      <x:c r="A249" t="n">
        <x:v>500246</x:v>
      </x:c>
      <x:c r="B249" s="24" t="n">
        <x:v>45692</x:v>
      </x:c>
      <x:c r="C249" t="n">
        <x:v>1061</x:v>
      </x:c>
      <x:c r="D249" t="str">
        <x:v>Seller 1061</x:v>
      </x:c>
      <x:c r="E249" t="str">
        <x:v>Bronze</x:v>
      </x:c>
      <x:c r="F249" t="str">
        <x:v>Central</x:v>
      </x:c>
      <x:c r="G249" t="str">
        <x:v>Beauty</x:v>
      </x:c>
      <x:c r="H249" t="n">
        <x:v>3</x:v>
      </x:c>
      <x:c r="I249" s="26" t="n">
        <x:v>775.8</x:v>
      </x:c>
      <x:c r="J249" s="26" t="n">
        <x:v>1558.2</x:v>
      </x:c>
      <x:c r="K249" s="28" t="n">
        <x:v>0.1429</x:v>
      </x:c>
      <x:c r="L249" s="26" t="n">
        <x:v>222.67</x:v>
      </x:c>
      <x:c r="M249" t="n">
        <x:v>0</x:v>
      </x:c>
      <x:c r="N249" s="26" t="n">
        <x:v>0</x:v>
      </x:c>
      <x:c r="O249" s="26" t="n">
        <x:v>28.83</x:v>
      </x:c>
      <x:c r="P249" s="26" t="n">
        <x:v>7.01</x:v>
      </x:c>
      <x:c r="Q249" s="26" t="n">
        <x:v>13.24</x:v>
      </x:c>
      <x:c r="R249" s="26" t="n">
        <x:v>16.36</x:v>
      </x:c>
      <x:c r="S249" s="26" t="n">
        <x:v>157.22</x:v>
      </x:c>
    </x:row>
    <x:row r="250">
      <x:c r="A250" t="n">
        <x:v>500247</x:v>
      </x:c>
      <x:c r="B250" s="24" t="n">
        <x:v>45700</x:v>
      </x:c>
      <x:c r="C250" t="n">
        <x:v>1003</x:v>
      </x:c>
      <x:c r="D250" t="str">
        <x:v>Seller 1003</x:v>
      </x:c>
      <x:c r="E250" t="str">
        <x:v>Platinum</x:v>
      </x:c>
      <x:c r="F250" t="str">
        <x:v>East</x:v>
      </x:c>
      <x:c r="G250" t="str">
        <x:v>Pet Supplies</x:v>
      </x:c>
      <x:c r="H250" t="n">
        <x:v>3</x:v>
      </x:c>
      <x:c r="I250" s="26" t="n">
        <x:v>909</x:v>
      </x:c>
      <x:c r="J250" s="26" t="n">
        <x:v>4565.4</x:v>
      </x:c>
      <x:c r="K250" s="28" t="n">
        <x:v>0.13</x:v>
      </x:c>
      <x:c r="L250" s="26" t="n">
        <x:v>593.5</x:v>
      </x:c>
      <x:c r="M250" t="n">
        <x:v>0</x:v>
      </x:c>
      <x:c r="N250" s="26" t="n">
        <x:v>0</x:v>
      </x:c>
      <x:c r="O250" s="26" t="n">
        <x:v>84.46</x:v>
      </x:c>
      <x:c r="P250" s="26" t="n">
        <x:v>20.54</x:v>
      </x:c>
      <x:c r="Q250" s="26" t="n">
        <x:v>38.81</x:v>
      </x:c>
      <x:c r="R250" s="26" t="n">
        <x:v>47.94</x:v>
      </x:c>
      <x:c r="S250" s="26" t="n">
        <x:v>401.76</x:v>
      </x:c>
    </x:row>
    <x:row r="251">
      <x:c r="A251" t="n">
        <x:v>500248</x:v>
      </x:c>
      <x:c r="B251" s="24" t="n">
        <x:v>45711</x:v>
      </x:c>
      <x:c r="C251" t="n">
        <x:v>1073</x:v>
      </x:c>
      <x:c r="D251" t="str">
        <x:v>Seller 1073</x:v>
      </x:c>
      <x:c r="E251" t="str">
        <x:v>Bronze</x:v>
      </x:c>
      <x:c r="F251" t="str">
        <x:v>Central</x:v>
      </x:c>
      <x:c r="G251" t="str">
        <x:v>Apparel</x:v>
      </x:c>
      <x:c r="H251" t="n">
        <x:v>1</x:v>
      </x:c>
      <x:c r="I251" s="26" t="n">
        <x:v>3609.6</x:v>
      </x:c>
      <x:c r="J251" s="26" t="n">
        <x:v>2416.8</x:v>
      </x:c>
      <x:c r="K251" s="28" t="n">
        <x:v>0.1161</x:v>
      </x:c>
      <x:c r="L251" s="26" t="n">
        <x:v>280.59</x:v>
      </x:c>
      <x:c r="M251" t="n">
        <x:v>0</x:v>
      </x:c>
      <x:c r="N251" s="26" t="n">
        <x:v>0</x:v>
      </x:c>
      <x:c r="O251" s="26" t="n">
        <x:v>44.71</x:v>
      </x:c>
      <x:c r="P251" s="26" t="n">
        <x:v>10.88</x:v>
      </x:c>
      <x:c r="Q251" s="26" t="n">
        <x:v>20.54</x:v>
      </x:c>
      <x:c r="R251" s="26" t="n">
        <x:v>25.38</x:v>
      </x:c>
      <x:c r="S251" s="26" t="n">
        <x:v>179.08</x:v>
      </x:c>
    </x:row>
    <x:row r="252">
      <x:c r="A252" t="n">
        <x:v>500249</x:v>
      </x:c>
      <x:c r="B252" s="24" t="n">
        <x:v>45705</x:v>
      </x:c>
      <x:c r="C252" t="n">
        <x:v>1063</x:v>
      </x:c>
      <x:c r="D252" t="str">
        <x:v>Seller 1063</x:v>
      </x:c>
      <x:c r="E252" t="str">
        <x:v>Bronze</x:v>
      </x:c>
      <x:c r="F252" t="str">
        <x:v>West</x:v>
      </x:c>
      <x:c r="G252" t="str">
        <x:v>Pet Supplies</x:v>
      </x:c>
      <x:c r="H252" t="n">
        <x:v>2</x:v>
      </x:c>
      <x:c r="I252" s="26" t="n">
        <x:v>1329</x:v>
      </x:c>
      <x:c r="J252" s="26" t="n">
        <x:v>1779.6</x:v>
      </x:c>
      <x:c r="K252" s="28" t="n">
        <x:v>0.1234</x:v>
      </x:c>
      <x:c r="L252" s="26" t="n">
        <x:v>219.6</x:v>
      </x:c>
      <x:c r="M252" t="n">
        <x:v>0</x:v>
      </x:c>
      <x:c r="N252" s="26" t="n">
        <x:v>0</x:v>
      </x:c>
      <x:c r="O252" s="26" t="n">
        <x:v>32.92</x:v>
      </x:c>
      <x:c r="P252" s="26" t="n">
        <x:v>8.01</x:v>
      </x:c>
      <x:c r="Q252" s="26" t="n">
        <x:v>15.13</x:v>
      </x:c>
      <x:c r="R252" s="26" t="n">
        <x:v>18.69</x:v>
      </x:c>
      <x:c r="S252" s="26" t="n">
        <x:v>144.86</x:v>
      </x:c>
    </x:row>
    <x:row r="253">
      <x:c r="A253" t="n">
        <x:v>500250</x:v>
      </x:c>
      <x:c r="B253" s="24" t="n">
        <x:v>45708</x:v>
      </x:c>
      <x:c r="C253" t="n">
        <x:v>1008</x:v>
      </x:c>
      <x:c r="D253" t="str">
        <x:v>Seller 1008</x:v>
      </x:c>
      <x:c r="E253" t="str">
        <x:v>Platinum</x:v>
      </x:c>
      <x:c r="F253" t="str">
        <x:v>West</x:v>
      </x:c>
      <x:c r="G253" t="str">
        <x:v>Electronics</x:v>
      </x:c>
      <x:c r="H253" t="n">
        <x:v>2</x:v>
      </x:c>
      <x:c r="I253" s="26" t="n">
        <x:v>4118.4</x:v>
      </x:c>
      <x:c r="J253" s="26" t="n">
        <x:v>13787.4</x:v>
      </x:c>
      <x:c r="K253" s="28" t="n">
        <x:v>0.1326</x:v>
      </x:c>
      <x:c r="L253" s="26" t="n">
        <x:v>1828.21</x:v>
      </x:c>
      <x:c r="M253" t="n">
        <x:v>1</x:v>
      </x:c>
      <x:c r="N253" s="26" t="n">
        <x:v>8436</x:v>
      </x:c>
      <x:c r="O253" s="26" t="n">
        <x:v>255.07</x:v>
      </x:c>
      <x:c r="P253" s="26" t="n">
        <x:v>62.04</x:v>
      </x:c>
      <x:c r="Q253" s="26" t="n">
        <x:v>117.19</x:v>
      </x:c>
      <x:c r="R253" s="26" t="n">
        <x:v>144.77</x:v>
      </x:c>
      <x:c r="S253" s="26" t="n">
        <x:v>1080.42</x:v>
      </x:c>
    </x:row>
    <x:row r="254">
      <x:c r="A254" t="n">
        <x:v>500251</x:v>
      </x:c>
      <x:c r="B254" s="24" t="n">
        <x:v>45707</x:v>
      </x:c>
      <x:c r="C254" t="n">
        <x:v>1030</x:v>
      </x:c>
      <x:c r="D254" t="str">
        <x:v>Seller 1030</x:v>
      </x:c>
      <x:c r="E254" t="str">
        <x:v>Gold</x:v>
      </x:c>
      <x:c r="F254" t="str">
        <x:v>South</x:v>
      </x:c>
      <x:c r="G254" t="str">
        <x:v>Pet Supplies</x:v>
      </x:c>
      <x:c r="H254" t="n">
        <x:v>2</x:v>
      </x:c>
      <x:c r="I254" s="26" t="n">
        <x:v>1702.8</x:v>
      </x:c>
      <x:c r="J254" s="26" t="n">
        <x:v>4228.8</x:v>
      </x:c>
      <x:c r="K254" s="28" t="n">
        <x:v>0.1309</x:v>
      </x:c>
      <x:c r="L254" s="26" t="n">
        <x:v>553.55</x:v>
      </x:c>
      <x:c r="M254" t="n">
        <x:v>0</x:v>
      </x:c>
      <x:c r="N254" s="26" t="n">
        <x:v>0</x:v>
      </x:c>
      <x:c r="O254" s="26" t="n">
        <x:v>78.23</x:v>
      </x:c>
      <x:c r="P254" s="26" t="n">
        <x:v>19.03</x:v>
      </x:c>
      <x:c r="Q254" s="26" t="n">
        <x:v>35.94</x:v>
      </x:c>
      <x:c r="R254" s="26" t="n">
        <x:v>44.4</x:v>
      </x:c>
      <x:c r="S254" s="26" t="n">
        <x:v>375.94</x:v>
      </x:c>
    </x:row>
    <x:row r="255">
      <x:c r="A255" t="n">
        <x:v>500252</x:v>
      </x:c>
      <x:c r="B255" s="24" t="n">
        <x:v>45705</x:v>
      </x:c>
      <x:c r="C255" t="n">
        <x:v>1062</x:v>
      </x:c>
      <x:c r="D255" t="str">
        <x:v>Seller 1062</x:v>
      </x:c>
      <x:c r="E255" t="str">
        <x:v>Bronze</x:v>
      </x:c>
      <x:c r="F255" t="str">
        <x:v>West</x:v>
      </x:c>
      <x:c r="G255" t="str">
        <x:v>Electronics</x:v>
      </x:c>
      <x:c r="H255" t="n">
        <x:v>3</x:v>
      </x:c>
      <x:c r="I255" s="26" t="n">
        <x:v>2984.4</x:v>
      </x:c>
      <x:c r="J255" s="26" t="n">
        <x:v>5995.2</x:v>
      </x:c>
      <x:c r="K255" s="28" t="n">
        <x:v>0.1229</x:v>
      </x:c>
      <x:c r="L255" s="26" t="n">
        <x:v>736.81</x:v>
      </x:c>
      <x:c r="M255" t="n">
        <x:v>0</x:v>
      </x:c>
      <x:c r="N255" s="26" t="n">
        <x:v>0</x:v>
      </x:c>
      <x:c r="O255" s="26" t="n">
        <x:v>110.91</x:v>
      </x:c>
      <x:c r="P255" s="26" t="n">
        <x:v>26.98</x:v>
      </x:c>
      <x:c r="Q255" s="26" t="n">
        <x:v>50.96</x:v>
      </x:c>
      <x:c r="R255" s="26" t="n">
        <x:v>62.95</x:v>
      </x:c>
      <x:c r="S255" s="26" t="n">
        <x:v>485.01</x:v>
      </x:c>
    </x:row>
    <x:row r="256">
      <x:c r="A256" t="n">
        <x:v>500253</x:v>
      </x:c>
      <x:c r="B256" s="24" t="n">
        <x:v>45691</x:v>
      </x:c>
      <x:c r="C256" t="n">
        <x:v>1037</x:v>
      </x:c>
      <x:c r="D256" t="str">
        <x:v>Seller 1037</x:v>
      </x:c>
      <x:c r="E256" t="str">
        <x:v>Silver</x:v>
      </x:c>
      <x:c r="F256" t="str">
        <x:v>East</x:v>
      </x:c>
      <x:c r="G256" t="str">
        <x:v>Apparel</x:v>
      </x:c>
      <x:c r="H256" t="n">
        <x:v>3</x:v>
      </x:c>
      <x:c r="I256" s="26" t="n">
        <x:v>855.6</x:v>
      </x:c>
      <x:c r="J256" s="26" t="n">
        <x:v>2440.2</x:v>
      </x:c>
      <x:c r="K256" s="28" t="n">
        <x:v>0.1273</x:v>
      </x:c>
      <x:c r="L256" s="26" t="n">
        <x:v>310.64</x:v>
      </x:c>
      <x:c r="M256" t="n">
        <x:v>0</x:v>
      </x:c>
      <x:c r="N256" s="26" t="n">
        <x:v>0</x:v>
      </x:c>
      <x:c r="O256" s="26" t="n">
        <x:v>45.14</x:v>
      </x:c>
      <x:c r="P256" s="26" t="n">
        <x:v>10.98</x:v>
      </x:c>
      <x:c r="Q256" s="26" t="n">
        <x:v>20.74</x:v>
      </x:c>
      <x:c r="R256" s="26" t="n">
        <x:v>25.62</x:v>
      </x:c>
      <x:c r="S256" s="26" t="n">
        <x:v>208.15</x:v>
      </x:c>
    </x:row>
    <x:row r="257">
      <x:c r="A257" t="n">
        <x:v>500254</x:v>
      </x:c>
      <x:c r="B257" s="24" t="n">
        <x:v>45699</x:v>
      </x:c>
      <x:c r="C257" t="n">
        <x:v>1068</x:v>
      </x:c>
      <x:c r="D257" t="str">
        <x:v>Seller 1068</x:v>
      </x:c>
      <x:c r="E257" t="str">
        <x:v>Bronze</x:v>
      </x:c>
      <x:c r="F257" t="str">
        <x:v>South</x:v>
      </x:c>
      <x:c r="G257" t="str">
        <x:v>Pet Supplies</x:v>
      </x:c>
      <x:c r="H257" t="n">
        <x:v>2</x:v>
      </x:c>
      <x:c r="I257" s="26" t="n">
        <x:v>1845</x:v>
      </x:c>
      <x:c r="J257" s="26" t="n">
        <x:v>2470.8</x:v>
      </x:c>
      <x:c r="K257" s="28" t="n">
        <x:v>0.1396</x:v>
      </x:c>
      <x:c r="L257" s="26" t="n">
        <x:v>344.92</x:v>
      </x:c>
      <x:c r="M257" t="n">
        <x:v>0</x:v>
      </x:c>
      <x:c r="N257" s="26" t="n">
        <x:v>0</x:v>
      </x:c>
      <x:c r="O257" s="26" t="n">
        <x:v>45.71</x:v>
      </x:c>
      <x:c r="P257" s="26" t="n">
        <x:v>11.12</x:v>
      </x:c>
      <x:c r="Q257" s="26" t="n">
        <x:v>21</x:v>
      </x:c>
      <x:c r="R257" s="26" t="n">
        <x:v>25.94</x:v>
      </x:c>
      <x:c r="S257" s="26" t="n">
        <x:v>241.15</x:v>
      </x:c>
    </x:row>
    <x:row r="258">
      <x:c r="A258" t="n">
        <x:v>500255</x:v>
      </x:c>
      <x:c r="B258" s="24" t="n">
        <x:v>45715</x:v>
      </x:c>
      <x:c r="C258" t="n">
        <x:v>1052</x:v>
      </x:c>
      <x:c r="D258" t="str">
        <x:v>Seller 1052</x:v>
      </x:c>
      <x:c r="E258" t="str">
        <x:v>Silver</x:v>
      </x:c>
      <x:c r="F258" t="str">
        <x:v>Central</x:v>
      </x:c>
      <x:c r="G258" t="str">
        <x:v>Pet Supplies</x:v>
      </x:c>
      <x:c r="H258" t="n">
        <x:v>2</x:v>
      </x:c>
      <x:c r="I258" s="26" t="n">
        <x:v>1945.2</x:v>
      </x:c>
      <x:c r="J258" s="26" t="n">
        <x:v>3697.8</x:v>
      </x:c>
      <x:c r="K258" s="28" t="n">
        <x:v>0.1272</x:v>
      </x:c>
      <x:c r="L258" s="26" t="n">
        <x:v>470.36</x:v>
      </x:c>
      <x:c r="M258" t="n">
        <x:v>0</x:v>
      </x:c>
      <x:c r="N258" s="26" t="n">
        <x:v>0</x:v>
      </x:c>
      <x:c r="O258" s="26" t="n">
        <x:v>68.41</x:v>
      </x:c>
      <x:c r="P258" s="26" t="n">
        <x:v>16.64</x:v>
      </x:c>
      <x:c r="Q258" s="26" t="n">
        <x:v>31.43</x:v>
      </x:c>
      <x:c r="R258" s="26" t="n">
        <x:v>38.83</x:v>
      </x:c>
      <x:c r="S258" s="26" t="n">
        <x:v>315.05</x:v>
      </x:c>
    </x:row>
    <x:row r="259">
      <x:c r="A259" t="n">
        <x:v>500256</x:v>
      </x:c>
      <x:c r="B259" s="24" t="n">
        <x:v>45703</x:v>
      </x:c>
      <x:c r="C259" t="n">
        <x:v>1005</x:v>
      </x:c>
      <x:c r="D259" t="str">
        <x:v>Seller 1005</x:v>
      </x:c>
      <x:c r="E259" t="str">
        <x:v>Platinum</x:v>
      </x:c>
      <x:c r="F259" t="str">
        <x:v>East</x:v>
      </x:c>
      <x:c r="G259" t="str">
        <x:v>Electronics</x:v>
      </x:c>
      <x:c r="H259" t="n">
        <x:v>1</x:v>
      </x:c>
      <x:c r="I259" s="26" t="n">
        <x:v>9307.2</x:v>
      </x:c>
      <x:c r="J259" s="26" t="n">
        <x:v>15580.2</x:v>
      </x:c>
      <x:c r="K259" s="28" t="n">
        <x:v>0.1143</x:v>
      </x:c>
      <x:c r="L259" s="26" t="n">
        <x:v>1780.82</x:v>
      </x:c>
      <x:c r="M259" t="n">
        <x:v>0</x:v>
      </x:c>
      <x:c r="N259" s="26" t="n">
        <x:v>0</x:v>
      </x:c>
      <x:c r="O259" s="26" t="n">
        <x:v>288.23</x:v>
      </x:c>
      <x:c r="P259" s="26" t="n">
        <x:v>70.11</x:v>
      </x:c>
      <x:c r="Q259" s="26" t="n">
        <x:v>132.43</x:v>
      </x:c>
      <x:c r="R259" s="26" t="n">
        <x:v>163.59</x:v>
      </x:c>
      <x:c r="S259" s="26" t="n">
        <x:v>1126.45</x:v>
      </x:c>
    </x:row>
    <x:row r="260">
      <x:c r="A260" t="n">
        <x:v>500257</x:v>
      </x:c>
      <x:c r="B260" s="24" t="n">
        <x:v>45695</x:v>
      </x:c>
      <x:c r="C260" t="n">
        <x:v>1056</x:v>
      </x:c>
      <x:c r="D260" t="str">
        <x:v>Seller 1056</x:v>
      </x:c>
      <x:c r="E260" t="str">
        <x:v>Bronze</x:v>
      </x:c>
      <x:c r="F260" t="str">
        <x:v>West</x:v>
      </x:c>
      <x:c r="G260" t="str">
        <x:v>Apparel</x:v>
      </x:c>
      <x:c r="H260" t="n">
        <x:v>1</x:v>
      </x:c>
      <x:c r="I260" s="26" t="n">
        <x:v>4577.400000000001</x:v>
      </x:c>
      <x:c r="J260" s="26" t="n">
        <x:v>3064.8</x:v>
      </x:c>
      <x:c r="K260" s="28" t="n">
        <x:v>0.1314</x:v>
      </x:c>
      <x:c r="L260" s="26" t="n">
        <x:v>402.71</x:v>
      </x:c>
      <x:c r="M260" t="n">
        <x:v>0</x:v>
      </x:c>
      <x:c r="N260" s="26" t="n">
        <x:v>0</x:v>
      </x:c>
      <x:c r="O260" s="26" t="n">
        <x:v>56.7</x:v>
      </x:c>
      <x:c r="P260" s="26" t="n">
        <x:v>13.79</x:v>
      </x:c>
      <x:c r="Q260" s="26" t="n">
        <x:v>26.05</x:v>
      </x:c>
      <x:c r="R260" s="26" t="n">
        <x:v>32.18</x:v>
      </x:c>
      <x:c r="S260" s="26" t="n">
        <x:v>273.99</x:v>
      </x:c>
    </x:row>
    <x:row r="261">
      <x:c r="A261" t="n">
        <x:v>500258</x:v>
      </x:c>
      <x:c r="B261" s="24" t="n">
        <x:v>45705</x:v>
      </x:c>
      <x:c r="C261" t="n">
        <x:v>1028</x:v>
      </x:c>
      <x:c r="D261" t="str">
        <x:v>Seller 1028</x:v>
      </x:c>
      <x:c r="E261" t="str">
        <x:v>Gold</x:v>
      </x:c>
      <x:c r="F261" t="str">
        <x:v>Central</x:v>
      </x:c>
      <x:c r="G261" t="str">
        <x:v>Pet Supplies</x:v>
      </x:c>
      <x:c r="H261" t="n">
        <x:v>3</x:v>
      </x:c>
      <x:c r="I261" s="26" t="n">
        <x:v>856.1999999999999</x:v>
      </x:c>
      <x:c r="J261" s="26" t="n">
        <x:v>3189</x:v>
      </x:c>
      <x:c r="K261" s="28" t="n">
        <x:v>0.1211</x:v>
      </x:c>
      <x:c r="L261" s="26" t="n">
        <x:v>386.19</x:v>
      </x:c>
      <x:c r="M261" t="n">
        <x:v>0</x:v>
      </x:c>
      <x:c r="N261" s="26" t="n">
        <x:v>0</x:v>
      </x:c>
      <x:c r="O261" s="26" t="n">
        <x:v>59</x:v>
      </x:c>
      <x:c r="P261" s="26" t="n">
        <x:v>14.35</x:v>
      </x:c>
      <x:c r="Q261" s="26" t="n">
        <x:v>27.11</x:v>
      </x:c>
      <x:c r="R261" s="26" t="n">
        <x:v>33.48</x:v>
      </x:c>
      <x:c r="S261" s="26" t="n">
        <x:v>252.25</x:v>
      </x:c>
    </x:row>
    <x:row r="262">
      <x:c r="A262" t="n">
        <x:v>500259</x:v>
      </x:c>
      <x:c r="B262" s="24" t="n">
        <x:v>45714</x:v>
      </x:c>
      <x:c r="C262" t="n">
        <x:v>1073</x:v>
      </x:c>
      <x:c r="D262" t="str">
        <x:v>Seller 1073</x:v>
      </x:c>
      <x:c r="E262" t="str">
        <x:v>Bronze</x:v>
      </x:c>
      <x:c r="F262" t="str">
        <x:v>Central</x:v>
      </x:c>
      <x:c r="G262" t="str">
        <x:v>Electronics</x:v>
      </x:c>
      <x:c r="H262" t="n">
        <x:v>3</x:v>
      </x:c>
      <x:c r="I262" s="26" t="n">
        <x:v>4125</x:v>
      </x:c>
      <x:c r="J262" s="26" t="n">
        <x:v>8286.6</x:v>
      </x:c>
      <x:c r="K262" s="28" t="n">
        <x:v>0.1134</x:v>
      </x:c>
      <x:c r="L262" s="26" t="n">
        <x:v>939.7</x:v>
      </x:c>
      <x:c r="M262" t="n">
        <x:v>0</x:v>
      </x:c>
      <x:c r="N262" s="26" t="n">
        <x:v>0</x:v>
      </x:c>
      <x:c r="O262" s="26" t="n">
        <x:v>153.3</x:v>
      </x:c>
      <x:c r="P262" s="26" t="n">
        <x:v>37.29</x:v>
      </x:c>
      <x:c r="Q262" s="26" t="n">
        <x:v>70.44</x:v>
      </x:c>
      <x:c r="R262" s="26" t="n">
        <x:v>87.01</x:v>
      </x:c>
      <x:c r="S262" s="26" t="n">
        <x:v>591.66</x:v>
      </x:c>
    </x:row>
    <x:row r="263">
      <x:c r="A263" t="n">
        <x:v>500260</x:v>
      </x:c>
      <x:c r="B263" s="24" t="n">
        <x:v>45698</x:v>
      </x:c>
      <x:c r="C263" t="n">
        <x:v>1051</x:v>
      </x:c>
      <x:c r="D263" t="str">
        <x:v>Seller 1051</x:v>
      </x:c>
      <x:c r="E263" t="str">
        <x:v>Silver</x:v>
      </x:c>
      <x:c r="F263" t="str">
        <x:v>East</x:v>
      </x:c>
      <x:c r="G263" t="str">
        <x:v>Beauty</x:v>
      </x:c>
      <x:c r="H263" t="n">
        <x:v>2</x:v>
      </x:c>
      <x:c r="I263" s="26" t="n">
        <x:v>1453.8</x:v>
      </x:c>
      <x:c r="J263" s="26" t="n">
        <x:v>2763</x:v>
      </x:c>
      <x:c r="K263" s="28" t="n">
        <x:v>0.153</x:v>
      </x:c>
      <x:c r="L263" s="26" t="n">
        <x:v>422.74</x:v>
      </x:c>
      <x:c r="M263" t="n">
        <x:v>0</x:v>
      </x:c>
      <x:c r="N263" s="26" t="n">
        <x:v>0</x:v>
      </x:c>
      <x:c r="O263" s="26" t="n">
        <x:v>51.12</x:v>
      </x:c>
      <x:c r="P263" s="26" t="n">
        <x:v>12.43</x:v>
      </x:c>
      <x:c r="Q263" s="26" t="n">
        <x:v>23.49</x:v>
      </x:c>
      <x:c r="R263" s="26" t="n">
        <x:v>29.01</x:v>
      </x:c>
      <x:c r="S263" s="26" t="n">
        <x:v>306.69</x:v>
      </x:c>
    </x:row>
    <x:row r="264">
      <x:c r="A264" t="n">
        <x:v>500261</x:v>
      </x:c>
      <x:c r="B264" s="24" t="n">
        <x:v>45691</x:v>
      </x:c>
      <x:c r="C264" t="n">
        <x:v>1050</x:v>
      </x:c>
      <x:c r="D264" t="str">
        <x:v>Seller 1050</x:v>
      </x:c>
      <x:c r="E264" t="str">
        <x:v>Silver</x:v>
      </x:c>
      <x:c r="F264" t="str">
        <x:v>East</x:v>
      </x:c>
      <x:c r="G264" t="str">
        <x:v>Home &amp; Kitchen</x:v>
      </x:c>
      <x:c r="H264" t="n">
        <x:v>2</x:v>
      </x:c>
      <x:c r="I264" s="26" t="n">
        <x:v>1877.3999999999999</x:v>
      </x:c>
      <x:c r="J264" s="26" t="n">
        <x:v>3568.8</x:v>
      </x:c>
      <x:c r="K264" s="28" t="n">
        <x:v>0.1249</x:v>
      </x:c>
      <x:c r="L264" s="26" t="n">
        <x:v>445.74</x:v>
      </x:c>
      <x:c r="M264" t="n">
        <x:v>0</x:v>
      </x:c>
      <x:c r="N264" s="26" t="n">
        <x:v>0</x:v>
      </x:c>
      <x:c r="O264" s="26" t="n">
        <x:v>66.02</x:v>
      </x:c>
      <x:c r="P264" s="26" t="n">
        <x:v>16.06</x:v>
      </x:c>
      <x:c r="Q264" s="26" t="n">
        <x:v>30.33</x:v>
      </x:c>
      <x:c r="R264" s="26" t="n">
        <x:v>37.47</x:v>
      </x:c>
      <x:c r="S264" s="26" t="n">
        <x:v>295.85</x:v>
      </x:c>
    </x:row>
    <x:row r="265">
      <x:c r="A265" t="n">
        <x:v>500262</x:v>
      </x:c>
      <x:c r="B265" s="24" t="n">
        <x:v>45698</x:v>
      </x:c>
      <x:c r="C265" t="n">
        <x:v>1056</x:v>
      </x:c>
      <x:c r="D265" t="str">
        <x:v>Seller 1056</x:v>
      </x:c>
      <x:c r="E265" t="str">
        <x:v>Bronze</x:v>
      </x:c>
      <x:c r="F265" t="str">
        <x:v>West</x:v>
      </x:c>
      <x:c r="G265" t="str">
        <x:v>Apparel</x:v>
      </x:c>
      <x:c r="H265" t="n">
        <x:v>3</x:v>
      </x:c>
      <x:c r="I265" s="26" t="n">
        <x:v>1472.3999999999999</x:v>
      </x:c>
      <x:c r="J265" s="26" t="n">
        <x:v>2958</x:v>
      </x:c>
      <x:c r="K265" s="28" t="n">
        <x:v>0.1227</x:v>
      </x:c>
      <x:c r="L265" s="26" t="n">
        <x:v>362.95</x:v>
      </x:c>
      <x:c r="M265" t="n">
        <x:v>0</x:v>
      </x:c>
      <x:c r="N265" s="26" t="n">
        <x:v>0</x:v>
      </x:c>
      <x:c r="O265" s="26" t="n">
        <x:v>54.72</x:v>
      </x:c>
      <x:c r="P265" s="26" t="n">
        <x:v>13.31</x:v>
      </x:c>
      <x:c r="Q265" s="26" t="n">
        <x:v>25.14</x:v>
      </x:c>
      <x:c r="R265" s="26" t="n">
        <x:v>31.06</x:v>
      </x:c>
      <x:c r="S265" s="26" t="n">
        <x:v>238.71</x:v>
      </x:c>
    </x:row>
    <x:row r="266">
      <x:c r="A266" t="n">
        <x:v>500263</x:v>
      </x:c>
      <x:c r="B266" s="24" t="n">
        <x:v>45693</x:v>
      </x:c>
      <x:c r="C266" t="n">
        <x:v>1004</x:v>
      </x:c>
      <x:c r="D266" t="str">
        <x:v>Seller 1004</x:v>
      </x:c>
      <x:c r="E266" t="str">
        <x:v>Platinum</x:v>
      </x:c>
      <x:c r="F266" t="str">
        <x:v>East</x:v>
      </x:c>
      <x:c r="G266" t="str">
        <x:v>Sports</x:v>
      </x:c>
      <x:c r="H266" t="n">
        <x:v>2</x:v>
      </x:c>
      <x:c r="I266" s="26" t="n">
        <x:v>1889.3999999999999</x:v>
      </x:c>
      <x:c r="J266" s="26" t="n">
        <x:v>6326.4</x:v>
      </x:c>
      <x:c r="K266" s="28" t="n">
        <x:v>0.1215</x:v>
      </x:c>
      <x:c r="L266" s="26" t="n">
        <x:v>768.66</x:v>
      </x:c>
      <x:c r="M266" t="n">
        <x:v>0</x:v>
      </x:c>
      <x:c r="N266" s="26" t="n">
        <x:v>0</x:v>
      </x:c>
      <x:c r="O266" s="26" t="n">
        <x:v>117.04</x:v>
      </x:c>
      <x:c r="P266" s="26" t="n">
        <x:v>28.47</x:v>
      </x:c>
      <x:c r="Q266" s="26" t="n">
        <x:v>53.77</x:v>
      </x:c>
      <x:c r="R266" s="26" t="n">
        <x:v>66.43</x:v>
      </x:c>
      <x:c r="S266" s="26" t="n">
        <x:v>502.95</x:v>
      </x:c>
    </x:row>
    <x:row r="267">
      <x:c r="A267" t="n">
        <x:v>500264</x:v>
      </x:c>
      <x:c r="B267" s="24" t="n">
        <x:v>45710</x:v>
      </x:c>
      <x:c r="C267" t="n">
        <x:v>1075</x:v>
      </x:c>
      <x:c r="D267" t="str">
        <x:v>Seller 1075</x:v>
      </x:c>
      <x:c r="E267" t="str">
        <x:v>Bronze</x:v>
      </x:c>
      <x:c r="F267" t="str">
        <x:v>East</x:v>
      </x:c>
      <x:c r="G267" t="str">
        <x:v>Electronics</x:v>
      </x:c>
      <x:c r="H267" t="n">
        <x:v>3</x:v>
      </x:c>
      <x:c r="I267" s="26" t="n">
        <x:v>3395.4</x:v>
      </x:c>
      <x:c r="J267" s="26" t="n">
        <x:v>6820.8</x:v>
      </x:c>
      <x:c r="K267" s="28" t="n">
        <x:v>0.1322</x:v>
      </x:c>
      <x:c r="L267" s="26" t="n">
        <x:v>901.71</x:v>
      </x:c>
      <x:c r="M267" t="n">
        <x:v>1</x:v>
      </x:c>
      <x:c r="N267" s="26" t="n">
        <x:v>4224.6</x:v>
      </x:c>
      <x:c r="O267" s="26" t="n">
        <x:v>126.18</x:v>
      </x:c>
      <x:c r="P267" s="26" t="n">
        <x:v>30.69</x:v>
      </x:c>
      <x:c r="Q267" s="26" t="n">
        <x:v>57.98</x:v>
      </x:c>
      <x:c r="R267" s="26" t="n">
        <x:v>71.62</x:v>
      </x:c>
      <x:c r="S267" s="26" t="n">
        <x:v>530.74</x:v>
      </x:c>
    </x:row>
    <x:row r="268">
      <x:c r="A268" t="n">
        <x:v>500265</x:v>
      </x:c>
      <x:c r="B268" s="24" t="n">
        <x:v>45696</x:v>
      </x:c>
      <x:c r="C268" t="n">
        <x:v>1020</x:v>
      </x:c>
      <x:c r="D268" t="str">
        <x:v>Seller 1020</x:v>
      </x:c>
      <x:c r="E268" t="str">
        <x:v>Gold</x:v>
      </x:c>
      <x:c r="F268" t="str">
        <x:v>West</x:v>
      </x:c>
      <x:c r="G268" t="str">
        <x:v>Home &amp; Kitchen</x:v>
      </x:c>
      <x:c r="H268" t="n">
        <x:v>2</x:v>
      </x:c>
      <x:c r="I268" s="26" t="n">
        <x:v>2630.4</x:v>
      </x:c>
      <x:c r="J268" s="26" t="n">
        <x:v>6534.6</x:v>
      </x:c>
      <x:c r="K268" s="28" t="n">
        <x:v>0.1231</x:v>
      </x:c>
      <x:c r="L268" s="26" t="n">
        <x:v>804.41</x:v>
      </x:c>
      <x:c r="M268" t="n">
        <x:v>0</x:v>
      </x:c>
      <x:c r="N268" s="26" t="n">
        <x:v>0</x:v>
      </x:c>
      <x:c r="O268" s="26" t="n">
        <x:v>120.89</x:v>
      </x:c>
      <x:c r="P268" s="26" t="n">
        <x:v>29.41</x:v>
      </x:c>
      <x:c r="Q268" s="26" t="n">
        <x:v>55.54</x:v>
      </x:c>
      <x:c r="R268" s="26" t="n">
        <x:v>68.61</x:v>
      </x:c>
      <x:c r="S268" s="26" t="n">
        <x:v>529.96</x:v>
      </x:c>
    </x:row>
    <x:row r="269">
      <x:c r="A269" t="n">
        <x:v>500266</x:v>
      </x:c>
      <x:c r="B269" s="24" t="n">
        <x:v>45690</x:v>
      </x:c>
      <x:c r="C269" t="n">
        <x:v>1014</x:v>
      </x:c>
      <x:c r="D269" t="str">
        <x:v>Seller 1014</x:v>
      </x:c>
      <x:c r="E269" t="str">
        <x:v>Gold</x:v>
      </x:c>
      <x:c r="F269" t="str">
        <x:v>East</x:v>
      </x:c>
      <x:c r="G269" t="str">
        <x:v>Apparel</x:v>
      </x:c>
      <x:c r="H269" t="n">
        <x:v>2</x:v>
      </x:c>
      <x:c r="I269" s="26" t="n">
        <x:v>2229.6</x:v>
      </x:c>
      <x:c r="J269" s="26" t="n">
        <x:v>5538.6</x:v>
      </x:c>
      <x:c r="K269" s="28" t="n">
        <x:v>0.1213</x:v>
      </x:c>
      <x:c r="L269" s="26" t="n">
        <x:v>671.83</x:v>
      </x:c>
      <x:c r="M269" t="n">
        <x:v>1</x:v>
      </x:c>
      <x:c r="N269" s="26" t="n">
        <x:v>3928.2</x:v>
      </x:c>
      <x:c r="O269" s="26" t="n">
        <x:v>102.46</x:v>
      </x:c>
      <x:c r="P269" s="26" t="n">
        <x:v>24.92</x:v>
      </x:c>
      <x:c r="Q269" s="26" t="n">
        <x:v>47.08</x:v>
      </x:c>
      <x:c r="R269" s="26" t="n">
        <x:v>58.16</x:v>
      </x:c>
      <x:c r="S269" s="26" t="n">
        <x:v>360.65</x:v>
      </x:c>
    </x:row>
    <x:row r="270">
      <x:c r="A270" t="n">
        <x:v>500267</x:v>
      </x:c>
      <x:c r="B270" s="24" t="n">
        <x:v>45705</x:v>
      </x:c>
      <x:c r="C270" t="n">
        <x:v>1077</x:v>
      </x:c>
      <x:c r="D270" t="str">
        <x:v>Seller 1077</x:v>
      </x:c>
      <x:c r="E270" t="str">
        <x:v>Bronze</x:v>
      </x:c>
      <x:c r="F270" t="str">
        <x:v>South</x:v>
      </x:c>
      <x:c r="G270" t="str">
        <x:v>Home &amp; Kitchen</x:v>
      </x:c>
      <x:c r="H270" t="n">
        <x:v>2</x:v>
      </x:c>
      <x:c r="I270" s="26" t="n">
        <x:v>2806.8</x:v>
      </x:c>
      <x:c r="J270" s="26" t="n">
        <x:v>3758.4</x:v>
      </x:c>
      <x:c r="K270" s="28" t="n">
        <x:v>0.13</x:v>
      </x:c>
      <x:c r="L270" s="26" t="n">
        <x:v>488.59</x:v>
      </x:c>
      <x:c r="M270" t="n">
        <x:v>0</x:v>
      </x:c>
      <x:c r="N270" s="26" t="n">
        <x:v>0</x:v>
      </x:c>
      <x:c r="O270" s="26" t="n">
        <x:v>69.53</x:v>
      </x:c>
      <x:c r="P270" s="26" t="n">
        <x:v>16.91</x:v>
      </x:c>
      <x:c r="Q270" s="26" t="n">
        <x:v>31.95</x:v>
      </x:c>
      <x:c r="R270" s="26" t="n">
        <x:v>39.46</x:v>
      </x:c>
      <x:c r="S270" s="26" t="n">
        <x:v>330.74</x:v>
      </x:c>
    </x:row>
    <x:row r="271">
      <x:c r="A271" t="n">
        <x:v>500268</x:v>
      </x:c>
      <x:c r="B271" s="24" t="n">
        <x:v>45690</x:v>
      </x:c>
      <x:c r="C271" t="n">
        <x:v>1032</x:v>
      </x:c>
      <x:c r="D271" t="str">
        <x:v>Seller 1032</x:v>
      </x:c>
      <x:c r="E271" t="str">
        <x:v>Silver</x:v>
      </x:c>
      <x:c r="F271" t="str">
        <x:v>West</x:v>
      </x:c>
      <x:c r="G271" t="str">
        <x:v>Pet Supplies</x:v>
      </x:c>
      <x:c r="H271" t="n">
        <x:v>3</x:v>
      </x:c>
      <x:c r="I271" s="26" t="n">
        <x:v>1254</x:v>
      </x:c>
      <x:c r="J271" s="26" t="n">
        <x:v>3574.8</x:v>
      </x:c>
      <x:c r="K271" s="28" t="n">
        <x:v>0.1233</x:v>
      </x:c>
      <x:c r="L271" s="26" t="n">
        <x:v>440.77</x:v>
      </x:c>
      <x:c r="M271" t="n">
        <x:v>0</x:v>
      </x:c>
      <x:c r="N271" s="26" t="n">
        <x:v>0</x:v>
      </x:c>
      <x:c r="O271" s="26" t="n">
        <x:v>66.13</x:v>
      </x:c>
      <x:c r="P271" s="26" t="n">
        <x:v>16.09</x:v>
      </x:c>
      <x:c r="Q271" s="26" t="n">
        <x:v>30.39</x:v>
      </x:c>
      <x:c r="R271" s="26" t="n">
        <x:v>37.54</x:v>
      </x:c>
      <x:c r="S271" s="26" t="n">
        <x:v>290.63</x:v>
      </x:c>
    </x:row>
    <x:row r="272">
      <x:c r="A272" t="n">
        <x:v>500269</x:v>
      </x:c>
      <x:c r="B272" s="24" t="n">
        <x:v>45708</x:v>
      </x:c>
      <x:c r="C272" t="n">
        <x:v>1022</x:v>
      </x:c>
      <x:c r="D272" t="str">
        <x:v>Seller 1022</x:v>
      </x:c>
      <x:c r="E272" t="str">
        <x:v>Gold</x:v>
      </x:c>
      <x:c r="F272" t="str">
        <x:v>East</x:v>
      </x:c>
      <x:c r="G272" t="str">
        <x:v>Sports</x:v>
      </x:c>
      <x:c r="H272" t="n">
        <x:v>1</x:v>
      </x:c>
      <x:c r="I272" s="26" t="n">
        <x:v>4759.8</x:v>
      </x:c>
      <x:c r="J272" s="26" t="n">
        <x:v>5911.2</x:v>
      </x:c>
      <x:c r="K272" s="28" t="n">
        <x:v>0.1178</x:v>
      </x:c>
      <x:c r="L272" s="26" t="n">
        <x:v>696.34</x:v>
      </x:c>
      <x:c r="M272" t="n">
        <x:v>0</x:v>
      </x:c>
      <x:c r="N272" s="26" t="n">
        <x:v>0</x:v>
      </x:c>
      <x:c r="O272" s="26" t="n">
        <x:v>109.36</x:v>
      </x:c>
      <x:c r="P272" s="26" t="n">
        <x:v>26.6</x:v>
      </x:c>
      <x:c r="Q272" s="26" t="n">
        <x:v>50.25</x:v>
      </x:c>
      <x:c r="R272" s="26" t="n">
        <x:v>62.07</x:v>
      </x:c>
      <x:c r="S272" s="26" t="n">
        <x:v>448.07</x:v>
      </x:c>
    </x:row>
    <x:row r="273">
      <x:c r="A273" t="n">
        <x:v>500270</x:v>
      </x:c>
      <x:c r="B273" s="24" t="n">
        <x:v>45707</x:v>
      </x:c>
      <x:c r="C273" t="n">
        <x:v>1064</x:v>
      </x:c>
      <x:c r="D273" t="str">
        <x:v>Seller 1064</x:v>
      </x:c>
      <x:c r="E273" t="str">
        <x:v>Bronze</x:v>
      </x:c>
      <x:c r="F273" t="str">
        <x:v>Central</x:v>
      </x:c>
      <x:c r="G273" t="str">
        <x:v>Pet Supplies</x:v>
      </x:c>
      <x:c r="H273" t="n">
        <x:v>2</x:v>
      </x:c>
      <x:c r="I273" s="26" t="n">
        <x:v>1671.6</x:v>
      </x:c>
      <x:c r="J273" s="26" t="n">
        <x:v>2238.6</x:v>
      </x:c>
      <x:c r="K273" s="28" t="n">
        <x:v>0.1273</x:v>
      </x:c>
      <x:c r="L273" s="26" t="n">
        <x:v>284.97</x:v>
      </x:c>
      <x:c r="M273" t="n">
        <x:v>0</x:v>
      </x:c>
      <x:c r="N273" s="26" t="n">
        <x:v>0</x:v>
      </x:c>
      <x:c r="O273" s="26" t="n">
        <x:v>41.41</x:v>
      </x:c>
      <x:c r="P273" s="26" t="n">
        <x:v>10.07</x:v>
      </x:c>
      <x:c r="Q273" s="26" t="n">
        <x:v>19.03</x:v>
      </x:c>
      <x:c r="R273" s="26" t="n">
        <x:v>23.51</x:v>
      </x:c>
      <x:c r="S273" s="26" t="n">
        <x:v>190.95</x:v>
      </x:c>
    </x:row>
    <x:row r="274">
      <x:c r="A274" t="n">
        <x:v>500271</x:v>
      </x:c>
      <x:c r="B274" s="24" t="n">
        <x:v>45697</x:v>
      </x:c>
      <x:c r="C274" t="n">
        <x:v>1049</x:v>
      </x:c>
      <x:c r="D274" t="str">
        <x:v>Seller 1049</x:v>
      </x:c>
      <x:c r="E274" t="str">
        <x:v>Silver</x:v>
      </x:c>
      <x:c r="F274" t="str">
        <x:v>West</x:v>
      </x:c>
      <x:c r="G274" t="str">
        <x:v>Beauty</x:v>
      </x:c>
      <x:c r="H274" t="n">
        <x:v>1</x:v>
      </x:c>
      <x:c r="I274" s="26" t="n">
        <x:v>2722.2</x:v>
      </x:c>
      <x:c r="J274" s="26" t="n">
        <x:v>2587.2</x:v>
      </x:c>
      <x:c r="K274" s="28" t="n">
        <x:v>0.1528</x:v>
      </x:c>
      <x:c r="L274" s="26" t="n">
        <x:v>395.32</x:v>
      </x:c>
      <x:c r="M274" t="n">
        <x:v>0</x:v>
      </x:c>
      <x:c r="N274" s="26" t="n">
        <x:v>0</x:v>
      </x:c>
      <x:c r="O274" s="26" t="n">
        <x:v>47.86</x:v>
      </x:c>
      <x:c r="P274" s="26" t="n">
        <x:v>11.64</x:v>
      </x:c>
      <x:c r="Q274" s="26" t="n">
        <x:v>21.99</x:v>
      </x:c>
      <x:c r="R274" s="26" t="n">
        <x:v>27.17</x:v>
      </x:c>
      <x:c r="S274" s="26" t="n">
        <x:v>286.66</x:v>
      </x:c>
    </x:row>
    <x:row r="275">
      <x:c r="A275" t="n">
        <x:v>500272</x:v>
      </x:c>
      <x:c r="B275" s="24" t="n">
        <x:v>45711</x:v>
      </x:c>
      <x:c r="C275" t="n">
        <x:v>1042</x:v>
      </x:c>
      <x:c r="D275" t="str">
        <x:v>Seller 1042</x:v>
      </x:c>
      <x:c r="E275" t="str">
        <x:v>Silver</x:v>
      </x:c>
      <x:c r="F275" t="str">
        <x:v>East</x:v>
      </x:c>
      <x:c r="G275" t="str">
        <x:v>Pet Supplies</x:v>
      </x:c>
      <x:c r="H275" t="n">
        <x:v>2</x:v>
      </x:c>
      <x:c r="I275" s="26" t="n">
        <x:v>1291.8000000000002</x:v>
      </x:c>
      <x:c r="J275" s="26" t="n">
        <x:v>2455.2</x:v>
      </x:c>
      <x:c r="K275" s="28" t="n">
        <x:v>0.1243</x:v>
      </x:c>
      <x:c r="L275" s="26" t="n">
        <x:v>305.18</x:v>
      </x:c>
      <x:c r="M275" t="n">
        <x:v>0</x:v>
      </x:c>
      <x:c r="N275" s="26" t="n">
        <x:v>0</x:v>
      </x:c>
      <x:c r="O275" s="26" t="n">
        <x:v>45.42</x:v>
      </x:c>
      <x:c r="P275" s="26" t="n">
        <x:v>11.05</x:v>
      </x:c>
      <x:c r="Q275" s="26" t="n">
        <x:v>20.87</x:v>
      </x:c>
      <x:c r="R275" s="26" t="n">
        <x:v>25.78</x:v>
      </x:c>
      <x:c r="S275" s="26" t="n">
        <x:v>202.06</x:v>
      </x:c>
    </x:row>
    <x:row r="276">
      <x:c r="A276" t="n">
        <x:v>500273</x:v>
      </x:c>
      <x:c r="B276" s="24" t="n">
        <x:v>45694</x:v>
      </x:c>
      <x:c r="C276" t="n">
        <x:v>1063</x:v>
      </x:c>
      <x:c r="D276" t="str">
        <x:v>Seller 1063</x:v>
      </x:c>
      <x:c r="E276" t="str">
        <x:v>Bronze</x:v>
      </x:c>
      <x:c r="F276" t="str">
        <x:v>West</x:v>
      </x:c>
      <x:c r="G276" t="str">
        <x:v>Home &amp; Kitchen</x:v>
      </x:c>
      <x:c r="H276" t="n">
        <x:v>2</x:v>
      </x:c>
      <x:c r="I276" s="26" t="n">
        <x:v>2743.7999999999997</x:v>
      </x:c>
      <x:c r="J276" s="26" t="n">
        <x:v>3674.4</x:v>
      </x:c>
      <x:c r="K276" s="28" t="n">
        <x:v>0.1419</x:v>
      </x:c>
      <x:c r="L276" s="26" t="n">
        <x:v>521.4</x:v>
      </x:c>
      <x:c r="M276" t="n">
        <x:v>0</x:v>
      </x:c>
      <x:c r="N276" s="26" t="n">
        <x:v>0</x:v>
      </x:c>
      <x:c r="O276" s="26" t="n">
        <x:v>67.98</x:v>
      </x:c>
      <x:c r="P276" s="26" t="n">
        <x:v>16.53</x:v>
      </x:c>
      <x:c r="Q276" s="26" t="n">
        <x:v>31.23</x:v>
      </x:c>
      <x:c r="R276" s="26" t="n">
        <x:v>38.58</x:v>
      </x:c>
      <x:c r="S276" s="26" t="n">
        <x:v>367.07</x:v>
      </x:c>
    </x:row>
    <x:row r="277">
      <x:c r="A277" t="n">
        <x:v>500274</x:v>
      </x:c>
      <x:c r="B277" s="24" t="n">
        <x:v>45702</x:v>
      </x:c>
      <x:c r="C277" t="n">
        <x:v>1076</x:v>
      </x:c>
      <x:c r="D277" t="str">
        <x:v>Seller 1076</x:v>
      </x:c>
      <x:c r="E277" t="str">
        <x:v>Bronze</x:v>
      </x:c>
      <x:c r="F277" t="str">
        <x:v>Central</x:v>
      </x:c>
      <x:c r="G277" t="str">
        <x:v>Home &amp; Kitchen</x:v>
      </x:c>
      <x:c r="H277" t="n">
        <x:v>2</x:v>
      </x:c>
      <x:c r="I277" s="26" t="n">
        <x:v>2007.6000000000001</x:v>
      </x:c>
      <x:c r="J277" s="26" t="n">
        <x:v>2688.6</x:v>
      </x:c>
      <x:c r="K277" s="28" t="n">
        <x:v>0.1459</x:v>
      </x:c>
      <x:c r="L277" s="26" t="n">
        <x:v>392.27</x:v>
      </x:c>
      <x:c r="M277" t="n">
        <x:v>0</x:v>
      </x:c>
      <x:c r="N277" s="26" t="n">
        <x:v>0</x:v>
      </x:c>
      <x:c r="O277" s="26" t="n">
        <x:v>49.74</x:v>
      </x:c>
      <x:c r="P277" s="26" t="n">
        <x:v>12.1</x:v>
      </x:c>
      <x:c r="Q277" s="26" t="n">
        <x:v>22.85</x:v>
      </x:c>
      <x:c r="R277" s="26" t="n">
        <x:v>28.23</x:v>
      </x:c>
      <x:c r="S277" s="26" t="n">
        <x:v>279.35</x:v>
      </x:c>
    </x:row>
    <x:row r="278">
      <x:c r="A278" t="n">
        <x:v>500275</x:v>
      </x:c>
      <x:c r="B278" s="24" t="n">
        <x:v>45695</x:v>
      </x:c>
      <x:c r="C278" t="n">
        <x:v>1038</x:v>
      </x:c>
      <x:c r="D278" t="str">
        <x:v>Seller 1038</x:v>
      </x:c>
      <x:c r="E278" t="str">
        <x:v>Silver</x:v>
      </x:c>
      <x:c r="F278" t="str">
        <x:v>South</x:v>
      </x:c>
      <x:c r="G278" t="str">
        <x:v>Electronics</x:v>
      </x:c>
      <x:c r="H278" t="n">
        <x:v>3</x:v>
      </x:c>
      <x:c r="I278" s="26" t="n">
        <x:v>1774.2</x:v>
      </x:c>
      <x:c r="J278" s="26" t="n">
        <x:v>5058.6</x:v>
      </x:c>
      <x:c r="K278" s="28" t="n">
        <x:v>0.1228</x:v>
      </x:c>
      <x:c r="L278" s="26" t="n">
        <x:v>621.2</x:v>
      </x:c>
      <x:c r="M278" t="n">
        <x:v>0</x:v>
      </x:c>
      <x:c r="N278" s="26" t="n">
        <x:v>0</x:v>
      </x:c>
      <x:c r="O278" s="26" t="n">
        <x:v>93.58</x:v>
      </x:c>
      <x:c r="P278" s="26" t="n">
        <x:v>22.76</x:v>
      </x:c>
      <x:c r="Q278" s="26" t="n">
        <x:v>43</x:v>
      </x:c>
      <x:c r="R278" s="26" t="n">
        <x:v>53.12</x:v>
      </x:c>
      <x:c r="S278" s="26" t="n">
        <x:v>408.73</x:v>
      </x:c>
    </x:row>
    <x:row r="279">
      <x:c r="A279" t="n">
        <x:v>500276</x:v>
      </x:c>
      <x:c r="B279" s="24" t="n">
        <x:v>45700</x:v>
      </x:c>
      <x:c r="C279" t="n">
        <x:v>1033</x:v>
      </x:c>
      <x:c r="D279" t="str">
        <x:v>Seller 1033</x:v>
      </x:c>
      <x:c r="E279" t="str">
        <x:v>Silver</x:v>
      </x:c>
      <x:c r="F279" t="str">
        <x:v>South</x:v>
      </x:c>
      <x:c r="G279" t="str">
        <x:v>Beauty</x:v>
      </x:c>
      <x:c r="H279" t="n">
        <x:v>2</x:v>
      </x:c>
      <x:c r="I279" s="26" t="n">
        <x:v>956.4</x:v>
      </x:c>
      <x:c r="J279" s="26" t="n">
        <x:v>1817.4</x:v>
      </x:c>
      <x:c r="K279" s="28" t="n">
        <x:v>0.1348</x:v>
      </x:c>
      <x:c r="L279" s="26" t="n">
        <x:v>244.99</x:v>
      </x:c>
      <x:c r="M279" t="n">
        <x:v>0</x:v>
      </x:c>
      <x:c r="N279" s="26" t="n">
        <x:v>0</x:v>
      </x:c>
      <x:c r="O279" s="26" t="n">
        <x:v>33.62</x:v>
      </x:c>
      <x:c r="P279" s="26" t="n">
        <x:v>8.18</x:v>
      </x:c>
      <x:c r="Q279" s="26" t="n">
        <x:v>15.45</x:v>
      </x:c>
      <x:c r="R279" s="26" t="n">
        <x:v>19.08</x:v>
      </x:c>
      <x:c r="S279" s="26" t="n">
        <x:v>168.65</x:v>
      </x:c>
    </x:row>
    <x:row r="280">
      <x:c r="A280" t="n">
        <x:v>500277</x:v>
      </x:c>
      <x:c r="B280" s="24" t="n">
        <x:v>45713</x:v>
      </x:c>
      <x:c r="C280" t="n">
        <x:v>1069</x:v>
      </x:c>
      <x:c r="D280" t="str">
        <x:v>Seller 1069</x:v>
      </x:c>
      <x:c r="E280" t="str">
        <x:v>Bronze</x:v>
      </x:c>
      <x:c r="F280" t="str">
        <x:v>East</x:v>
      </x:c>
      <x:c r="G280" t="str">
        <x:v>Electronics</x:v>
      </x:c>
      <x:c r="H280" t="n">
        <x:v>3</x:v>
      </x:c>
      <x:c r="I280" s="26" t="n">
        <x:v>2388</x:v>
      </x:c>
      <x:c r="J280" s="26" t="n">
        <x:v>4797</x:v>
      </x:c>
      <x:c r="K280" s="28" t="n">
        <x:v>0.126</x:v>
      </x:c>
      <x:c r="L280" s="26" t="n">
        <x:v>604.42</x:v>
      </x:c>
      <x:c r="M280" t="n">
        <x:v>0</x:v>
      </x:c>
      <x:c r="N280" s="26" t="n">
        <x:v>0</x:v>
      </x:c>
      <x:c r="O280" s="26" t="n">
        <x:v>88.74</x:v>
      </x:c>
      <x:c r="P280" s="26" t="n">
        <x:v>21.59</x:v>
      </x:c>
      <x:c r="Q280" s="26" t="n">
        <x:v>40.77</x:v>
      </x:c>
      <x:c r="R280" s="26" t="n">
        <x:v>50.37</x:v>
      </x:c>
      <x:c r="S280" s="26" t="n">
        <x:v>402.95</x:v>
      </x:c>
    </x:row>
    <x:row r="281">
      <x:c r="A281" t="n">
        <x:v>500278</x:v>
      </x:c>
      <x:c r="B281" s="24" t="n">
        <x:v>45707</x:v>
      </x:c>
      <x:c r="C281" t="n">
        <x:v>1069</x:v>
      </x:c>
      <x:c r="D281" t="str">
        <x:v>Seller 1069</x:v>
      </x:c>
      <x:c r="E281" t="str">
        <x:v>Bronze</x:v>
      </x:c>
      <x:c r="F281" t="str">
        <x:v>East</x:v>
      </x:c>
      <x:c r="G281" t="str">
        <x:v>Electronics</x:v>
      </x:c>
      <x:c r="H281" t="n">
        <x:v>2</x:v>
      </x:c>
      <x:c r="I281" s="26" t="n">
        <x:v>4178.4</x:v>
      </x:c>
      <x:c r="J281" s="26" t="n">
        <x:v>5595.6</x:v>
      </x:c>
      <x:c r="K281" s="28" t="n">
        <x:v>0.119</x:v>
      </x:c>
      <x:c r="L281" s="26" t="n">
        <x:v>665.88</x:v>
      </x:c>
      <x:c r="M281" t="n">
        <x:v>0</x:v>
      </x:c>
      <x:c r="N281" s="26" t="n">
        <x:v>0</x:v>
      </x:c>
      <x:c r="O281" s="26" t="n">
        <x:v>103.52</x:v>
      </x:c>
      <x:c r="P281" s="26" t="n">
        <x:v>25.18</x:v>
      </x:c>
      <x:c r="Q281" s="26" t="n">
        <x:v>47.56</x:v>
      </x:c>
      <x:c r="R281" s="26" t="n">
        <x:v>58.75</x:v>
      </x:c>
      <x:c r="S281" s="26" t="n">
        <x:v>430.86</x:v>
      </x:c>
    </x:row>
    <x:row r="282">
      <x:c r="A282" t="n">
        <x:v>500279</x:v>
      </x:c>
      <x:c r="B282" s="24" t="n">
        <x:v>45691</x:v>
      </x:c>
      <x:c r="C282" t="n">
        <x:v>1006</x:v>
      </x:c>
      <x:c r="D282" t="str">
        <x:v>Seller 1006</x:v>
      </x:c>
      <x:c r="E282" t="str">
        <x:v>Platinum</x:v>
      </x:c>
      <x:c r="F282" t="str">
        <x:v>East</x:v>
      </x:c>
      <x:c r="G282" t="str">
        <x:v>Sports</x:v>
      </x:c>
      <x:c r="H282" t="n">
        <x:v>1</x:v>
      </x:c>
      <x:c r="I282" s="26" t="n">
        <x:v>4144.2</x:v>
      </x:c>
      <x:c r="J282" s="26" t="n">
        <x:v>6937.2</x:v>
      </x:c>
      <x:c r="K282" s="28" t="n">
        <x:v>0.1392</x:v>
      </x:c>
      <x:c r="L282" s="26" t="n">
        <x:v>965.66</x:v>
      </x:c>
      <x:c r="M282" t="n">
        <x:v>0</x:v>
      </x:c>
      <x:c r="N282" s="26" t="n">
        <x:v>0</x:v>
      </x:c>
      <x:c r="O282" s="26" t="n">
        <x:v>128.34</x:v>
      </x:c>
      <x:c r="P282" s="26" t="n">
        <x:v>31.22</x:v>
      </x:c>
      <x:c r="Q282" s="26" t="n">
        <x:v>58.97</x:v>
      </x:c>
      <x:c r="R282" s="26" t="n">
        <x:v>72.84</x:v>
      </x:c>
      <x:c r="S282" s="26" t="n">
        <x:v>674.3</x:v>
      </x:c>
    </x:row>
    <x:row r="283">
      <x:c r="A283" t="n">
        <x:v>500280</x:v>
      </x:c>
      <x:c r="B283" s="24" t="n">
        <x:v>45699</x:v>
      </x:c>
      <x:c r="C283" t="n">
        <x:v>1002</x:v>
      </x:c>
      <x:c r="D283" t="str">
        <x:v>Seller 1002</x:v>
      </x:c>
      <x:c r="E283" t="str">
        <x:v>Platinum</x:v>
      </x:c>
      <x:c r="F283" t="str">
        <x:v>Central</x:v>
      </x:c>
      <x:c r="G283" t="str">
        <x:v>Home &amp; Kitchen</x:v>
      </x:c>
      <x:c r="H283" t="n">
        <x:v>2</x:v>
      </x:c>
      <x:c r="I283" s="26" t="n">
        <x:v>3102.6</x:v>
      </x:c>
      <x:c r="J283" s="26" t="n">
        <x:v>10386.6</x:v>
      </x:c>
      <x:c r="K283" s="28" t="n">
        <x:v>0.1364</x:v>
      </x:c>
      <x:c r="L283" s="26" t="n">
        <x:v>1416.73</x:v>
      </x:c>
      <x:c r="M283" t="n">
        <x:v>0</x:v>
      </x:c>
      <x:c r="N283" s="26" t="n">
        <x:v>0</x:v>
      </x:c>
      <x:c r="O283" s="26" t="n">
        <x:v>192.15</x:v>
      </x:c>
      <x:c r="P283" s="26" t="n">
        <x:v>46.74</x:v>
      </x:c>
      <x:c r="Q283" s="26" t="n">
        <x:v>88.29</x:v>
      </x:c>
      <x:c r="R283" s="26" t="n">
        <x:v>109.06</x:v>
      </x:c>
      <x:c r="S283" s="26" t="n">
        <x:v>980.5</x:v>
      </x:c>
    </x:row>
    <x:row r="284">
      <x:c r="A284" t="n">
        <x:v>500281</x:v>
      </x:c>
      <x:c r="B284" s="24" t="n">
        <x:v>45697</x:v>
      </x:c>
      <x:c r="C284" t="n">
        <x:v>1051</x:v>
      </x:c>
      <x:c r="D284" t="str">
        <x:v>Seller 1051</x:v>
      </x:c>
      <x:c r="E284" t="str">
        <x:v>Silver</x:v>
      </x:c>
      <x:c r="F284" t="str">
        <x:v>East</x:v>
      </x:c>
      <x:c r="G284" t="str">
        <x:v>Sports</x:v>
      </x:c>
      <x:c r="H284" t="n">
        <x:v>2</x:v>
      </x:c>
      <x:c r="I284" s="26" t="n">
        <x:v>1775.4</x:v>
      </x:c>
      <x:c r="J284" s="26" t="n">
        <x:v>3374.4</x:v>
      </x:c>
      <x:c r="K284" s="28" t="n">
        <x:v>0.1196</x:v>
      </x:c>
      <x:c r="L284" s="26" t="n">
        <x:v>403.58</x:v>
      </x:c>
      <x:c r="M284" t="n">
        <x:v>0</x:v>
      </x:c>
      <x:c r="N284" s="26" t="n">
        <x:v>0</x:v>
      </x:c>
      <x:c r="O284" s="26" t="n">
        <x:v>62.43</x:v>
      </x:c>
      <x:c r="P284" s="26" t="n">
        <x:v>15.18</x:v>
      </x:c>
      <x:c r="Q284" s="26" t="n">
        <x:v>28.68</x:v>
      </x:c>
      <x:c r="R284" s="26" t="n">
        <x:v>35.43</x:v>
      </x:c>
      <x:c r="S284" s="26" t="n">
        <x:v>261.85</x:v>
      </x:c>
    </x:row>
    <x:row r="285">
      <x:c r="A285" t="n">
        <x:v>500282</x:v>
      </x:c>
      <x:c r="B285" s="24" t="n">
        <x:v>45694</x:v>
      </x:c>
      <x:c r="C285" t="n">
        <x:v>1054</x:v>
      </x:c>
      <x:c r="D285" t="str">
        <x:v>Seller 1054</x:v>
      </x:c>
      <x:c r="E285" t="str">
        <x:v>Silver</x:v>
      </x:c>
      <x:c r="F285" t="str">
        <x:v>South</x:v>
      </x:c>
      <x:c r="G285" t="str">
        <x:v>Electronics</x:v>
      </x:c>
      <x:c r="H285" t="n">
        <x:v>4</x:v>
      </x:c>
      <x:c r="I285" s="26" t="n">
        <x:v>3277.2</x:v>
      </x:c>
      <x:c r="J285" s="26" t="n">
        <x:v>12458.4</x:v>
      </x:c>
      <x:c r="K285" s="28" t="n">
        <x:v>0.1164</x:v>
      </x:c>
      <x:c r="L285" s="26" t="n">
        <x:v>1450.16</x:v>
      </x:c>
      <x:c r="M285" t="n">
        <x:v>0</x:v>
      </x:c>
      <x:c r="N285" s="26" t="n">
        <x:v>0</x:v>
      </x:c>
      <x:c r="O285" s="26" t="n">
        <x:v>230.48</x:v>
      </x:c>
      <x:c r="P285" s="26" t="n">
        <x:v>56.06</x:v>
      </x:c>
      <x:c r="Q285" s="26" t="n">
        <x:v>105.9</x:v>
      </x:c>
      <x:c r="R285" s="26" t="n">
        <x:v>130.81</x:v>
      </x:c>
      <x:c r="S285" s="26" t="n">
        <x:v>926.9</x:v>
      </x:c>
    </x:row>
    <x:row r="286">
      <x:c r="A286" t="n">
        <x:v>500283</x:v>
      </x:c>
      <x:c r="B286" s="24" t="n">
        <x:v>45713</x:v>
      </x:c>
      <x:c r="C286" t="n">
        <x:v>1067</x:v>
      </x:c>
      <x:c r="D286" t="str">
        <x:v>Seller 1067</x:v>
      </x:c>
      <x:c r="E286" t="str">
        <x:v>Bronze</x:v>
      </x:c>
      <x:c r="F286" t="str">
        <x:v>South</x:v>
      </x:c>
      <x:c r="G286" t="str">
        <x:v>Beauty</x:v>
      </x:c>
      <x:c r="H286" t="n">
        <x:v>1</x:v>
      </x:c>
      <x:c r="I286" s="26" t="n">
        <x:v>2673.6000000000004</x:v>
      </x:c>
      <x:c r="J286" s="26" t="n">
        <x:v>1790.4</x:v>
      </x:c>
      <x:c r="K286" s="28" t="n">
        <x:v>0.1497</x:v>
      </x:c>
      <x:c r="L286" s="26" t="n">
        <x:v>268.02</x:v>
      </x:c>
      <x:c r="M286" t="n">
        <x:v>0</x:v>
      </x:c>
      <x:c r="N286" s="26" t="n">
        <x:v>0</x:v>
      </x:c>
      <x:c r="O286" s="26" t="n">
        <x:v>33.12</x:v>
      </x:c>
      <x:c r="P286" s="26" t="n">
        <x:v>8.06</x:v>
      </x:c>
      <x:c r="Q286" s="26" t="n">
        <x:v>15.22</x:v>
      </x:c>
      <x:c r="R286" s="26" t="n">
        <x:v>18.8</x:v>
      </x:c>
      <x:c r="S286" s="26" t="n">
        <x:v>192.83</x:v>
      </x:c>
    </x:row>
    <x:row r="287">
      <x:c r="A287" t="n">
        <x:v>500284</x:v>
      </x:c>
      <x:c r="B287" s="24" t="n">
        <x:v>45704</x:v>
      </x:c>
      <x:c r="C287" t="n">
        <x:v>1015</x:v>
      </x:c>
      <x:c r="D287" t="str">
        <x:v>Seller 1015</x:v>
      </x:c>
      <x:c r="E287" t="str">
        <x:v>Gold</x:v>
      </x:c>
      <x:c r="F287" t="str">
        <x:v>West</x:v>
      </x:c>
      <x:c r="G287" t="str">
        <x:v>Pet Supplies</x:v>
      </x:c>
      <x:c r="H287" t="n">
        <x:v>2</x:v>
      </x:c>
      <x:c r="I287" s="26" t="n">
        <x:v>1660.2</x:v>
      </x:c>
      <x:c r="J287" s="26" t="n">
        <x:v>4123.8</x:v>
      </x:c>
      <x:c r="K287" s="28" t="n">
        <x:v>0.1392</x:v>
      </x:c>
      <x:c r="L287" s="26" t="n">
        <x:v>574.03</x:v>
      </x:c>
      <x:c r="M287" t="n">
        <x:v>0</x:v>
      </x:c>
      <x:c r="N287" s="26" t="n">
        <x:v>0</x:v>
      </x:c>
      <x:c r="O287" s="26" t="n">
        <x:v>76.29</x:v>
      </x:c>
      <x:c r="P287" s="26" t="n">
        <x:v>18.56</x:v>
      </x:c>
      <x:c r="Q287" s="26" t="n">
        <x:v>35.05</x:v>
      </x:c>
      <x:c r="R287" s="26" t="n">
        <x:v>43.3</x:v>
      </x:c>
      <x:c r="S287" s="26" t="n">
        <x:v>400.83</x:v>
      </x:c>
    </x:row>
    <x:row r="288">
      <x:c r="A288" t="n">
        <x:v>500285</x:v>
      </x:c>
      <x:c r="B288" s="24" t="n">
        <x:v>45693</x:v>
      </x:c>
      <x:c r="C288" t="n">
        <x:v>1023</x:v>
      </x:c>
      <x:c r="D288" t="str">
        <x:v>Seller 1023</x:v>
      </x:c>
      <x:c r="E288" t="str">
        <x:v>Gold</x:v>
      </x:c>
      <x:c r="F288" t="str">
        <x:v>Central</x:v>
      </x:c>
      <x:c r="G288" t="str">
        <x:v>Home &amp; Kitchen</x:v>
      </x:c>
      <x:c r="H288" t="n">
        <x:v>2</x:v>
      </x:c>
      <x:c r="I288" s="26" t="n">
        <x:v>2822.4</x:v>
      </x:c>
      <x:c r="J288" s="26" t="n">
        <x:v>7010.4</x:v>
      </x:c>
      <x:c r="K288" s="28" t="n">
        <x:v>0.1341</x:v>
      </x:c>
      <x:c r="L288" s="26" t="n">
        <x:v>940.09</x:v>
      </x:c>
      <x:c r="M288" t="n">
        <x:v>0</x:v>
      </x:c>
      <x:c r="N288" s="26" t="n">
        <x:v>0</x:v>
      </x:c>
      <x:c r="O288" s="26" t="n">
        <x:v>129.69</x:v>
      </x:c>
      <x:c r="P288" s="26" t="n">
        <x:v>31.55</x:v>
      </x:c>
      <x:c r="Q288" s="26" t="n">
        <x:v>59.59</x:v>
      </x:c>
      <x:c r="R288" s="26" t="n">
        <x:v>73.61</x:v>
      </x:c>
      <x:c r="S288" s="26" t="n">
        <x:v>645.66</x:v>
      </x:c>
    </x:row>
    <x:row r="289">
      <x:c r="A289" t="n">
        <x:v>500286</x:v>
      </x:c>
      <x:c r="B289" s="24" t="n">
        <x:v>45696</x:v>
      </x:c>
      <x:c r="C289" t="n">
        <x:v>1056</x:v>
      </x:c>
      <x:c r="D289" t="str">
        <x:v>Seller 1056</x:v>
      </x:c>
      <x:c r="E289" t="str">
        <x:v>Bronze</x:v>
      </x:c>
      <x:c r="F289" t="str">
        <x:v>West</x:v>
      </x:c>
      <x:c r="G289" t="str">
        <x:v>Apparel</x:v>
      </x:c>
      <x:c r="H289" t="n">
        <x:v>2</x:v>
      </x:c>
      <x:c r="I289" s="26" t="n">
        <x:v>1285.8</x:v>
      </x:c>
      <x:c r="J289" s="26" t="n">
        <x:v>1721.4</x:v>
      </x:c>
      <x:c r="K289" s="28" t="n">
        <x:v>0.1188</x:v>
      </x:c>
      <x:c r="L289" s="26" t="n">
        <x:v>204.5</x:v>
      </x:c>
      <x:c r="M289" t="n">
        <x:v>1</x:v>
      </x:c>
      <x:c r="N289" s="26" t="n">
        <x:v>1113</x:v>
      </x:c>
      <x:c r="O289" s="26" t="n">
        <x:v>31.85</x:v>
      </x:c>
      <x:c r="P289" s="26" t="n">
        <x:v>7.75</x:v>
      </x:c>
      <x:c r="Q289" s="26" t="n">
        <x:v>14.63</x:v>
      </x:c>
      <x:c r="R289" s="26" t="n">
        <x:v>18.07</x:v>
      </x:c>
      <x:c r="S289" s="26" t="n">
        <x:v>109.94</x:v>
      </x:c>
    </x:row>
    <x:row r="290">
      <x:c r="A290" t="n">
        <x:v>500287</x:v>
      </x:c>
      <x:c r="B290" s="24" t="n">
        <x:v>45709</x:v>
      </x:c>
      <x:c r="C290" t="n">
        <x:v>1009</x:v>
      </x:c>
      <x:c r="D290" t="str">
        <x:v>Seller 1009</x:v>
      </x:c>
      <x:c r="E290" t="str">
        <x:v>Platinum</x:v>
      </x:c>
      <x:c r="F290" t="str">
        <x:v>Central</x:v>
      </x:c>
      <x:c r="G290" t="str">
        <x:v>Pet Supplies</x:v>
      </x:c>
      <x:c r="H290" t="n">
        <x:v>2</x:v>
      </x:c>
      <x:c r="I290" s="26" t="n">
        <x:v>1265.4</x:v>
      </x:c>
      <x:c r="J290" s="26" t="n">
        <x:v>4235.4</x:v>
      </x:c>
      <x:c r="K290" s="28" t="n">
        <x:v>0.1288</x:v>
      </x:c>
      <x:c r="L290" s="26" t="n">
        <x:v>545.52</x:v>
      </x:c>
      <x:c r="M290" t="n">
        <x:v>0</x:v>
      </x:c>
      <x:c r="N290" s="26" t="n">
        <x:v>0</x:v>
      </x:c>
      <x:c r="O290" s="26" t="n">
        <x:v>78.35</x:v>
      </x:c>
      <x:c r="P290" s="26" t="n">
        <x:v>19.06</x:v>
      </x:c>
      <x:c r="Q290" s="26" t="n">
        <x:v>36</x:v>
      </x:c>
      <x:c r="R290" s="26" t="n">
        <x:v>44.47</x:v>
      </x:c>
      <x:c r="S290" s="26" t="n">
        <x:v>367.63</x:v>
      </x:c>
    </x:row>
    <x:row r="291">
      <x:c r="A291" t="n">
        <x:v>500288</x:v>
      </x:c>
      <x:c r="B291" s="24" t="n">
        <x:v>45715</x:v>
      </x:c>
      <x:c r="C291" t="n">
        <x:v>1063</x:v>
      </x:c>
      <x:c r="D291" t="str">
        <x:v>Seller 1063</x:v>
      </x:c>
      <x:c r="E291" t="str">
        <x:v>Bronze</x:v>
      </x:c>
      <x:c r="F291" t="str">
        <x:v>West</x:v>
      </x:c>
      <x:c r="G291" t="str">
        <x:v>Pet Supplies</x:v>
      </x:c>
      <x:c r="H291" t="n">
        <x:v>1</x:v>
      </x:c>
      <x:c r="I291" s="26" t="n">
        <x:v>2862</x:v>
      </x:c>
      <x:c r="J291" s="26" t="n">
        <x:v>1916.4</x:v>
      </x:c>
      <x:c r="K291" s="28" t="n">
        <x:v>0.1347</x:v>
      </x:c>
      <x:c r="L291" s="26" t="n">
        <x:v>258.14</x:v>
      </x:c>
      <x:c r="M291" t="n">
        <x:v>0</x:v>
      </x:c>
      <x:c r="N291" s="26" t="n">
        <x:v>0</x:v>
      </x:c>
      <x:c r="O291" s="26" t="n">
        <x:v>35.45</x:v>
      </x:c>
      <x:c r="P291" s="26" t="n">
        <x:v>8.62</x:v>
      </x:c>
      <x:c r="Q291" s="26" t="n">
        <x:v>16.29</x:v>
      </x:c>
      <x:c r="R291" s="26" t="n">
        <x:v>20.12</x:v>
      </x:c>
      <x:c r="S291" s="26" t="n">
        <x:v>177.65</x:v>
      </x:c>
    </x:row>
    <x:row r="292">
      <x:c r="A292" t="n">
        <x:v>500289</x:v>
      </x:c>
      <x:c r="B292" s="24" t="n">
        <x:v>45692</x:v>
      </x:c>
      <x:c r="C292" t="n">
        <x:v>1059</x:v>
      </x:c>
      <x:c r="D292" t="str">
        <x:v>Seller 1059</x:v>
      </x:c>
      <x:c r="E292" t="str">
        <x:v>Bronze</x:v>
      </x:c>
      <x:c r="F292" t="str">
        <x:v>Central</x:v>
      </x:c>
      <x:c r="G292" t="str">
        <x:v>Sports</x:v>
      </x:c>
      <x:c r="H292" t="n">
        <x:v>3</x:v>
      </x:c>
      <x:c r="I292" s="26" t="n">
        <x:v>994.2</x:v>
      </x:c>
      <x:c r="J292" s="26" t="n">
        <x:v>1997.4</x:v>
      </x:c>
      <x:c r="K292" s="28" t="n">
        <x:v>0.1231</x:v>
      </x:c>
      <x:c r="L292" s="26" t="n">
        <x:v>245.88</x:v>
      </x:c>
      <x:c r="M292" t="n">
        <x:v>0</x:v>
      </x:c>
      <x:c r="N292" s="26" t="n">
        <x:v>0</x:v>
      </x:c>
      <x:c r="O292" s="26" t="n">
        <x:v>36.95</x:v>
      </x:c>
      <x:c r="P292" s="26" t="n">
        <x:v>8.99</x:v>
      </x:c>
      <x:c r="Q292" s="26" t="n">
        <x:v>16.98</x:v>
      </x:c>
      <x:c r="R292" s="26" t="n">
        <x:v>20.97</x:v>
      </x:c>
      <x:c r="S292" s="26" t="n">
        <x:v>161.99</x:v>
      </x:c>
    </x:row>
    <x:row r="293">
      <x:c r="A293" t="n">
        <x:v>500290</x:v>
      </x:c>
      <x:c r="B293" s="24" t="n">
        <x:v>45692</x:v>
      </x:c>
      <x:c r="C293" t="n">
        <x:v>1041</x:v>
      </x:c>
      <x:c r="D293" t="str">
        <x:v>Seller 1041</x:v>
      </x:c>
      <x:c r="E293" t="str">
        <x:v>Silver</x:v>
      </x:c>
      <x:c r="F293" t="str">
        <x:v>West</x:v>
      </x:c>
      <x:c r="G293" t="str">
        <x:v>Apparel</x:v>
      </x:c>
      <x:c r="H293" t="n">
        <x:v>2</x:v>
      </x:c>
      <x:c r="I293" s="26" t="n">
        <x:v>2103.6000000000004</x:v>
      </x:c>
      <x:c r="J293" s="26" t="n">
        <x:v>3998.4</x:v>
      </x:c>
      <x:c r="K293" s="28" t="n">
        <x:v>0.1246</x:v>
      </x:c>
      <x:c r="L293" s="26" t="n">
        <x:v>498.2</x:v>
      </x:c>
      <x:c r="M293" t="n">
        <x:v>0</x:v>
      </x:c>
      <x:c r="N293" s="26" t="n">
        <x:v>0</x:v>
      </x:c>
      <x:c r="O293" s="26" t="n">
        <x:v>73.97</x:v>
      </x:c>
      <x:c r="P293" s="26" t="n">
        <x:v>17.99</x:v>
      </x:c>
      <x:c r="Q293" s="26" t="n">
        <x:v>33.99</x:v>
      </x:c>
      <x:c r="R293" s="26" t="n">
        <x:v>41.98</x:v>
      </x:c>
      <x:c r="S293" s="26" t="n">
        <x:v>330.27</x:v>
      </x:c>
    </x:row>
    <x:row r="294">
      <x:c r="A294" t="n">
        <x:v>500291</x:v>
      </x:c>
      <x:c r="B294" s="24" t="n">
        <x:v>45705</x:v>
      </x:c>
      <x:c r="C294" t="n">
        <x:v>1074</x:v>
      </x:c>
      <x:c r="D294" t="str">
        <x:v>Seller 1074</x:v>
      </x:c>
      <x:c r="E294" t="str">
        <x:v>Bronze</x:v>
      </x:c>
      <x:c r="F294" t="str">
        <x:v>East</x:v>
      </x:c>
      <x:c r="G294" t="str">
        <x:v>Electronics</x:v>
      </x:c>
      <x:c r="H294" t="n">
        <x:v>3</x:v>
      </x:c>
      <x:c r="I294" s="26" t="n">
        <x:v>3809.4</x:v>
      </x:c>
      <x:c r="J294" s="26" t="n">
        <x:v>7651.8</x:v>
      </x:c>
      <x:c r="K294" s="28" t="n">
        <x:v>0.1296</x:v>
      </x:c>
      <x:c r="L294" s="26" t="n">
        <x:v>991.67</x:v>
      </x:c>
      <x:c r="M294" t="n">
        <x:v>0</x:v>
      </x:c>
      <x:c r="N294" s="26" t="n">
        <x:v>0</x:v>
      </x:c>
      <x:c r="O294" s="26" t="n">
        <x:v>141.56</x:v>
      </x:c>
      <x:c r="P294" s="26" t="n">
        <x:v>34.43</x:v>
      </x:c>
      <x:c r="Q294" s="26" t="n">
        <x:v>65.04</x:v>
      </x:c>
      <x:c r="R294" s="26" t="n">
        <x:v>80.34</x:v>
      </x:c>
      <x:c r="S294" s="26" t="n">
        <x:v>670.3</x:v>
      </x:c>
    </x:row>
    <x:row r="295">
      <x:c r="A295" t="n">
        <x:v>500292</x:v>
      </x:c>
      <x:c r="B295" s="24" t="n">
        <x:v>45688</x:v>
      </x:c>
      <x:c r="C295" t="n">
        <x:v>1022</x:v>
      </x:c>
      <x:c r="D295" t="str">
        <x:v>Seller 1022</x:v>
      </x:c>
      <x:c r="E295" t="str">
        <x:v>Gold</x:v>
      </x:c>
      <x:c r="F295" t="str">
        <x:v>East</x:v>
      </x:c>
      <x:c r="G295" t="str">
        <x:v>Sports</x:v>
      </x:c>
      <x:c r="H295" t="n">
        <x:v>3</x:v>
      </x:c>
      <x:c r="I295" s="26" t="n">
        <x:v>1764.6</x:v>
      </x:c>
      <x:c r="J295" s="26" t="n">
        <x:v>6574.8</x:v>
      </x:c>
      <x:c r="K295" s="28" t="n">
        <x:v>0.1268</x:v>
      </x:c>
      <x:c r="L295" s="26" t="n">
        <x:v>833.68</x:v>
      </x:c>
      <x:c r="M295" t="n">
        <x:v>0</x:v>
      </x:c>
      <x:c r="N295" s="26" t="n">
        <x:v>0</x:v>
      </x:c>
      <x:c r="O295" s="26" t="n">
        <x:v>121.63</x:v>
      </x:c>
      <x:c r="P295" s="26" t="n">
        <x:v>29.59</x:v>
      </x:c>
      <x:c r="Q295" s="26" t="n">
        <x:v>55.89</x:v>
      </x:c>
      <x:c r="R295" s="26" t="n">
        <x:v>69.04</x:v>
      </x:c>
      <x:c r="S295" s="26" t="n">
        <x:v>557.54</x:v>
      </x:c>
    </x:row>
    <x:row r="296">
      <x:c r="A296" t="n">
        <x:v>500293</x:v>
      </x:c>
      <x:c r="B296" s="24" t="n">
        <x:v>45701</x:v>
      </x:c>
      <x:c r="C296" t="n">
        <x:v>1063</x:v>
      </x:c>
      <x:c r="D296" t="str">
        <x:v>Seller 1063</x:v>
      </x:c>
      <x:c r="E296" t="str">
        <x:v>Bronze</x:v>
      </x:c>
      <x:c r="F296" t="str">
        <x:v>West</x:v>
      </x:c>
      <x:c r="G296" t="str">
        <x:v>Pet Supplies</x:v>
      </x:c>
      <x:c r="H296" t="n">
        <x:v>3</x:v>
      </x:c>
      <x:c r="I296" s="26" t="n">
        <x:v>480</x:v>
      </x:c>
      <x:c r="J296" s="26" t="n">
        <x:v>964.2</x:v>
      </x:c>
      <x:c r="K296" s="28" t="n">
        <x:v>0.1321</x:v>
      </x:c>
      <x:c r="L296" s="26" t="n">
        <x:v>127.37</x:v>
      </x:c>
      <x:c r="M296" t="n">
        <x:v>0</x:v>
      </x:c>
      <x:c r="N296" s="26" t="n">
        <x:v>0</x:v>
      </x:c>
      <x:c r="O296" s="26" t="n">
        <x:v>17.84</x:v>
      </x:c>
      <x:c r="P296" s="26" t="n">
        <x:v>4.34</x:v>
      </x:c>
      <x:c r="Q296" s="26" t="n">
        <x:v>8.2</x:v>
      </x:c>
      <x:c r="R296" s="26" t="n">
        <x:v>10.12</x:v>
      </x:c>
      <x:c r="S296" s="26" t="n">
        <x:v>86.87</x:v>
      </x:c>
    </x:row>
    <x:row r="297">
      <x:c r="A297" t="n">
        <x:v>500294</x:v>
      </x:c>
      <x:c r="B297" s="24" t="n">
        <x:v>45705</x:v>
      </x:c>
      <x:c r="C297" t="n">
        <x:v>1057</x:v>
      </x:c>
      <x:c r="D297" t="str">
        <x:v>Seller 1057</x:v>
      </x:c>
      <x:c r="E297" t="str">
        <x:v>Bronze</x:v>
      </x:c>
      <x:c r="F297" t="str">
        <x:v>South</x:v>
      </x:c>
      <x:c r="G297" t="str">
        <x:v>Electronics</x:v>
      </x:c>
      <x:c r="H297" t="n">
        <x:v>2</x:v>
      </x:c>
      <x:c r="I297" s="26" t="n">
        <x:v>4436.4</x:v>
      </x:c>
      <x:c r="J297" s="26" t="n">
        <x:v>5941.2</x:v>
      </x:c>
      <x:c r="K297" s="28" t="n">
        <x:v>0.1313</x:v>
      </x:c>
      <x:c r="L297" s="26" t="n">
        <x:v>780.08</x:v>
      </x:c>
      <x:c r="M297" t="n">
        <x:v>0</x:v>
      </x:c>
      <x:c r="N297" s="26" t="n">
        <x:v>0</x:v>
      </x:c>
      <x:c r="O297" s="26" t="n">
        <x:v>109.91</x:v>
      </x:c>
      <x:c r="P297" s="26" t="n">
        <x:v>26.74</x:v>
      </x:c>
      <x:c r="Q297" s="26" t="n">
        <x:v>50.5</x:v>
      </x:c>
      <x:c r="R297" s="26" t="n">
        <x:v>62.38</x:v>
      </x:c>
      <x:c r="S297" s="26" t="n">
        <x:v>530.55</x:v>
      </x:c>
    </x:row>
    <x:row r="298">
      <x:c r="A298" t="n">
        <x:v>500295</x:v>
      </x:c>
      <x:c r="B298" s="24" t="n">
        <x:v>45691</x:v>
      </x:c>
      <x:c r="C298" t="n">
        <x:v>1037</x:v>
      </x:c>
      <x:c r="D298" t="str">
        <x:v>Seller 1037</x:v>
      </x:c>
      <x:c r="E298" t="str">
        <x:v>Silver</x:v>
      </x:c>
      <x:c r="F298" t="str">
        <x:v>East</x:v>
      </x:c>
      <x:c r="G298" t="str">
        <x:v>Apparel</x:v>
      </x:c>
      <x:c r="H298" t="n">
        <x:v>1</x:v>
      </x:c>
      <x:c r="I298" s="26" t="n">
        <x:v>3973.8</x:v>
      </x:c>
      <x:c r="J298" s="26" t="n">
        <x:v>3777</x:v>
      </x:c>
      <x:c r="K298" s="28" t="n">
        <x:v>0.1264</x:v>
      </x:c>
      <x:c r="L298" s="26" t="n">
        <x:v>477.41</x:v>
      </x:c>
      <x:c r="M298" t="n">
        <x:v>0</x:v>
      </x:c>
      <x:c r="N298" s="26" t="n">
        <x:v>0</x:v>
      </x:c>
      <x:c r="O298" s="26" t="n">
        <x:v>69.87</x:v>
      </x:c>
      <x:c r="P298" s="26" t="n">
        <x:v>17</x:v>
      </x:c>
      <x:c r="Q298" s="26" t="n">
        <x:v>32.1</x:v>
      </x:c>
      <x:c r="R298" s="26" t="n">
        <x:v>39.66</x:v>
      </x:c>
      <x:c r="S298" s="26" t="n">
        <x:v>318.78</x:v>
      </x:c>
    </x:row>
    <x:row r="299">
      <x:c r="A299" t="n">
        <x:v>500296</x:v>
      </x:c>
      <x:c r="B299" s="24" t="n">
        <x:v>45701</x:v>
      </x:c>
      <x:c r="C299" t="n">
        <x:v>1035</x:v>
      </x:c>
      <x:c r="D299" t="str">
        <x:v>Seller 1035</x:v>
      </x:c>
      <x:c r="E299" t="str">
        <x:v>Silver</x:v>
      </x:c>
      <x:c r="F299" t="str">
        <x:v>East</x:v>
      </x:c>
      <x:c r="G299" t="str">
        <x:v>Beauty</x:v>
      </x:c>
      <x:c r="H299" t="n">
        <x:v>1</x:v>
      </x:c>
      <x:c r="I299" s="26" t="n">
        <x:v>2547</x:v>
      </x:c>
      <x:c r="J299" s="26" t="n">
        <x:v>2421</x:v>
      </x:c>
      <x:c r="K299" s="28" t="n">
        <x:v>0.1512</x:v>
      </x:c>
      <x:c r="L299" s="26" t="n">
        <x:v>366.06</x:v>
      </x:c>
      <x:c r="M299" t="n">
        <x:v>0</x:v>
      </x:c>
      <x:c r="N299" s="26" t="n">
        <x:v>0</x:v>
      </x:c>
      <x:c r="O299" s="26" t="n">
        <x:v>44.79</x:v>
      </x:c>
      <x:c r="P299" s="26" t="n">
        <x:v>10.89</x:v>
      </x:c>
      <x:c r="Q299" s="26" t="n">
        <x:v>20.58</x:v>
      </x:c>
      <x:c r="R299" s="26" t="n">
        <x:v>25.42</x:v>
      </x:c>
      <x:c r="S299" s="26" t="n">
        <x:v>264.37</x:v>
      </x:c>
    </x:row>
    <x:row r="300">
      <x:c r="A300" t="n">
        <x:v>500297</x:v>
      </x:c>
      <x:c r="B300" s="24" t="n">
        <x:v>45715</x:v>
      </x:c>
      <x:c r="C300" t="n">
        <x:v>1014</x:v>
      </x:c>
      <x:c r="D300" t="str">
        <x:v>Seller 1014</x:v>
      </x:c>
      <x:c r="E300" t="str">
        <x:v>Gold</x:v>
      </x:c>
      <x:c r="F300" t="str">
        <x:v>East</x:v>
      </x:c>
      <x:c r="G300" t="str">
        <x:v>Apparel</x:v>
      </x:c>
      <x:c r="H300" t="n">
        <x:v>2</x:v>
      </x:c>
      <x:c r="I300" s="26" t="n">
        <x:v>1729.2</x:v>
      </x:c>
      <x:c r="J300" s="26" t="n">
        <x:v>4296</x:v>
      </x:c>
      <x:c r="K300" s="28" t="n">
        <x:v>0.129</x:v>
      </x:c>
      <x:c r="L300" s="26" t="n">
        <x:v>554.18</x:v>
      </x:c>
      <x:c r="M300" t="n">
        <x:v>0</x:v>
      </x:c>
      <x:c r="N300" s="26" t="n">
        <x:v>0</x:v>
      </x:c>
      <x:c r="O300" s="26" t="n">
        <x:v>79.48</x:v>
      </x:c>
      <x:c r="P300" s="26" t="n">
        <x:v>19.33</x:v>
      </x:c>
      <x:c r="Q300" s="26" t="n">
        <x:v>36.52</x:v>
      </x:c>
      <x:c r="R300" s="26" t="n">
        <x:v>45.11</x:v>
      </x:c>
      <x:c r="S300" s="26" t="n">
        <x:v>373.75</x:v>
      </x:c>
    </x:row>
    <x:row r="301">
      <x:c r="A301" t="n">
        <x:v>500298</x:v>
      </x:c>
      <x:c r="B301" s="24" t="n">
        <x:v>45699</x:v>
      </x:c>
      <x:c r="C301" t="n">
        <x:v>1012</x:v>
      </x:c>
      <x:c r="D301" t="str">
        <x:v>Seller 1012</x:v>
      </x:c>
      <x:c r="E301" t="str">
        <x:v>Platinum</x:v>
      </x:c>
      <x:c r="F301" t="str">
        <x:v>East</x:v>
      </x:c>
      <x:c r="G301" t="str">
        <x:v>Beauty</x:v>
      </x:c>
      <x:c r="H301" t="n">
        <x:v>4</x:v>
      </x:c>
      <x:c r="I301" s="26" t="n">
        <x:v>646.1999999999999</x:v>
      </x:c>
      <x:c r="J301" s="26" t="n">
        <x:v>4326.6</x:v>
      </x:c>
      <x:c r="K301" s="28" t="n">
        <x:v>0.1387</x:v>
      </x:c>
      <x:c r="L301" s="26" t="n">
        <x:v>600.1</x:v>
      </x:c>
      <x:c r="M301" t="n">
        <x:v>0</x:v>
      </x:c>
      <x:c r="N301" s="26" t="n">
        <x:v>0</x:v>
      </x:c>
      <x:c r="O301" s="26" t="n">
        <x:v>80.04</x:v>
      </x:c>
      <x:c r="P301" s="26" t="n">
        <x:v>19.47</x:v>
      </x:c>
      <x:c r="Q301" s="26" t="n">
        <x:v>36.78</x:v>
      </x:c>
      <x:c r="R301" s="26" t="n">
        <x:v>45.43</x:v>
      </x:c>
      <x:c r="S301" s="26" t="n">
        <x:v>418.38</x:v>
      </x:c>
    </x:row>
    <x:row r="302">
      <x:c r="A302" t="n">
        <x:v>500299</x:v>
      </x:c>
      <x:c r="B302" s="24" t="n">
        <x:v>45699</x:v>
      </x:c>
      <x:c r="C302" t="n">
        <x:v>1079</x:v>
      </x:c>
      <x:c r="D302" t="str">
        <x:v>Seller 1079</x:v>
      </x:c>
      <x:c r="E302" t="str">
        <x:v>Bronze</x:v>
      </x:c>
      <x:c r="F302" t="str">
        <x:v>South</x:v>
      </x:c>
      <x:c r="G302" t="str">
        <x:v>Beauty</x:v>
      </x:c>
      <x:c r="H302" t="n">
        <x:v>2</x:v>
      </x:c>
      <x:c r="I302" s="26" t="n">
        <x:v>1420.2</x:v>
      </x:c>
      <x:c r="J302" s="26" t="n">
        <x:v>1901.4</x:v>
      </x:c>
      <x:c r="K302" s="28" t="n">
        <x:v>0.138</x:v>
      </x:c>
      <x:c r="L302" s="26" t="n">
        <x:v>262.39</x:v>
      </x:c>
      <x:c r="M302" t="n">
        <x:v>0</x:v>
      </x:c>
      <x:c r="N302" s="26" t="n">
        <x:v>0</x:v>
      </x:c>
      <x:c r="O302" s="26" t="n">
        <x:v>35.18</x:v>
      </x:c>
      <x:c r="P302" s="26" t="n">
        <x:v>8.56</x:v>
      </x:c>
      <x:c r="Q302" s="26" t="n">
        <x:v>16.16</x:v>
      </x:c>
      <x:c r="R302" s="26" t="n">
        <x:v>19.96</x:v>
      </x:c>
      <x:c r="S302" s="26" t="n">
        <x:v>182.53</x:v>
      </x:c>
    </x:row>
    <x:row r="303">
      <x:c r="A303" t="n">
        <x:v>500300</x:v>
      </x:c>
      <x:c r="B303" s="24" t="n">
        <x:v>45715</x:v>
      </x:c>
      <x:c r="C303" t="n">
        <x:v>1069</x:v>
      </x:c>
      <x:c r="D303" t="str">
        <x:v>Seller 1069</x:v>
      </x:c>
      <x:c r="E303" t="str">
        <x:v>Bronze</x:v>
      </x:c>
      <x:c r="F303" t="str">
        <x:v>East</x:v>
      </x:c>
      <x:c r="G303" t="str">
        <x:v>Electronics</x:v>
      </x:c>
      <x:c r="H303" t="n">
        <x:v>1</x:v>
      </x:c>
      <x:c r="I303" s="26" t="n">
        <x:v>8551.8</x:v>
      </x:c>
      <x:c r="J303" s="26" t="n">
        <x:v>5725.8</x:v>
      </x:c>
      <x:c r="K303" s="28" t="n">
        <x:v>0.1299</x:v>
      </x:c>
      <x:c r="L303" s="26" t="n">
        <x:v>743.78</x:v>
      </x:c>
      <x:c r="M303" t="n">
        <x:v>0</x:v>
      </x:c>
      <x:c r="N303" s="26" t="n">
        <x:v>0</x:v>
      </x:c>
      <x:c r="O303" s="26" t="n">
        <x:v>105.93</x:v>
      </x:c>
      <x:c r="P303" s="26" t="n">
        <x:v>25.77</x:v>
      </x:c>
      <x:c r="Q303" s="26" t="n">
        <x:v>48.67</x:v>
      </x:c>
      <x:c r="R303" s="26" t="n">
        <x:v>60.12</x:v>
      </x:c>
      <x:c r="S303" s="26" t="n">
        <x:v>503.3</x:v>
      </x:c>
    </x:row>
    <x:row r="304">
      <x:c r="A304" t="n">
        <x:v>500301</x:v>
      </x:c>
      <x:c r="B304" s="24" t="n">
        <x:v>45696</x:v>
      </x:c>
      <x:c r="C304" t="n">
        <x:v>1066</x:v>
      </x:c>
      <x:c r="D304" t="str">
        <x:v>Seller 1066</x:v>
      </x:c>
      <x:c r="E304" t="str">
        <x:v>Bronze</x:v>
      </x:c>
      <x:c r="F304" t="str">
        <x:v>South</x:v>
      </x:c>
      <x:c r="G304" t="str">
        <x:v>Pet Supplies</x:v>
      </x:c>
      <x:c r="H304" t="n">
        <x:v>2</x:v>
      </x:c>
      <x:c r="I304" s="26" t="n">
        <x:v>1436.4</x:v>
      </x:c>
      <x:c r="J304" s="26" t="n">
        <x:v>1923.6</x:v>
      </x:c>
      <x:c r="K304" s="28" t="n">
        <x:v>0.138</x:v>
      </x:c>
      <x:c r="L304" s="26" t="n">
        <x:v>265.46</x:v>
      </x:c>
      <x:c r="M304" t="n">
        <x:v>0</x:v>
      </x:c>
      <x:c r="N304" s="26" t="n">
        <x:v>0</x:v>
      </x:c>
      <x:c r="O304" s="26" t="n">
        <x:v>35.59</x:v>
      </x:c>
      <x:c r="P304" s="26" t="n">
        <x:v>8.66</x:v>
      </x:c>
      <x:c r="Q304" s="26" t="n">
        <x:v>16.35</x:v>
      </x:c>
      <x:c r="R304" s="26" t="n">
        <x:v>20.2</x:v>
      </x:c>
      <x:c r="S304" s="26" t="n">
        <x:v>184.67</x:v>
      </x:c>
    </x:row>
    <x:row r="305">
      <x:c r="A305" t="n">
        <x:v>500302</x:v>
      </x:c>
      <x:c r="B305" s="24" t="n">
        <x:v>45700</x:v>
      </x:c>
      <x:c r="C305" t="n">
        <x:v>1017</x:v>
      </x:c>
      <x:c r="D305" t="str">
        <x:v>Seller 1017</x:v>
      </x:c>
      <x:c r="E305" t="str">
        <x:v>Gold</x:v>
      </x:c>
      <x:c r="F305" t="str">
        <x:v>East</x:v>
      </x:c>
      <x:c r="G305" t="str">
        <x:v>Electronics</x:v>
      </x:c>
      <x:c r="H305" t="n">
        <x:v>2</x:v>
      </x:c>
      <x:c r="I305" s="26" t="n">
        <x:v>4639.8</x:v>
      </x:c>
      <x:c r="J305" s="26" t="n">
        <x:v>11524.8</x:v>
      </x:c>
      <x:c r="K305" s="28" t="n">
        <x:v>0.1207</x:v>
      </x:c>
      <x:c r="L305" s="26" t="n">
        <x:v>1391.04</x:v>
      </x:c>
      <x:c r="M305" t="n">
        <x:v>0</x:v>
      </x:c>
      <x:c r="N305" s="26" t="n">
        <x:v>0</x:v>
      </x:c>
      <x:c r="O305" s="26" t="n">
        <x:v>213.21</x:v>
      </x:c>
      <x:c r="P305" s="26" t="n">
        <x:v>51.86</x:v>
      </x:c>
      <x:c r="Q305" s="26" t="n">
        <x:v>97.96</x:v>
      </x:c>
      <x:c r="R305" s="26" t="n">
        <x:v>121.01</x:v>
      </x:c>
      <x:c r="S305" s="26" t="n">
        <x:v>907</x:v>
      </x:c>
    </x:row>
    <x:row r="306">
      <x:c r="A306" t="n">
        <x:v>500303</x:v>
      </x:c>
      <x:c r="B306" s="24" t="n">
        <x:v>45712</x:v>
      </x:c>
      <x:c r="C306" t="n">
        <x:v>1063</x:v>
      </x:c>
      <x:c r="D306" t="str">
        <x:v>Seller 1063</x:v>
      </x:c>
      <x:c r="E306" t="str">
        <x:v>Bronze</x:v>
      </x:c>
      <x:c r="F306" t="str">
        <x:v>West</x:v>
      </x:c>
      <x:c r="G306" t="str">
        <x:v>Pet Supplies</x:v>
      </x:c>
      <x:c r="H306" t="n">
        <x:v>1</x:v>
      </x:c>
      <x:c r="I306" s="26" t="n">
        <x:v>2860.8</x:v>
      </x:c>
      <x:c r="J306" s="26" t="n">
        <x:v>1915.2</x:v>
      </x:c>
      <x:c r="K306" s="28" t="n">
        <x:v>0.129</x:v>
      </x:c>
      <x:c r="L306" s="26" t="n">
        <x:v>247.06</x:v>
      </x:c>
      <x:c r="M306" t="n">
        <x:v>0</x:v>
      </x:c>
      <x:c r="N306" s="26" t="n">
        <x:v>0</x:v>
      </x:c>
      <x:c r="O306" s="26" t="n">
        <x:v>35.43</x:v>
      </x:c>
      <x:c r="P306" s="26" t="n">
        <x:v>8.62</x:v>
      </x:c>
      <x:c r="Q306" s="26" t="n">
        <x:v>16.28</x:v>
      </x:c>
      <x:c r="R306" s="26" t="n">
        <x:v>20.11</x:v>
      </x:c>
      <x:c r="S306" s="26" t="n">
        <x:v>166.62</x:v>
      </x:c>
    </x:row>
    <x:row r="307">
      <x:c r="A307" t="n">
        <x:v>500304</x:v>
      </x:c>
      <x:c r="B307" s="24" t="n">
        <x:v>45706</x:v>
      </x:c>
      <x:c r="C307" t="n">
        <x:v>1012</x:v>
      </x:c>
      <x:c r="D307" t="str">
        <x:v>Seller 1012</x:v>
      </x:c>
      <x:c r="E307" t="str">
        <x:v>Platinum</x:v>
      </x:c>
      <x:c r="F307" t="str">
        <x:v>East</x:v>
      </x:c>
      <x:c r="G307" t="str">
        <x:v>Beauty</x:v>
      </x:c>
      <x:c r="H307" t="n">
        <x:v>2</x:v>
      </x:c>
      <x:c r="I307" s="26" t="n">
        <x:v>994.8</x:v>
      </x:c>
      <x:c r="J307" s="26" t="n">
        <x:v>3330</x:v>
      </x:c>
      <x:c r="K307" s="28" t="n">
        <x:v>0.1541</x:v>
      </x:c>
      <x:c r="L307" s="26" t="n">
        <x:v>513.15</x:v>
      </x:c>
      <x:c r="M307" t="n">
        <x:v>0</x:v>
      </x:c>
      <x:c r="N307" s="26" t="n">
        <x:v>0</x:v>
      </x:c>
      <x:c r="O307" s="26" t="n">
        <x:v>61.6</x:v>
      </x:c>
      <x:c r="P307" s="26" t="n">
        <x:v>14.98</x:v>
      </x:c>
      <x:c r="Q307" s="26" t="n">
        <x:v>28.31</x:v>
      </x:c>
      <x:c r="R307" s="26" t="n">
        <x:v>34.97</x:v>
      </x:c>
      <x:c r="S307" s="26" t="n">
        <x:v>373.29</x:v>
      </x:c>
    </x:row>
    <x:row r="308">
      <x:c r="A308" t="n">
        <x:v>500305</x:v>
      </x:c>
      <x:c r="B308" s="24" t="n">
        <x:v>45713</x:v>
      </x:c>
      <x:c r="C308" t="n">
        <x:v>1001</x:v>
      </x:c>
      <x:c r="D308" t="str">
        <x:v>Seller 1001</x:v>
      </x:c>
      <x:c r="E308" t="str">
        <x:v>Platinum</x:v>
      </x:c>
      <x:c r="F308" t="str">
        <x:v>East</x:v>
      </x:c>
      <x:c r="G308" t="str">
        <x:v>Pet Supplies</x:v>
      </x:c>
      <x:c r="H308" t="n">
        <x:v>4</x:v>
      </x:c>
      <x:c r="I308" s="26" t="n">
        <x:v>1149</x:v>
      </x:c>
      <x:c r="J308" s="26" t="n">
        <x:v>7693.2</x:v>
      </x:c>
      <x:c r="K308" s="28" t="n">
        <x:v>0.1352</x:v>
      </x:c>
      <x:c r="L308" s="26" t="n">
        <x:v>1040.12</x:v>
      </x:c>
      <x:c r="M308" t="n">
        <x:v>0</x:v>
      </x:c>
      <x:c r="N308" s="26" t="n">
        <x:v>0</x:v>
      </x:c>
      <x:c r="O308" s="26" t="n">
        <x:v>142.32</x:v>
      </x:c>
      <x:c r="P308" s="26" t="n">
        <x:v>34.62</x:v>
      </x:c>
      <x:c r="Q308" s="26" t="n">
        <x:v>65.39</x:v>
      </x:c>
      <x:c r="R308" s="26" t="n">
        <x:v>80.78</x:v>
      </x:c>
      <x:c r="S308" s="26" t="n">
        <x:v>717.01</x:v>
      </x:c>
    </x:row>
    <x:row r="309">
      <x:c r="A309" t="n">
        <x:v>500306</x:v>
      </x:c>
      <x:c r="B309" s="24" t="n">
        <x:v>45705</x:v>
      </x:c>
      <x:c r="C309" t="n">
        <x:v>1069</x:v>
      </x:c>
      <x:c r="D309" t="str">
        <x:v>Seller 1069</x:v>
      </x:c>
      <x:c r="E309" t="str">
        <x:v>Bronze</x:v>
      </x:c>
      <x:c r="F309" t="str">
        <x:v>East</x:v>
      </x:c>
      <x:c r="G309" t="str">
        <x:v>Electronics</x:v>
      </x:c>
      <x:c r="H309" t="n">
        <x:v>4</x:v>
      </x:c>
      <x:c r="I309" s="26" t="n">
        <x:v>1916.4</x:v>
      </x:c>
      <x:c r="J309" s="26" t="n">
        <x:v>5133</x:v>
      </x:c>
      <x:c r="K309" s="28" t="n">
        <x:v>0.1249</x:v>
      </x:c>
      <x:c r="L309" s="26" t="n">
        <x:v>641.11</x:v>
      </x:c>
      <x:c r="M309" t="n">
        <x:v>0</x:v>
      </x:c>
      <x:c r="N309" s="26" t="n">
        <x:v>0</x:v>
      </x:c>
      <x:c r="O309" s="26" t="n">
        <x:v>94.96</x:v>
      </x:c>
      <x:c r="P309" s="26" t="n">
        <x:v>23.1</x:v>
      </x:c>
      <x:c r="Q309" s="26" t="n">
        <x:v>43.63</x:v>
      </x:c>
      <x:c r="R309" s="26" t="n">
        <x:v>53.9</x:v>
      </x:c>
      <x:c r="S309" s="26" t="n">
        <x:v>425.53</x:v>
      </x:c>
    </x:row>
    <x:row r="310">
      <x:c r="A310" t="n">
        <x:v>500307</x:v>
      </x:c>
      <x:c r="B310" s="24" t="n">
        <x:v>45714</x:v>
      </x:c>
      <x:c r="C310" t="n">
        <x:v>1074</x:v>
      </x:c>
      <x:c r="D310" t="str">
        <x:v>Seller 1074</x:v>
      </x:c>
      <x:c r="E310" t="str">
        <x:v>Bronze</x:v>
      </x:c>
      <x:c r="F310" t="str">
        <x:v>East</x:v>
      </x:c>
      <x:c r="G310" t="str">
        <x:v>Electronics</x:v>
      </x:c>
      <x:c r="H310" t="n">
        <x:v>3</x:v>
      </x:c>
      <x:c r="I310" s="26" t="n">
        <x:v>1918.8</x:v>
      </x:c>
      <x:c r="J310" s="26" t="n">
        <x:v>3854.4</x:v>
      </x:c>
      <x:c r="K310" s="28" t="n">
        <x:v>0.1345</x:v>
      </x:c>
      <x:c r="L310" s="26" t="n">
        <x:v>518.42</x:v>
      </x:c>
      <x:c r="M310" t="n">
        <x:v>1</x:v>
      </x:c>
      <x:c r="N310" s="26" t="n">
        <x:v>3205.8</x:v>
      </x:c>
      <x:c r="O310" s="26" t="n">
        <x:v>71.31</x:v>
      </x:c>
      <x:c r="P310" s="26" t="n">
        <x:v>17.34</x:v>
      </x:c>
      <x:c r="Q310" s="26" t="n">
        <x:v>32.76</x:v>
      </x:c>
      <x:c r="R310" s="26" t="n">
        <x:v>40.47</x:v>
      </x:c>
      <x:c r="S310" s="26" t="n">
        <x:v>292.42</x:v>
      </x:c>
    </x:row>
    <x:row r="311">
      <x:c r="A311" t="n">
        <x:v>500308</x:v>
      </x:c>
      <x:c r="B311" s="24" t="n">
        <x:v>45710</x:v>
      </x:c>
      <x:c r="C311" t="n">
        <x:v>1059</x:v>
      </x:c>
      <x:c r="D311" t="str">
        <x:v>Seller 1059</x:v>
      </x:c>
      <x:c r="E311" t="str">
        <x:v>Bronze</x:v>
      </x:c>
      <x:c r="F311" t="str">
        <x:v>Central</x:v>
      </x:c>
      <x:c r="G311" t="str">
        <x:v>Sports</x:v>
      </x:c>
      <x:c r="H311" t="n">
        <x:v>3</x:v>
      </x:c>
      <x:c r="I311" s="26" t="n">
        <x:v>1428</x:v>
      </x:c>
      <x:c r="J311" s="26" t="n">
        <x:v>2869.2</x:v>
      </x:c>
      <x:c r="K311" s="28" t="n">
        <x:v>0.127</x:v>
      </x:c>
      <x:c r="L311" s="26" t="n">
        <x:v>364.39</x:v>
      </x:c>
      <x:c r="M311" t="n">
        <x:v>0</x:v>
      </x:c>
      <x:c r="N311" s="26" t="n">
        <x:v>0</x:v>
      </x:c>
      <x:c r="O311" s="26" t="n">
        <x:v>53.08</x:v>
      </x:c>
      <x:c r="P311" s="26" t="n">
        <x:v>12.91</x:v>
      </x:c>
      <x:c r="Q311" s="26" t="n">
        <x:v>24.39</x:v>
      </x:c>
      <x:c r="R311" s="26" t="n">
        <x:v>30.13</x:v>
      </x:c>
      <x:c r="S311" s="26" t="n">
        <x:v>243.88</x:v>
      </x:c>
    </x:row>
    <x:row r="312">
      <x:c r="A312" t="n">
        <x:v>500309</x:v>
      </x:c>
      <x:c r="B312" s="24" t="n">
        <x:v>45699</x:v>
      </x:c>
      <x:c r="C312" t="n">
        <x:v>1017</x:v>
      </x:c>
      <x:c r="D312" t="str">
        <x:v>Seller 1017</x:v>
      </x:c>
      <x:c r="E312" t="str">
        <x:v>Gold</x:v>
      </x:c>
      <x:c r="F312" t="str">
        <x:v>East</x:v>
      </x:c>
      <x:c r="G312" t="str">
        <x:v>Beauty</x:v>
      </x:c>
      <x:c r="H312" t="n">
        <x:v>3</x:v>
      </x:c>
      <x:c r="I312" s="26" t="n">
        <x:v>1292.3999999999999</x:v>
      </x:c>
      <x:c r="J312" s="26" t="n">
        <x:v>4816.2</x:v>
      </x:c>
      <x:c r="K312" s="28" t="n">
        <x:v>0.1396</x:v>
      </x:c>
      <x:c r="L312" s="26" t="n">
        <x:v>672.34</x:v>
      </x:c>
      <x:c r="M312" t="n">
        <x:v>0</x:v>
      </x:c>
      <x:c r="N312" s="26" t="n">
        <x:v>0</x:v>
      </x:c>
      <x:c r="O312" s="26" t="n">
        <x:v>89.1</x:v>
      </x:c>
      <x:c r="P312" s="26" t="n">
        <x:v>21.67</x:v>
      </x:c>
      <x:c r="Q312" s="26" t="n">
        <x:v>40.94</x:v>
      </x:c>
      <x:c r="R312" s="26" t="n">
        <x:v>50.57</x:v>
      </x:c>
      <x:c r="S312" s="26" t="n">
        <x:v>470.06</x:v>
      </x:c>
    </x:row>
    <x:row r="313">
      <x:c r="A313" t="n">
        <x:v>500310</x:v>
      </x:c>
      <x:c r="B313" s="24" t="n">
        <x:v>45691</x:v>
      </x:c>
      <x:c r="C313" t="n">
        <x:v>1022</x:v>
      </x:c>
      <x:c r="D313" t="str">
        <x:v>Seller 1022</x:v>
      </x:c>
      <x:c r="E313" t="str">
        <x:v>Gold</x:v>
      </x:c>
      <x:c r="F313" t="str">
        <x:v>East</x:v>
      </x:c>
      <x:c r="G313" t="str">
        <x:v>Sports</x:v>
      </x:c>
      <x:c r="H313" t="n">
        <x:v>1</x:v>
      </x:c>
      <x:c r="I313" s="26" t="n">
        <x:v>4143.6</x:v>
      </x:c>
      <x:c r="J313" s="26" t="n">
        <x:v>5145.6</x:v>
      </x:c>
      <x:c r="K313" s="28" t="n">
        <x:v>0.1341</x:v>
      </x:c>
      <x:c r="L313" s="26" t="n">
        <x:v>690.02</x:v>
      </x:c>
      <x:c r="M313" t="n">
        <x:v>0</x:v>
      </x:c>
      <x:c r="N313" s="26" t="n">
        <x:v>0</x:v>
      </x:c>
      <x:c r="O313" s="26" t="n">
        <x:v>95.19</x:v>
      </x:c>
      <x:c r="P313" s="26" t="n">
        <x:v>23.16</x:v>
      </x:c>
      <x:c r="Q313" s="26" t="n">
        <x:v>43.74</x:v>
      </x:c>
      <x:c r="R313" s="26" t="n">
        <x:v>54.03</x:v>
      </x:c>
      <x:c r="S313" s="26" t="n">
        <x:v>473.91</x:v>
      </x:c>
    </x:row>
    <x:row r="314">
      <x:c r="A314" t="n">
        <x:v>500311</x:v>
      </x:c>
      <x:c r="B314" s="24" t="n">
        <x:v>45721</x:v>
      </x:c>
      <x:c r="C314" t="n">
        <x:v>1001</x:v>
      </x:c>
      <x:c r="D314" t="str">
        <x:v>Seller 1001</x:v>
      </x:c>
      <x:c r="E314" t="str">
        <x:v>Platinum</x:v>
      </x:c>
      <x:c r="F314" t="str">
        <x:v>East</x:v>
      </x:c>
      <x:c r="G314" t="str">
        <x:v>Electronics</x:v>
      </x:c>
      <x:c r="H314" t="n">
        <x:v>3</x:v>
      </x:c>
      <x:c r="I314" s="26" t="n">
        <x:v>3339.6</x:v>
      </x:c>
      <x:c r="J314" s="26" t="n">
        <x:v>16367.4</x:v>
      </x:c>
      <x:c r="K314" s="28" t="n">
        <x:v>0.1255</x:v>
      </x:c>
      <x:c r="L314" s="26" t="n">
        <x:v>2054.11</x:v>
      </x:c>
      <x:c r="M314" t="n">
        <x:v>1</x:v>
      </x:c>
      <x:c r="N314" s="26" t="n">
        <x:v>11532.6</x:v>
      </x:c>
      <x:c r="O314" s="26" t="n">
        <x:v>302.8</x:v>
      </x:c>
      <x:c r="P314" s="26" t="n">
        <x:v>73.65</x:v>
      </x:c>
      <x:c r="Q314" s="26" t="n">
        <x:v>139.12</x:v>
      </x:c>
      <x:c r="R314" s="26" t="n">
        <x:v>171.86</x:v>
      </x:c>
      <x:c r="S314" s="26" t="n">
        <x:v>1136.03</x:v>
      </x:c>
    </x:row>
    <x:row r="315">
      <x:c r="A315" t="n">
        <x:v>500312</x:v>
      </x:c>
      <x:c r="B315" s="24" t="n">
        <x:v>45729</x:v>
      </x:c>
      <x:c r="C315" t="n">
        <x:v>1055</x:v>
      </x:c>
      <x:c r="D315" t="str">
        <x:v>Seller 1055</x:v>
      </x:c>
      <x:c r="E315" t="str">
        <x:v>Bronze</x:v>
      </x:c>
      <x:c r="F315" t="str">
        <x:v>Central</x:v>
      </x:c>
      <x:c r="G315" t="str">
        <x:v>Pet Supplies</x:v>
      </x:c>
      <x:c r="H315" t="n">
        <x:v>1</x:v>
      </x:c>
      <x:c r="I315" s="26" t="n">
        <x:v>3145.2000000000003</x:v>
      </x:c>
      <x:c r="J315" s="26" t="n">
        <x:v>2055.6</x:v>
      </x:c>
      <x:c r="K315" s="28" t="n">
        <x:v>0.1221</x:v>
      </x:c>
      <x:c r="L315" s="26" t="n">
        <x:v>250.99</x:v>
      </x:c>
      <x:c r="M315" t="n">
        <x:v>0</x:v>
      </x:c>
      <x:c r="N315" s="26" t="n">
        <x:v>0</x:v>
      </x:c>
      <x:c r="O315" s="26" t="n">
        <x:v>38.03</x:v>
      </x:c>
      <x:c r="P315" s="26" t="n">
        <x:v>9.25</x:v>
      </x:c>
      <x:c r="Q315" s="26" t="n">
        <x:v>17.47</x:v>
      </x:c>
      <x:c r="R315" s="26" t="n">
        <x:v>21.58</x:v>
      </x:c>
      <x:c r="S315" s="26" t="n">
        <x:v>164.65</x:v>
      </x:c>
    </x:row>
    <x:row r="316">
      <x:c r="A316" t="n">
        <x:v>500313</x:v>
      </x:c>
      <x:c r="B316" s="24" t="n">
        <x:v>45734</x:v>
      </x:c>
      <x:c r="C316" t="n">
        <x:v>1039</x:v>
      </x:c>
      <x:c r="D316" t="str">
        <x:v>Seller 1039</x:v>
      </x:c>
      <x:c r="E316" t="str">
        <x:v>Silver</x:v>
      </x:c>
      <x:c r="F316" t="str">
        <x:v>East</x:v>
      </x:c>
      <x:c r="G316" t="str">
        <x:v>Pet Supplies</x:v>
      </x:c>
      <x:c r="H316" t="n">
        <x:v>2</x:v>
      </x:c>
      <x:c r="I316" s="26" t="n">
        <x:v>1147.2</x:v>
      </x:c>
      <x:c r="J316" s="26" t="n">
        <x:v>2127.6</x:v>
      </x:c>
      <x:c r="K316" s="28" t="n">
        <x:v>0.1232</x:v>
      </x:c>
      <x:c r="L316" s="26" t="n">
        <x:v>262.12</x:v>
      </x:c>
      <x:c r="M316" t="n">
        <x:v>0</x:v>
      </x:c>
      <x:c r="N316" s="26" t="n">
        <x:v>0</x:v>
      </x:c>
      <x:c r="O316" s="26" t="n">
        <x:v>39.36</x:v>
      </x:c>
      <x:c r="P316" s="26" t="n">
        <x:v>9.57</x:v>
      </x:c>
      <x:c r="Q316" s="26" t="n">
        <x:v>18.08</x:v>
      </x:c>
      <x:c r="R316" s="26" t="n">
        <x:v>22.34</x:v>
      </x:c>
      <x:c r="S316" s="26" t="n">
        <x:v>172.76</x:v>
      </x:c>
    </x:row>
    <x:row r="317">
      <x:c r="A317" t="n">
        <x:v>500314</x:v>
      </x:c>
      <x:c r="B317" s="24" t="n">
        <x:v>45731</x:v>
      </x:c>
      <x:c r="C317" t="n">
        <x:v>1073</x:v>
      </x:c>
      <x:c r="D317" t="str">
        <x:v>Seller 1073</x:v>
      </x:c>
      <x:c r="E317" t="str">
        <x:v>Bronze</x:v>
      </x:c>
      <x:c r="F317" t="str">
        <x:v>Central</x:v>
      </x:c>
      <x:c r="G317" t="str">
        <x:v>Electronics</x:v>
      </x:c>
      <x:c r="H317" t="n">
        <x:v>2</x:v>
      </x:c>
      <x:c r="I317" s="26" t="n">
        <x:v>3743.4</x:v>
      </x:c>
      <x:c r="J317" s="26" t="n">
        <x:v>4893</x:v>
      </x:c>
      <x:c r="K317" s="28" t="n">
        <x:v>0.1303</x:v>
      </x:c>
      <x:c r="L317" s="26" t="n">
        <x:v>637.56</x:v>
      </x:c>
      <x:c r="M317" t="n">
        <x:v>0</x:v>
      </x:c>
      <x:c r="N317" s="26" t="n">
        <x:v>0</x:v>
      </x:c>
      <x:c r="O317" s="26" t="n">
        <x:v>90.52</x:v>
      </x:c>
      <x:c r="P317" s="26" t="n">
        <x:v>22.02</x:v>
      </x:c>
      <x:c r="Q317" s="26" t="n">
        <x:v>41.59</x:v>
      </x:c>
      <x:c r="R317" s="26" t="n">
        <x:v>51.38</x:v>
      </x:c>
      <x:c r="S317" s="26" t="n">
        <x:v>432.05</x:v>
      </x:c>
    </x:row>
    <x:row r="318">
      <x:c r="A318" t="n">
        <x:v>500315</x:v>
      </x:c>
      <x:c r="B318" s="24" t="n">
        <x:v>45730</x:v>
      </x:c>
      <x:c r="C318" t="n">
        <x:v>1079</x:v>
      </x:c>
      <x:c r="D318" t="str">
        <x:v>Seller 1079</x:v>
      </x:c>
      <x:c r="E318" t="str">
        <x:v>Bronze</x:v>
      </x:c>
      <x:c r="F318" t="str">
        <x:v>South</x:v>
      </x:c>
      <x:c r="G318" t="str">
        <x:v>Beauty</x:v>
      </x:c>
      <x:c r="H318" t="n">
        <x:v>2</x:v>
      </x:c>
      <x:c r="I318" s="26" t="n">
        <x:v>1250.4</x:v>
      </x:c>
      <x:c r="J318" s="26" t="n">
        <x:v>1634.4</x:v>
      </x:c>
      <x:c r="K318" s="28" t="n">
        <x:v>0.1354</x:v>
      </x:c>
      <x:c r="L318" s="26" t="n">
        <x:v>221.3</x:v>
      </x:c>
      <x:c r="M318" t="n">
        <x:v>0</x:v>
      </x:c>
      <x:c r="N318" s="26" t="n">
        <x:v>0</x:v>
      </x:c>
      <x:c r="O318" s="26" t="n">
        <x:v>30.24</x:v>
      </x:c>
      <x:c r="P318" s="26" t="n">
        <x:v>7.35</x:v>
      </x:c>
      <x:c r="Q318" s="26" t="n">
        <x:v>13.89</x:v>
      </x:c>
      <x:c r="R318" s="26" t="n">
        <x:v>17.16</x:v>
      </x:c>
      <x:c r="S318" s="26" t="n">
        <x:v>152.65</x:v>
      </x:c>
    </x:row>
    <x:row r="319">
      <x:c r="A319" t="n">
        <x:v>500316</x:v>
      </x:c>
      <x:c r="B319" s="24" t="n">
        <x:v>45741</x:v>
      </x:c>
      <x:c r="C319" t="n">
        <x:v>1045</x:v>
      </x:c>
      <x:c r="D319" t="str">
        <x:v>Seller 1045</x:v>
      </x:c>
      <x:c r="E319" t="str">
        <x:v>Silver</x:v>
      </x:c>
      <x:c r="F319" t="str">
        <x:v>Central</x:v>
      </x:c>
      <x:c r="G319" t="str">
        <x:v>Beauty</x:v>
      </x:c>
      <x:c r="H319" t="n">
        <x:v>2</x:v>
      </x:c>
      <x:c r="I319" s="26" t="n">
        <x:v>1165.8</x:v>
      </x:c>
      <x:c r="J319" s="26" t="n">
        <x:v>2163</x:v>
      </x:c>
      <x:c r="K319" s="28" t="n">
        <x:v>0.1485</x:v>
      </x:c>
      <x:c r="L319" s="26" t="n">
        <x:v>321.21</x:v>
      </x:c>
      <x:c r="M319" t="n">
        <x:v>0</x:v>
      </x:c>
      <x:c r="N319" s="26" t="n">
        <x:v>0</x:v>
      </x:c>
      <x:c r="O319" s="26" t="n">
        <x:v>40.02</x:v>
      </x:c>
      <x:c r="P319" s="26" t="n">
        <x:v>9.73</x:v>
      </x:c>
      <x:c r="Q319" s="26" t="n">
        <x:v>18.39</x:v>
      </x:c>
      <x:c r="R319" s="26" t="n">
        <x:v>22.71</x:v>
      </x:c>
      <x:c r="S319" s="26" t="n">
        <x:v>230.36</x:v>
      </x:c>
    </x:row>
    <x:row r="320">
      <x:c r="A320" t="n">
        <x:v>500317</x:v>
      </x:c>
      <x:c r="B320" s="24" t="n">
        <x:v>45737</x:v>
      </x:c>
      <x:c r="C320" t="n">
        <x:v>1078</x:v>
      </x:c>
      <x:c r="D320" t="str">
        <x:v>Seller 1078</x:v>
      </x:c>
      <x:c r="E320" t="str">
        <x:v>Bronze</x:v>
      </x:c>
      <x:c r="F320" t="str">
        <x:v>East</x:v>
      </x:c>
      <x:c r="G320" t="str">
        <x:v>Home &amp; Kitchen</x:v>
      </x:c>
      <x:c r="H320" t="n">
        <x:v>2</x:v>
      </x:c>
      <x:c r="I320" s="26" t="n">
        <x:v>2427</x:v>
      </x:c>
      <x:c r="J320" s="26" t="n">
        <x:v>3172.2</x:v>
      </x:c>
      <x:c r="K320" s="28" t="n">
        <x:v>0.1433</x:v>
      </x:c>
      <x:c r="L320" s="26" t="n">
        <x:v>454.58</x:v>
      </x:c>
      <x:c r="M320" t="n">
        <x:v>0</x:v>
      </x:c>
      <x:c r="N320" s="26" t="n">
        <x:v>0</x:v>
      </x:c>
      <x:c r="O320" s="26" t="n">
        <x:v>58.69</x:v>
      </x:c>
      <x:c r="P320" s="26" t="n">
        <x:v>14.27</x:v>
      </x:c>
      <x:c r="Q320" s="26" t="n">
        <x:v>26.96</x:v>
      </x:c>
      <x:c r="R320" s="26" t="n">
        <x:v>33.31</x:v>
      </x:c>
      <x:c r="S320" s="26" t="n">
        <x:v>321.34</x:v>
      </x:c>
    </x:row>
    <x:row r="321">
      <x:c r="A321" t="n">
        <x:v>500318</x:v>
      </x:c>
      <x:c r="B321" s="24" t="n">
        <x:v>45730</x:v>
      </x:c>
      <x:c r="C321" t="n">
        <x:v>1066</x:v>
      </x:c>
      <x:c r="D321" t="str">
        <x:v>Seller 1066</x:v>
      </x:c>
      <x:c r="E321" t="str">
        <x:v>Bronze</x:v>
      </x:c>
      <x:c r="F321" t="str">
        <x:v>South</x:v>
      </x:c>
      <x:c r="G321" t="str">
        <x:v>Home &amp; Kitchen</x:v>
      </x:c>
      <x:c r="H321" t="n">
        <x:v>1</x:v>
      </x:c>
      <x:c r="I321" s="26" t="n">
        <x:v>5277</x:v>
      </x:c>
      <x:c r="J321" s="26" t="n">
        <x:v>3448.2</x:v>
      </x:c>
      <x:c r="K321" s="28" t="n">
        <x:v>0.1418</x:v>
      </x:c>
      <x:c r="L321" s="26" t="n">
        <x:v>488.95</x:v>
      </x:c>
      <x:c r="M321" t="n">
        <x:v>0</x:v>
      </x:c>
      <x:c r="N321" s="26" t="n">
        <x:v>0</x:v>
      </x:c>
      <x:c r="O321" s="26" t="n">
        <x:v>63.79</x:v>
      </x:c>
      <x:c r="P321" s="26" t="n">
        <x:v>15.52</x:v>
      </x:c>
      <x:c r="Q321" s="26" t="n">
        <x:v>29.31</x:v>
      </x:c>
      <x:c r="R321" s="26" t="n">
        <x:v>36.21</x:v>
      </x:c>
      <x:c r="S321" s="26" t="n">
        <x:v>344.13</x:v>
      </x:c>
    </x:row>
    <x:row r="322">
      <x:c r="A322" t="n">
        <x:v>500319</x:v>
      </x:c>
      <x:c r="B322" s="24" t="n">
        <x:v>45728</x:v>
      </x:c>
      <x:c r="C322" t="n">
        <x:v>1015</x:v>
      </x:c>
      <x:c r="D322" t="str">
        <x:v>Seller 1015</x:v>
      </x:c>
      <x:c r="E322" t="str">
        <x:v>Gold</x:v>
      </x:c>
      <x:c r="F322" t="str">
        <x:v>West</x:v>
      </x:c>
      <x:c r="G322" t="str">
        <x:v>Pet Supplies</x:v>
      </x:c>
      <x:c r="H322" t="n">
        <x:v>2</x:v>
      </x:c>
      <x:c r="I322" s="26" t="n">
        <x:v>1486.8000000000002</x:v>
      </x:c>
      <x:c r="J322" s="26" t="n">
        <x:v>3604.8</x:v>
      </x:c>
      <x:c r="K322" s="28" t="n">
        <x:v>0.1413</x:v>
      </x:c>
      <x:c r="L322" s="26" t="n">
        <x:v>509.36</x:v>
      </x:c>
      <x:c r="M322" t="n">
        <x:v>0</x:v>
      </x:c>
      <x:c r="N322" s="26" t="n">
        <x:v>0</x:v>
      </x:c>
      <x:c r="O322" s="26" t="n">
        <x:v>66.69</x:v>
      </x:c>
      <x:c r="P322" s="26" t="n">
        <x:v>16.22</x:v>
      </x:c>
      <x:c r="Q322" s="26" t="n">
        <x:v>30.64</x:v>
      </x:c>
      <x:c r="R322" s="26" t="n">
        <x:v>37.85</x:v>
      </x:c>
      <x:c r="S322" s="26" t="n">
        <x:v>357.96</x:v>
      </x:c>
    </x:row>
    <x:row r="323">
      <x:c r="A323" t="n">
        <x:v>500320</x:v>
      </x:c>
      <x:c r="B323" s="24" t="n">
        <x:v>45742</x:v>
      </x:c>
      <x:c r="C323" t="n">
        <x:v>1017</x:v>
      </x:c>
      <x:c r="D323" t="str">
        <x:v>Seller 1017</x:v>
      </x:c>
      <x:c r="E323" t="str">
        <x:v>Gold</x:v>
      </x:c>
      <x:c r="F323" t="str">
        <x:v>East</x:v>
      </x:c>
      <x:c r="G323" t="str">
        <x:v>Electronics</x:v>
      </x:c>
      <x:c r="H323" t="n">
        <x:v>3</x:v>
      </x:c>
      <x:c r="I323" s="26" t="n">
        <x:v>2283</x:v>
      </x:c>
      <x:c r="J323" s="26" t="n">
        <x:v>8302.8</x:v>
      </x:c>
      <x:c r="K323" s="28" t="n">
        <x:v>0.1261</x:v>
      </x:c>
      <x:c r="L323" s="26" t="n">
        <x:v>1046.98</x:v>
      </x:c>
      <x:c r="M323" t="n">
        <x:v>0</x:v>
      </x:c>
      <x:c r="N323" s="26" t="n">
        <x:v>0</x:v>
      </x:c>
      <x:c r="O323" s="26" t="n">
        <x:v>153.6</x:v>
      </x:c>
      <x:c r="P323" s="26" t="n">
        <x:v>37.36</x:v>
      </x:c>
      <x:c r="Q323" s="26" t="n">
        <x:v>70.57</x:v>
      </x:c>
      <x:c r="R323" s="26" t="n">
        <x:v>87.18</x:v>
      </x:c>
      <x:c r="S323" s="26" t="n">
        <x:v>698.27</x:v>
      </x:c>
    </x:row>
    <x:row r="324">
      <x:c r="A324" t="n">
        <x:v>500321</x:v>
      </x:c>
      <x:c r="B324" s="24" t="n">
        <x:v>45734</x:v>
      </x:c>
      <x:c r="C324" t="n">
        <x:v>1010</x:v>
      </x:c>
      <x:c r="D324" t="str">
        <x:v>Seller 1010</x:v>
      </x:c>
      <x:c r="E324" t="str">
        <x:v>Platinum</x:v>
      </x:c>
      <x:c r="F324" t="str">
        <x:v>West</x:v>
      </x:c>
      <x:c r="G324" t="str">
        <x:v>Home &amp; Kitchen</x:v>
      </x:c>
      <x:c r="H324" t="n">
        <x:v>3</x:v>
      </x:c>
      <x:c r="I324" s="26" t="n">
        <x:v>1766.4</x:v>
      </x:c>
      <x:c r="J324" s="26" t="n">
        <x:v>8657.4</x:v>
      </x:c>
      <x:c r="K324" s="28" t="n">
        <x:v>0.124</x:v>
      </x:c>
      <x:c r="L324" s="26" t="n">
        <x:v>1073.52</x:v>
      </x:c>
      <x:c r="M324" t="n">
        <x:v>0</x:v>
      </x:c>
      <x:c r="N324" s="26" t="n">
        <x:v>0</x:v>
      </x:c>
      <x:c r="O324" s="26" t="n">
        <x:v>160.16</x:v>
      </x:c>
      <x:c r="P324" s="26" t="n">
        <x:v>38.96</x:v>
      </x:c>
      <x:c r="Q324" s="26" t="n">
        <x:v>73.59</x:v>
      </x:c>
      <x:c r="R324" s="26" t="n">
        <x:v>90.9</x:v>
      </x:c>
      <x:c r="S324" s="26" t="n">
        <x:v>709.91</x:v>
      </x:c>
    </x:row>
    <x:row r="325">
      <x:c r="A325" t="n">
        <x:v>500322</x:v>
      </x:c>
      <x:c r="B325" s="24" t="n">
        <x:v>45737</x:v>
      </x:c>
      <x:c r="C325" t="n">
        <x:v>1037</x:v>
      </x:c>
      <x:c r="D325" t="str">
        <x:v>Seller 1037</x:v>
      </x:c>
      <x:c r="E325" t="str">
        <x:v>Silver</x:v>
      </x:c>
      <x:c r="F325" t="str">
        <x:v>East</x:v>
      </x:c>
      <x:c r="G325" t="str">
        <x:v>Apparel</x:v>
      </x:c>
      <x:c r="H325" t="n">
        <x:v>1</x:v>
      </x:c>
      <x:c r="I325" s="26" t="n">
        <x:v>3838.2</x:v>
      </x:c>
      <x:c r="J325" s="26" t="n">
        <x:v>3559.8</x:v>
      </x:c>
      <x:c r="K325" s="28" t="n">
        <x:v>0.1248</x:v>
      </x:c>
      <x:c r="L325" s="26" t="n">
        <x:v>444.26</x:v>
      </x:c>
      <x:c r="M325" t="n">
        <x:v>0</x:v>
      </x:c>
      <x:c r="N325" s="26" t="n">
        <x:v>0</x:v>
      </x:c>
      <x:c r="O325" s="26" t="n">
        <x:v>65.86</x:v>
      </x:c>
      <x:c r="P325" s="26" t="n">
        <x:v>16.02</x:v>
      </x:c>
      <x:c r="Q325" s="26" t="n">
        <x:v>30.26</x:v>
      </x:c>
      <x:c r="R325" s="26" t="n">
        <x:v>37.38</x:v>
      </x:c>
      <x:c r="S325" s="26" t="n">
        <x:v>294.75</x:v>
      </x:c>
    </x:row>
    <x:row r="326">
      <x:c r="A326" t="n">
        <x:v>500323</x:v>
      </x:c>
      <x:c r="B326" s="24" t="n">
        <x:v>45730</x:v>
      </x:c>
      <x:c r="C326" t="n">
        <x:v>1020</x:v>
      </x:c>
      <x:c r="D326" t="str">
        <x:v>Seller 1020</x:v>
      </x:c>
      <x:c r="E326" t="str">
        <x:v>Gold</x:v>
      </x:c>
      <x:c r="F326" t="str">
        <x:v>West</x:v>
      </x:c>
      <x:c r="G326" t="str">
        <x:v>Home &amp; Kitchen</x:v>
      </x:c>
      <x:c r="H326" t="n">
        <x:v>2</x:v>
      </x:c>
      <x:c r="I326" s="26" t="n">
        <x:v>2898</x:v>
      </x:c>
      <x:c r="J326" s="26" t="n">
        <x:v>7025.4</x:v>
      </x:c>
      <x:c r="K326" s="28" t="n">
        <x:v>0.1279</x:v>
      </x:c>
      <x:c r="L326" s="26" t="n">
        <x:v>898.55</x:v>
      </x:c>
      <x:c r="M326" t="n">
        <x:v>0</x:v>
      </x:c>
      <x:c r="N326" s="26" t="n">
        <x:v>0</x:v>
      </x:c>
      <x:c r="O326" s="26" t="n">
        <x:v>129.97</x:v>
      </x:c>
      <x:c r="P326" s="26" t="n">
        <x:v>31.61</x:v>
      </x:c>
      <x:c r="Q326" s="26" t="n">
        <x:v>59.72</x:v>
      </x:c>
      <x:c r="R326" s="26" t="n">
        <x:v>73.77</x:v>
      </x:c>
      <x:c r="S326" s="26" t="n">
        <x:v>603.48</x:v>
      </x:c>
    </x:row>
    <x:row r="327">
      <x:c r="A327" t="n">
        <x:v>500324</x:v>
      </x:c>
      <x:c r="B327" s="24" t="n">
        <x:v>45745</x:v>
      </x:c>
      <x:c r="C327" t="n">
        <x:v>1076</x:v>
      </x:c>
      <x:c r="D327" t="str">
        <x:v>Seller 1076</x:v>
      </x:c>
      <x:c r="E327" t="str">
        <x:v>Bronze</x:v>
      </x:c>
      <x:c r="F327" t="str">
        <x:v>Central</x:v>
      </x:c>
      <x:c r="G327" t="str">
        <x:v>Home &amp; Kitchen</x:v>
      </x:c>
      <x:c r="H327" t="n">
        <x:v>3</x:v>
      </x:c>
      <x:c r="I327" s="26" t="n">
        <x:v>1126.8000000000002</x:v>
      </x:c>
      <x:c r="J327" s="26" t="n">
        <x:v>2209.2</x:v>
      </x:c>
      <x:c r="K327" s="28" t="n">
        <x:v>0.1246</x:v>
      </x:c>
      <x:c r="L327" s="26" t="n">
        <x:v>275.27</x:v>
      </x:c>
      <x:c r="M327" t="n">
        <x:v>0</x:v>
      </x:c>
      <x:c r="N327" s="26" t="n">
        <x:v>0</x:v>
      </x:c>
      <x:c r="O327" s="26" t="n">
        <x:v>40.87</x:v>
      </x:c>
      <x:c r="P327" s="26" t="n">
        <x:v>9.94</x:v>
      </x:c>
      <x:c r="Q327" s="26" t="n">
        <x:v>18.78</x:v>
      </x:c>
      <x:c r="R327" s="26" t="n">
        <x:v>23.2</x:v>
      </x:c>
      <x:c r="S327" s="26" t="n">
        <x:v>182.48</x:v>
      </x:c>
    </x:row>
    <x:row r="328">
      <x:c r="A328" t="n">
        <x:v>500325</x:v>
      </x:c>
      <x:c r="B328" s="24" t="n">
        <x:v>45741</x:v>
      </x:c>
      <x:c r="C328" t="n">
        <x:v>1031</x:v>
      </x:c>
      <x:c r="D328" t="str">
        <x:v>Seller 1031</x:v>
      </x:c>
      <x:c r="E328" t="str">
        <x:v>Silver</x:v>
      </x:c>
      <x:c r="F328" t="str">
        <x:v>West</x:v>
      </x:c>
      <x:c r="G328" t="str">
        <x:v>Home &amp; Kitchen</x:v>
      </x:c>
      <x:c r="H328" t="n">
        <x:v>3</x:v>
      </x:c>
      <x:c r="I328" s="26" t="n">
        <x:v>1856.4</x:v>
      </x:c>
      <x:c r="J328" s="26" t="n">
        <x:v>5166.6</x:v>
      </x:c>
      <x:c r="K328" s="28" t="n">
        <x:v>0.1339</x:v>
      </x:c>
      <x:c r="L328" s="26" t="n">
        <x:v>691.81</x:v>
      </x:c>
      <x:c r="M328" t="n">
        <x:v>0</x:v>
      </x:c>
      <x:c r="N328" s="26" t="n">
        <x:v>0</x:v>
      </x:c>
      <x:c r="O328" s="26" t="n">
        <x:v>95.58</x:v>
      </x:c>
      <x:c r="P328" s="26" t="n">
        <x:v>23.25</x:v>
      </x:c>
      <x:c r="Q328" s="26" t="n">
        <x:v>43.92</x:v>
      </x:c>
      <x:c r="R328" s="26" t="n">
        <x:v>54.25</x:v>
      </x:c>
      <x:c r="S328" s="26" t="n">
        <x:v>474.81</x:v>
      </x:c>
    </x:row>
    <x:row r="329">
      <x:c r="A329" t="n">
        <x:v>500326</x:v>
      </x:c>
      <x:c r="B329" s="24" t="n">
        <x:v>45743</x:v>
      </x:c>
      <x:c r="C329" t="n">
        <x:v>1023</x:v>
      </x:c>
      <x:c r="D329" t="str">
        <x:v>Seller 1023</x:v>
      </x:c>
      <x:c r="E329" t="str">
        <x:v>Gold</x:v>
      </x:c>
      <x:c r="F329" t="str">
        <x:v>Central</x:v>
      </x:c>
      <x:c r="G329" t="str">
        <x:v>Home &amp; Kitchen</x:v>
      </x:c>
      <x:c r="H329" t="n">
        <x:v>2</x:v>
      </x:c>
      <x:c r="I329" s="26" t="n">
        <x:v>1869</x:v>
      </x:c>
      <x:c r="J329" s="26" t="n">
        <x:v>4531.8</x:v>
      </x:c>
      <x:c r="K329" s="28" t="n">
        <x:v>0.1269</x:v>
      </x:c>
      <x:c r="L329" s="26" t="n">
        <x:v>575.09</x:v>
      </x:c>
      <x:c r="M329" t="n">
        <x:v>0</x:v>
      </x:c>
      <x:c r="N329" s="26" t="n">
        <x:v>0</x:v>
      </x:c>
      <x:c r="O329" s="26" t="n">
        <x:v>83.84</x:v>
      </x:c>
      <x:c r="P329" s="26" t="n">
        <x:v>20.39</x:v>
      </x:c>
      <x:c r="Q329" s="26" t="n">
        <x:v>38.52</x:v>
      </x:c>
      <x:c r="R329" s="26" t="n">
        <x:v>47.58</x:v>
      </x:c>
      <x:c r="S329" s="26" t="n">
        <x:v>384.75</x:v>
      </x:c>
    </x:row>
    <x:row r="330">
      <x:c r="A330" t="n">
        <x:v>500327</x:v>
      </x:c>
      <x:c r="B330" s="24" t="n">
        <x:v>45718</x:v>
      </x:c>
      <x:c r="C330" t="n">
        <x:v>1034</x:v>
      </x:c>
      <x:c r="D330" t="str">
        <x:v>Seller 1034</x:v>
      </x:c>
      <x:c r="E330" t="str">
        <x:v>Silver</x:v>
      </x:c>
      <x:c r="F330" t="str">
        <x:v>Central</x:v>
      </x:c>
      <x:c r="G330" t="str">
        <x:v>Sports</x:v>
      </x:c>
      <x:c r="H330" t="n">
        <x:v>3</x:v>
      </x:c>
      <x:c r="I330" s="26" t="n">
        <x:v>1975.2</x:v>
      </x:c>
      <x:c r="J330" s="26" t="n">
        <x:v>5496</x:v>
      </x:c>
      <x:c r="K330" s="28" t="n">
        <x:v>0.1225</x:v>
      </x:c>
      <x:c r="L330" s="26" t="n">
        <x:v>673.26</x:v>
      </x:c>
      <x:c r="M330" t="n">
        <x:v>0</x:v>
      </x:c>
      <x:c r="N330" s="26" t="n">
        <x:v>0</x:v>
      </x:c>
      <x:c r="O330" s="26" t="n">
        <x:v>101.68</x:v>
      </x:c>
      <x:c r="P330" s="26" t="n">
        <x:v>24.73</x:v>
      </x:c>
      <x:c r="Q330" s="26" t="n">
        <x:v>46.72</x:v>
      </x:c>
      <x:c r="R330" s="26" t="n">
        <x:v>57.71</x:v>
      </x:c>
      <x:c r="S330" s="26" t="n">
        <x:v>442.43</x:v>
      </x:c>
    </x:row>
    <x:row r="331">
      <x:c r="A331" t="n">
        <x:v>500328</x:v>
      </x:c>
      <x:c r="B331" s="24" t="n">
        <x:v>45734</x:v>
      </x:c>
      <x:c r="C331" t="n">
        <x:v>1043</x:v>
      </x:c>
      <x:c r="D331" t="str">
        <x:v>Seller 1043</x:v>
      </x:c>
      <x:c r="E331" t="str">
        <x:v>Silver</x:v>
      </x:c>
      <x:c r="F331" t="str">
        <x:v>West</x:v>
      </x:c>
      <x:c r="G331" t="str">
        <x:v>Beauty</x:v>
      </x:c>
      <x:c r="H331" t="n">
        <x:v>1</x:v>
      </x:c>
      <x:c r="I331" s="26" t="n">
        <x:v>2615.4</x:v>
      </x:c>
      <x:c r="J331" s="26" t="n">
        <x:v>2425.8</x:v>
      </x:c>
      <x:c r="K331" s="28" t="n">
        <x:v>0.1564</x:v>
      </x:c>
      <x:c r="L331" s="26" t="n">
        <x:v>379.4</x:v>
      </x:c>
      <x:c r="M331" t="n">
        <x:v>0</x:v>
      </x:c>
      <x:c r="N331" s="26" t="n">
        <x:v>0</x:v>
      </x:c>
      <x:c r="O331" s="26" t="n">
        <x:v>44.88</x:v>
      </x:c>
      <x:c r="P331" s="26" t="n">
        <x:v>10.92</x:v>
      </x:c>
      <x:c r="Q331" s="26" t="n">
        <x:v>20.62</x:v>
      </x:c>
      <x:c r="R331" s="26" t="n">
        <x:v>25.47</x:v>
      </x:c>
      <x:c r="S331" s="26" t="n">
        <x:v>277.51</x:v>
      </x:c>
    </x:row>
    <x:row r="332">
      <x:c r="A332" t="n">
        <x:v>500329</x:v>
      </x:c>
      <x:c r="B332" s="24" t="n">
        <x:v>45739</x:v>
      </x:c>
      <x:c r="C332" t="n">
        <x:v>1047</x:v>
      </x:c>
      <x:c r="D332" t="str">
        <x:v>Seller 1047</x:v>
      </x:c>
      <x:c r="E332" t="str">
        <x:v>Silver</x:v>
      </x:c>
      <x:c r="F332" t="str">
        <x:v>East</x:v>
      </x:c>
      <x:c r="G332" t="str">
        <x:v>Sports</x:v>
      </x:c>
      <x:c r="H332" t="n">
        <x:v>2</x:v>
      </x:c>
      <x:c r="I332" s="26" t="n">
        <x:v>2109.6</x:v>
      </x:c>
      <x:c r="J332" s="26" t="n">
        <x:v>3913.2</x:v>
      </x:c>
      <x:c r="K332" s="28" t="n">
        <x:v>0.1198</x:v>
      </x:c>
      <x:c r="L332" s="26" t="n">
        <x:v>468.8</x:v>
      </x:c>
      <x:c r="M332" t="n">
        <x:v>0</x:v>
      </x:c>
      <x:c r="N332" s="26" t="n">
        <x:v>0</x:v>
      </x:c>
      <x:c r="O332" s="26" t="n">
        <x:v>72.39</x:v>
      </x:c>
      <x:c r="P332" s="26" t="n">
        <x:v>17.61</x:v>
      </x:c>
      <x:c r="Q332" s="26" t="n">
        <x:v>33.26</x:v>
      </x:c>
      <x:c r="R332" s="26" t="n">
        <x:v>41.09</x:v>
      </x:c>
      <x:c r="S332" s="26" t="n">
        <x:v>304.45</x:v>
      </x:c>
    </x:row>
    <x:row r="333">
      <x:c r="A333" t="n">
        <x:v>500330</x:v>
      </x:c>
      <x:c r="B333" s="24" t="n">
        <x:v>45730</x:v>
      </x:c>
      <x:c r="C333" t="n">
        <x:v>1015</x:v>
      </x:c>
      <x:c r="D333" t="str">
        <x:v>Seller 1015</x:v>
      </x:c>
      <x:c r="E333" t="str">
        <x:v>Gold</x:v>
      </x:c>
      <x:c r="F333" t="str">
        <x:v>West</x:v>
      </x:c>
      <x:c r="G333" t="str">
        <x:v>Pet Supplies</x:v>
      </x:c>
      <x:c r="H333" t="n">
        <x:v>2</x:v>
      </x:c>
      <x:c r="I333" s="26" t="n">
        <x:v>1555.8</x:v>
      </x:c>
      <x:c r="J333" s="26" t="n">
        <x:v>3771.6</x:v>
      </x:c>
      <x:c r="K333" s="28" t="n">
        <x:v>0.1407</x:v>
      </x:c>
      <x:c r="L333" s="26" t="n">
        <x:v>530.66</x:v>
      </x:c>
      <x:c r="M333" t="n">
        <x:v>0</x:v>
      </x:c>
      <x:c r="N333" s="26" t="n">
        <x:v>0</x:v>
      </x:c>
      <x:c r="O333" s="26" t="n">
        <x:v>69.77</x:v>
      </x:c>
      <x:c r="P333" s="26" t="n">
        <x:v>16.97</x:v>
      </x:c>
      <x:c r="Q333" s="26" t="n">
        <x:v>32.06</x:v>
      </x:c>
      <x:c r="R333" s="26" t="n">
        <x:v>39.6</x:v>
      </x:c>
      <x:c r="S333" s="26" t="n">
        <x:v>372.26</x:v>
      </x:c>
    </x:row>
    <x:row r="334">
      <x:c r="A334" t="n">
        <x:v>500331</x:v>
      </x:c>
      <x:c r="B334" s="24" t="n">
        <x:v>45725</x:v>
      </x:c>
      <x:c r="C334" t="n">
        <x:v>1020</x:v>
      </x:c>
      <x:c r="D334" t="str">
        <x:v>Seller 1020</x:v>
      </x:c>
      <x:c r="E334" t="str">
        <x:v>Gold</x:v>
      </x:c>
      <x:c r="F334" t="str">
        <x:v>West</x:v>
      </x:c>
      <x:c r="G334" t="str">
        <x:v>Home &amp; Kitchen</x:v>
      </x:c>
      <x:c r="H334" t="n">
        <x:v>2</x:v>
      </x:c>
      <x:c r="I334" s="26" t="n">
        <x:v>2434.2</x:v>
      </x:c>
      <x:c r="J334" s="26" t="n">
        <x:v>5900.4</x:v>
      </x:c>
      <x:c r="K334" s="28" t="n">
        <x:v>0.1423</x:v>
      </x:c>
      <x:c r="L334" s="26" t="n">
        <x:v>839.63</x:v>
      </x:c>
      <x:c r="M334" t="n">
        <x:v>0</x:v>
      </x:c>
      <x:c r="N334" s="26" t="n">
        <x:v>0</x:v>
      </x:c>
      <x:c r="O334" s="26" t="n">
        <x:v>109.16</x:v>
      </x:c>
      <x:c r="P334" s="26" t="n">
        <x:v>26.55</x:v>
      </x:c>
      <x:c r="Q334" s="26" t="n">
        <x:v>50.15</x:v>
      </x:c>
      <x:c r="R334" s="26" t="n">
        <x:v>61.95</x:v>
      </x:c>
      <x:c r="S334" s="26" t="n">
        <x:v>591.81</x:v>
      </x:c>
    </x:row>
    <x:row r="335">
      <x:c r="A335" t="n">
        <x:v>500332</x:v>
      </x:c>
      <x:c r="B335" s="24" t="n">
        <x:v>45739</x:v>
      </x:c>
      <x:c r="C335" t="n">
        <x:v>1042</x:v>
      </x:c>
      <x:c r="D335" t="str">
        <x:v>Seller 1042</x:v>
      </x:c>
      <x:c r="E335" t="str">
        <x:v>Silver</x:v>
      </x:c>
      <x:c r="F335" t="str">
        <x:v>East</x:v>
      </x:c>
      <x:c r="G335" t="str">
        <x:v>Pet Supplies</x:v>
      </x:c>
      <x:c r="H335" t="n">
        <x:v>3</x:v>
      </x:c>
      <x:c r="I335" s="26" t="n">
        <x:v>929.4</x:v>
      </x:c>
      <x:c r="J335" s="26" t="n">
        <x:v>2586.6</x:v>
      </x:c>
      <x:c r="K335" s="28" t="n">
        <x:v>0.1398</x:v>
      </x:c>
      <x:c r="L335" s="26" t="n">
        <x:v>361.61</x:v>
      </x:c>
      <x:c r="M335" t="n">
        <x:v>0</x:v>
      </x:c>
      <x:c r="N335" s="26" t="n">
        <x:v>0</x:v>
      </x:c>
      <x:c r="O335" s="26" t="n">
        <x:v>47.85</x:v>
      </x:c>
      <x:c r="P335" s="26" t="n">
        <x:v>11.64</x:v>
      </x:c>
      <x:c r="Q335" s="26" t="n">
        <x:v>21.99</x:v>
      </x:c>
      <x:c r="R335" s="26" t="n">
        <x:v>27.16</x:v>
      </x:c>
      <x:c r="S335" s="26" t="n">
        <x:v>252.97</x:v>
      </x:c>
    </x:row>
    <x:row r="336">
      <x:c r="A336" t="n">
        <x:v>500333</x:v>
      </x:c>
      <x:c r="B336" s="24" t="n">
        <x:v>45727</x:v>
      </x:c>
      <x:c r="C336" t="n">
        <x:v>1007</x:v>
      </x:c>
      <x:c r="D336" t="str">
        <x:v>Seller 1007</x:v>
      </x:c>
      <x:c r="E336" t="str">
        <x:v>Platinum</x:v>
      </x:c>
      <x:c r="F336" t="str">
        <x:v>South</x:v>
      </x:c>
      <x:c r="G336" t="str">
        <x:v>Home &amp; Kitchen</x:v>
      </x:c>
      <x:c r="H336" t="n">
        <x:v>3</x:v>
      </x:c>
      <x:c r="I336" s="26" t="n">
        <x:v>592.8000000000001</x:v>
      </x:c>
      <x:c r="J336" s="26" t="n">
        <x:v>2905.8</x:v>
      </x:c>
      <x:c r="K336" s="28" t="n">
        <x:v>0.1459</x:v>
      </x:c>
      <x:c r="L336" s="26" t="n">
        <x:v>423.96</x:v>
      </x:c>
      <x:c r="M336" t="n">
        <x:v>0</x:v>
      </x:c>
      <x:c r="N336" s="26" t="n">
        <x:v>0</x:v>
      </x:c>
      <x:c r="O336" s="26" t="n">
        <x:v>53.76</x:v>
      </x:c>
      <x:c r="P336" s="26" t="n">
        <x:v>13.08</x:v>
      </x:c>
      <x:c r="Q336" s="26" t="n">
        <x:v>24.7</x:v>
      </x:c>
      <x:c r="R336" s="26" t="n">
        <x:v>30.51</x:v>
      </x:c>
      <x:c r="S336" s="26" t="n">
        <x:v>301.91</x:v>
      </x:c>
    </x:row>
    <x:row r="337">
      <x:c r="A337" t="n">
        <x:v>500334</x:v>
      </x:c>
      <x:c r="B337" s="24" t="n">
        <x:v>45737</x:v>
      </x:c>
      <x:c r="C337" t="n">
        <x:v>1040</x:v>
      </x:c>
      <x:c r="D337" t="str">
        <x:v>Seller 1040</x:v>
      </x:c>
      <x:c r="E337" t="str">
        <x:v>Silver</x:v>
      </x:c>
      <x:c r="F337" t="str">
        <x:v>West</x:v>
      </x:c>
      <x:c r="G337" t="str">
        <x:v>Pet Supplies</x:v>
      </x:c>
      <x:c r="H337" t="n">
        <x:v>2</x:v>
      </x:c>
      <x:c r="I337" s="26" t="n">
        <x:v>1549.8</x:v>
      </x:c>
      <x:c r="J337" s="26" t="n">
        <x:v>2874.6</x:v>
      </x:c>
      <x:c r="K337" s="28" t="n">
        <x:v>0.1248</x:v>
      </x:c>
      <x:c r="L337" s="26" t="n">
        <x:v>358.75</x:v>
      </x:c>
      <x:c r="M337" t="n">
        <x:v>0</x:v>
      </x:c>
      <x:c r="N337" s="26" t="n">
        <x:v>0</x:v>
      </x:c>
      <x:c r="O337" s="26" t="n">
        <x:v>53.18</x:v>
      </x:c>
      <x:c r="P337" s="26" t="n">
        <x:v>12.94</x:v>
      </x:c>
      <x:c r="Q337" s="26" t="n">
        <x:v>24.43</x:v>
      </x:c>
      <x:c r="R337" s="26" t="n">
        <x:v>30.18</x:v>
      </x:c>
      <x:c r="S337" s="26" t="n">
        <x:v>238.02</x:v>
      </x:c>
    </x:row>
    <x:row r="338">
      <x:c r="A338" t="n">
        <x:v>500335</x:v>
      </x:c>
      <x:c r="B338" s="24" t="n">
        <x:v>45742</x:v>
      </x:c>
      <x:c r="C338" t="n">
        <x:v>1032</x:v>
      </x:c>
      <x:c r="D338" t="str">
        <x:v>Seller 1032</x:v>
      </x:c>
      <x:c r="E338" t="str">
        <x:v>Silver</x:v>
      </x:c>
      <x:c r="F338" t="str">
        <x:v>West</x:v>
      </x:c>
      <x:c r="G338" t="str">
        <x:v>Pet Supplies</x:v>
      </x:c>
      <x:c r="H338" t="n">
        <x:v>1</x:v>
      </x:c>
      <x:c r="I338" s="26" t="n">
        <x:v>2961.6</x:v>
      </x:c>
      <x:c r="J338" s="26" t="n">
        <x:v>2746.8</x:v>
      </x:c>
      <x:c r="K338" s="28" t="n">
        <x:v>0.1385</x:v>
      </x:c>
      <x:c r="L338" s="26" t="n">
        <x:v>380.43</x:v>
      </x:c>
      <x:c r="M338" t="n">
        <x:v>0</x:v>
      </x:c>
      <x:c r="N338" s="26" t="n">
        <x:v>0</x:v>
      </x:c>
      <x:c r="O338" s="26" t="n">
        <x:v>50.82</x:v>
      </x:c>
      <x:c r="P338" s="26" t="n">
        <x:v>12.36</x:v>
      </x:c>
      <x:c r="Q338" s="26" t="n">
        <x:v>23.35</x:v>
      </x:c>
      <x:c r="R338" s="26" t="n">
        <x:v>28.84</x:v>
      </x:c>
      <x:c r="S338" s="26" t="n">
        <x:v>265.07</x:v>
      </x:c>
    </x:row>
    <x:row r="339">
      <x:c r="A339" t="n">
        <x:v>500336</x:v>
      </x:c>
      <x:c r="B339" s="24" t="n">
        <x:v>45718</x:v>
      </x:c>
      <x:c r="C339" t="n">
        <x:v>1032</x:v>
      </x:c>
      <x:c r="D339" t="str">
        <x:v>Seller 1032</x:v>
      </x:c>
      <x:c r="E339" t="str">
        <x:v>Silver</x:v>
      </x:c>
      <x:c r="F339" t="str">
        <x:v>West</x:v>
      </x:c>
      <x:c r="G339" t="str">
        <x:v>Pet Supplies</x:v>
      </x:c>
      <x:c r="H339" t="n">
        <x:v>2</x:v>
      </x:c>
      <x:c r="I339" s="26" t="n">
        <x:v>1537.2</x:v>
      </x:c>
      <x:c r="J339" s="26" t="n">
        <x:v>2851.8</x:v>
      </x:c>
      <x:c r="K339" s="28" t="n">
        <x:v>0.133</x:v>
      </x:c>
      <x:c r="L339" s="26" t="n">
        <x:v>379.29</x:v>
      </x:c>
      <x:c r="M339" t="n">
        <x:v>0</x:v>
      </x:c>
      <x:c r="N339" s="26" t="n">
        <x:v>0</x:v>
      </x:c>
      <x:c r="O339" s="26" t="n">
        <x:v>52.76</x:v>
      </x:c>
      <x:c r="P339" s="26" t="n">
        <x:v>12.83</x:v>
      </x:c>
      <x:c r="Q339" s="26" t="n">
        <x:v>24.24</x:v>
      </x:c>
      <x:c r="R339" s="26" t="n">
        <x:v>29.94</x:v>
      </x:c>
      <x:c r="S339" s="26" t="n">
        <x:v>259.51</x:v>
      </x:c>
    </x:row>
    <x:row r="340">
      <x:c r="A340" t="n">
        <x:v>500337</x:v>
      </x:c>
      <x:c r="B340" s="24" t="n">
        <x:v>45725</x:v>
      </x:c>
      <x:c r="C340" t="n">
        <x:v>1043</x:v>
      </x:c>
      <x:c r="D340" t="str">
        <x:v>Seller 1043</x:v>
      </x:c>
      <x:c r="E340" t="str">
        <x:v>Silver</x:v>
      </x:c>
      <x:c r="F340" t="str">
        <x:v>West</x:v>
      </x:c>
      <x:c r="G340" t="str">
        <x:v>Sports</x:v>
      </x:c>
      <x:c r="H340" t="n">
        <x:v>1</x:v>
      </x:c>
      <x:c r="I340" s="26" t="n">
        <x:v>3967.7999999999997</x:v>
      </x:c>
      <x:c r="J340" s="26" t="n">
        <x:v>3680.4</x:v>
      </x:c>
      <x:c r="K340" s="28" t="n">
        <x:v>0.1335</x:v>
      </x:c>
      <x:c r="L340" s="26" t="n">
        <x:v>491.33</x:v>
      </x:c>
      <x:c r="M340" t="n">
        <x:v>0</x:v>
      </x:c>
      <x:c r="N340" s="26" t="n">
        <x:v>0</x:v>
      </x:c>
      <x:c r="O340" s="26" t="n">
        <x:v>68.09</x:v>
      </x:c>
      <x:c r="P340" s="26" t="n">
        <x:v>16.56</x:v>
      </x:c>
      <x:c r="Q340" s="26" t="n">
        <x:v>31.28</x:v>
      </x:c>
      <x:c r="R340" s="26" t="n">
        <x:v>38.64</x:v>
      </x:c>
      <x:c r="S340" s="26" t="n">
        <x:v>336.76</x:v>
      </x:c>
    </x:row>
    <x:row r="341">
      <x:c r="A341" t="n">
        <x:v>500338</x:v>
      </x:c>
      <x:c r="B341" s="24" t="n">
        <x:v>45746</x:v>
      </x:c>
      <x:c r="C341" t="n">
        <x:v>1054</x:v>
      </x:c>
      <x:c r="D341" t="str">
        <x:v>Seller 1054</x:v>
      </x:c>
      <x:c r="E341" t="str">
        <x:v>Silver</x:v>
      </x:c>
      <x:c r="F341" t="str">
        <x:v>South</x:v>
      </x:c>
      <x:c r="G341" t="str">
        <x:v>Home &amp; Kitchen</x:v>
      </x:c>
      <x:c r="H341" t="n">
        <x:v>5</x:v>
      </x:c>
      <x:c r="I341" s="26" t="n">
        <x:v>1476.6</x:v>
      </x:c>
      <x:c r="J341" s="26" t="n">
        <x:v>6847.8</x:v>
      </x:c>
      <x:c r="K341" s="28" t="n">
        <x:v>0.1401</x:v>
      </x:c>
      <x:c r="L341" s="26" t="n">
        <x:v>959.38</x:v>
      </x:c>
      <x:c r="M341" t="n">
        <x:v>0</x:v>
      </x:c>
      <x:c r="N341" s="26" t="n">
        <x:v>0</x:v>
      </x:c>
      <x:c r="O341" s="26" t="n">
        <x:v>126.68</x:v>
      </x:c>
      <x:c r="P341" s="26" t="n">
        <x:v>30.82</x:v>
      </x:c>
      <x:c r="Q341" s="26" t="n">
        <x:v>58.21</x:v>
      </x:c>
      <x:c r="R341" s="26" t="n">
        <x:v>71.9</x:v>
      </x:c>
      <x:c r="S341" s="26" t="n">
        <x:v>671.77</x:v>
      </x:c>
    </x:row>
    <x:row r="342">
      <x:c r="A342" t="n">
        <x:v>500339</x:v>
      </x:c>
      <x:c r="B342" s="24" t="n">
        <x:v>45738</x:v>
      </x:c>
      <x:c r="C342" t="n">
        <x:v>1067</x:v>
      </x:c>
      <x:c r="D342" t="str">
        <x:v>Seller 1067</x:v>
      </x:c>
      <x:c r="E342" t="str">
        <x:v>Bronze</x:v>
      </x:c>
      <x:c r="F342" t="str">
        <x:v>South</x:v>
      </x:c>
      <x:c r="G342" t="str">
        <x:v>Beauty</x:v>
      </x:c>
      <x:c r="H342" t="n">
        <x:v>3</x:v>
      </x:c>
      <x:c r="I342" s="26" t="n">
        <x:v>737.4</x:v>
      </x:c>
      <x:c r="J342" s="26" t="n">
        <x:v>1445.4</x:v>
      </x:c>
      <x:c r="K342" s="28" t="n">
        <x:v>0.1509</x:v>
      </x:c>
      <x:c r="L342" s="26" t="n">
        <x:v>218.11</x:v>
      </x:c>
      <x:c r="M342" t="n">
        <x:v>0</x:v>
      </x:c>
      <x:c r="N342" s="26" t="n">
        <x:v>0</x:v>
      </x:c>
      <x:c r="O342" s="26" t="n">
        <x:v>26.74</x:v>
      </x:c>
      <x:c r="P342" s="26" t="n">
        <x:v>6.5</x:v>
      </x:c>
      <x:c r="Q342" s="26" t="n">
        <x:v>12.29</x:v>
      </x:c>
      <x:c r="R342" s="26" t="n">
        <x:v>15.18</x:v>
      </x:c>
      <x:c r="S342" s="26" t="n">
        <x:v>157.4</x:v>
      </x:c>
    </x:row>
    <x:row r="343">
      <x:c r="A343" t="n">
        <x:v>500340</x:v>
      </x:c>
      <x:c r="B343" s="24" t="n">
        <x:v>45728</x:v>
      </x:c>
      <x:c r="C343" t="n">
        <x:v>1051</x:v>
      </x:c>
      <x:c r="D343" t="str">
        <x:v>Seller 1051</x:v>
      </x:c>
      <x:c r="E343" t="str">
        <x:v>Silver</x:v>
      </x:c>
      <x:c r="F343" t="str">
        <x:v>East</x:v>
      </x:c>
      <x:c r="G343" t="str">
        <x:v>Sports</x:v>
      </x:c>
      <x:c r="H343" t="n">
        <x:v>1</x:v>
      </x:c>
      <x:c r="I343" s="26" t="n">
        <x:v>4398.6</x:v>
      </x:c>
      <x:c r="J343" s="26" t="n">
        <x:v>4080</x:v>
      </x:c>
      <x:c r="K343" s="28" t="n">
        <x:v>0.1391</x:v>
      </x:c>
      <x:c r="L343" s="26" t="n">
        <x:v>567.53</x:v>
      </x:c>
      <x:c r="M343" t="n">
        <x:v>0</x:v>
      </x:c>
      <x:c r="N343" s="26" t="n">
        <x:v>0</x:v>
      </x:c>
      <x:c r="O343" s="26" t="n">
        <x:v>75.48</x:v>
      </x:c>
      <x:c r="P343" s="26" t="n">
        <x:v>18.36</x:v>
      </x:c>
      <x:c r="Q343" s="26" t="n">
        <x:v>34.68</x:v>
      </x:c>
      <x:c r="R343" s="26" t="n">
        <x:v>42.84</x:v>
      </x:c>
      <x:c r="S343" s="26" t="n">
        <x:v>396.17</x:v>
      </x:c>
    </x:row>
    <x:row r="344">
      <x:c r="A344" t="n">
        <x:v>500341</x:v>
      </x:c>
      <x:c r="B344" s="24" t="n">
        <x:v>45742</x:v>
      </x:c>
      <x:c r="C344" t="n">
        <x:v>1051</x:v>
      </x:c>
      <x:c r="D344" t="str">
        <x:v>Seller 1051</x:v>
      </x:c>
      <x:c r="E344" t="str">
        <x:v>Silver</x:v>
      </x:c>
      <x:c r="F344" t="str">
        <x:v>East</x:v>
      </x:c>
      <x:c r="G344" t="str">
        <x:v>Sports</x:v>
      </x:c>
      <x:c r="H344" t="n">
        <x:v>2</x:v>
      </x:c>
      <x:c r="I344" s="26" t="n">
        <x:v>1962.0000000000002</x:v>
      </x:c>
      <x:c r="J344" s="26" t="n">
        <x:v>3640.2</x:v>
      </x:c>
      <x:c r="K344" s="28" t="n">
        <x:v>0.1225</x:v>
      </x:c>
      <x:c r="L344" s="26" t="n">
        <x:v>445.92</x:v>
      </x:c>
      <x:c r="M344" t="n">
        <x:v>0</x:v>
      </x:c>
      <x:c r="N344" s="26" t="n">
        <x:v>0</x:v>
      </x:c>
      <x:c r="O344" s="26" t="n">
        <x:v>67.34</x:v>
      </x:c>
      <x:c r="P344" s="26" t="n">
        <x:v>16.38</x:v>
      </x:c>
      <x:c r="Q344" s="26" t="n">
        <x:v>30.94</x:v>
      </x:c>
      <x:c r="R344" s="26" t="n">
        <x:v>38.22</x:v>
      </x:c>
      <x:c r="S344" s="26" t="n">
        <x:v>293.04</x:v>
      </x:c>
    </x:row>
    <x:row r="345">
      <x:c r="A345" t="n">
        <x:v>500342</x:v>
      </x:c>
      <x:c r="B345" s="24" t="n">
        <x:v>45742</x:v>
      </x:c>
      <x:c r="C345" t="n">
        <x:v>1075</x:v>
      </x:c>
      <x:c r="D345" t="str">
        <x:v>Seller 1075</x:v>
      </x:c>
      <x:c r="E345" t="str">
        <x:v>Bronze</x:v>
      </x:c>
      <x:c r="F345" t="str">
        <x:v>East</x:v>
      </x:c>
      <x:c r="G345" t="str">
        <x:v>Electronics</x:v>
      </x:c>
      <x:c r="H345" t="n">
        <x:v>3</x:v>
      </x:c>
      <x:c r="I345" s="26" t="n">
        <x:v>3368.4</x:v>
      </x:c>
      <x:c r="J345" s="26" t="n">
        <x:v>6604.2</x:v>
      </x:c>
      <x:c r="K345" s="28" t="n">
        <x:v>0.1205</x:v>
      </x:c>
      <x:c r="L345" s="26" t="n">
        <x:v>795.81</x:v>
      </x:c>
      <x:c r="M345" t="n">
        <x:v>0</x:v>
      </x:c>
      <x:c r="N345" s="26" t="n">
        <x:v>0</x:v>
      </x:c>
      <x:c r="O345" s="26" t="n">
        <x:v>122.18</x:v>
      </x:c>
      <x:c r="P345" s="26" t="n">
        <x:v>29.72</x:v>
      </x:c>
      <x:c r="Q345" s="26" t="n">
        <x:v>56.14</x:v>
      </x:c>
      <x:c r="R345" s="26" t="n">
        <x:v>69.34</x:v>
      </x:c>
      <x:c r="S345" s="26" t="n">
        <x:v>518.43</x:v>
      </x:c>
    </x:row>
    <x:row r="346">
      <x:c r="A346" t="n">
        <x:v>500343</x:v>
      </x:c>
      <x:c r="B346" s="24" t="n">
        <x:v>45740</x:v>
      </x:c>
      <x:c r="C346" t="n">
        <x:v>1027</x:v>
      </x:c>
      <x:c r="D346" t="str">
        <x:v>Seller 1027</x:v>
      </x:c>
      <x:c r="E346" t="str">
        <x:v>Gold</x:v>
      </x:c>
      <x:c r="F346" t="str">
        <x:v>West</x:v>
      </x:c>
      <x:c r="G346" t="str">
        <x:v>Apparel</x:v>
      </x:c>
      <x:c r="H346" t="n">
        <x:v>1</x:v>
      </x:c>
      <x:c r="I346" s="26" t="n">
        <x:v>3977.4000000000005</x:v>
      </x:c>
      <x:c r="J346" s="26" t="n">
        <x:v>4821</x:v>
      </x:c>
      <x:c r="K346" s="28" t="n">
        <x:v>0.1102</x:v>
      </x:c>
      <x:c r="L346" s="26" t="n">
        <x:v>531.27</x:v>
      </x:c>
      <x:c r="M346" t="n">
        <x:v>0</x:v>
      </x:c>
      <x:c r="N346" s="26" t="n">
        <x:v>0</x:v>
      </x:c>
      <x:c r="O346" s="26" t="n">
        <x:v>89.19</x:v>
      </x:c>
      <x:c r="P346" s="26" t="n">
        <x:v>21.69</x:v>
      </x:c>
      <x:c r="Q346" s="26" t="n">
        <x:v>40.98</x:v>
      </x:c>
      <x:c r="R346" s="26" t="n">
        <x:v>50.62</x:v>
      </x:c>
      <x:c r="S346" s="26" t="n">
        <x:v>328.79</x:v>
      </x:c>
    </x:row>
    <x:row r="347">
      <x:c r="A347" t="n">
        <x:v>500344</x:v>
      </x:c>
      <x:c r="B347" s="24" t="n">
        <x:v>45734</x:v>
      </x:c>
      <x:c r="C347" t="n">
        <x:v>1078</x:v>
      </x:c>
      <x:c r="D347" t="str">
        <x:v>Seller 1078</x:v>
      </x:c>
      <x:c r="E347" t="str">
        <x:v>Bronze</x:v>
      </x:c>
      <x:c r="F347" t="str">
        <x:v>East</x:v>
      </x:c>
      <x:c r="G347" t="str">
        <x:v>Home &amp; Kitchen</x:v>
      </x:c>
      <x:c r="H347" t="n">
        <x:v>3</x:v>
      </x:c>
      <x:c r="I347" s="26" t="n">
        <x:v>1339.2</x:v>
      </x:c>
      <x:c r="J347" s="26" t="n">
        <x:v>2625</x:v>
      </x:c>
      <x:c r="K347" s="28" t="n">
        <x:v>0.1252</x:v>
      </x:c>
      <x:c r="L347" s="26" t="n">
        <x:v>328.65</x:v>
      </x:c>
      <x:c r="M347" t="n">
        <x:v>0</x:v>
      </x:c>
      <x:c r="N347" s="26" t="n">
        <x:v>0</x:v>
      </x:c>
      <x:c r="O347" s="26" t="n">
        <x:v>48.56</x:v>
      </x:c>
      <x:c r="P347" s="26" t="n">
        <x:v>11.81</x:v>
      </x:c>
      <x:c r="Q347" s="26" t="n">
        <x:v>22.31</x:v>
      </x:c>
      <x:c r="R347" s="26" t="n">
        <x:v>27.56</x:v>
      </x:c>
      <x:c r="S347" s="26" t="n">
        <x:v>218.4</x:v>
      </x:c>
    </x:row>
    <x:row r="348">
      <x:c r="A348" t="n">
        <x:v>500345</x:v>
      </x:c>
      <x:c r="B348" s="24" t="n">
        <x:v>45741</x:v>
      </x:c>
      <x:c r="C348" t="n">
        <x:v>1007</x:v>
      </x:c>
      <x:c r="D348" t="str">
        <x:v>Seller 1007</x:v>
      </x:c>
      <x:c r="E348" t="str">
        <x:v>Platinum</x:v>
      </x:c>
      <x:c r="F348" t="str">
        <x:v>South</x:v>
      </x:c>
      <x:c r="G348" t="str">
        <x:v>Home &amp; Kitchen</x:v>
      </x:c>
      <x:c r="H348" t="n">
        <x:v>2</x:v>
      </x:c>
      <x:c r="I348" s="26" t="n">
        <x:v>3661.2000000000003</x:v>
      </x:c>
      <x:c r="J348" s="26" t="n">
        <x:v>11962.8</x:v>
      </x:c>
      <x:c r="K348" s="28" t="n">
        <x:v>0.1237</x:v>
      </x:c>
      <x:c r="L348" s="26" t="n">
        <x:v>1479.8</x:v>
      </x:c>
      <x:c r="M348" t="n">
        <x:v>0</x:v>
      </x:c>
      <x:c r="N348" s="26" t="n">
        <x:v>0</x:v>
      </x:c>
      <x:c r="O348" s="26" t="n">
        <x:v>221.31</x:v>
      </x:c>
      <x:c r="P348" s="26" t="n">
        <x:v>53.83</x:v>
      </x:c>
      <x:c r="Q348" s="26" t="n">
        <x:v>101.68</x:v>
      </x:c>
      <x:c r="R348" s="26" t="n">
        <x:v>125.61</x:v>
      </x:c>
      <x:c r="S348" s="26" t="n">
        <x:v>977.36</x:v>
      </x:c>
    </x:row>
    <x:row r="349">
      <x:c r="A349" t="n">
        <x:v>500346</x:v>
      </x:c>
      <x:c r="B349" s="24" t="n">
        <x:v>45725</x:v>
      </x:c>
      <x:c r="C349" t="n">
        <x:v>1071</x:v>
      </x:c>
      <x:c r="D349" t="str">
        <x:v>Seller 1071</x:v>
      </x:c>
      <x:c r="E349" t="str">
        <x:v>Bronze</x:v>
      </x:c>
      <x:c r="F349" t="str">
        <x:v>Central</x:v>
      </x:c>
      <x:c r="G349" t="str">
        <x:v>Sports</x:v>
      </x:c>
      <x:c r="H349" t="n">
        <x:v>1</x:v>
      </x:c>
      <x:c r="I349" s="26" t="n">
        <x:v>4715.400000000001</x:v>
      </x:c>
      <x:c r="J349" s="26" t="n">
        <x:v>3081.6</x:v>
      </x:c>
      <x:c r="K349" s="28" t="n">
        <x:v>0.1194</x:v>
      </x:c>
      <x:c r="L349" s="26" t="n">
        <x:v>367.94</x:v>
      </x:c>
      <x:c r="M349" t="n">
        <x:v>0</x:v>
      </x:c>
      <x:c r="N349" s="26" t="n">
        <x:v>0</x:v>
      </x:c>
      <x:c r="O349" s="26" t="n">
        <x:v>57.01</x:v>
      </x:c>
      <x:c r="P349" s="26" t="n">
        <x:v>13.87</x:v>
      </x:c>
      <x:c r="Q349" s="26" t="n">
        <x:v>26.19</x:v>
      </x:c>
      <x:c r="R349" s="26" t="n">
        <x:v>32.36</x:v>
      </x:c>
      <x:c r="S349" s="26" t="n">
        <x:v>238.52</x:v>
      </x:c>
    </x:row>
    <x:row r="350">
      <x:c r="A350" t="n">
        <x:v>500347</x:v>
      </x:c>
      <x:c r="B350" s="24" t="n">
        <x:v>45747</x:v>
      </x:c>
      <x:c r="C350" t="n">
        <x:v>1017</x:v>
      </x:c>
      <x:c r="D350" t="str">
        <x:v>Seller 1017</x:v>
      </x:c>
      <x:c r="E350" t="str">
        <x:v>Gold</x:v>
      </x:c>
      <x:c r="F350" t="str">
        <x:v>East</x:v>
      </x:c>
      <x:c r="G350" t="str">
        <x:v>Electronics</x:v>
      </x:c>
      <x:c r="H350" t="n">
        <x:v>1</x:v>
      </x:c>
      <x:c r="I350" s="26" t="n">
        <x:v>9319.800000000001</x:v>
      </x:c>
      <x:c r="J350" s="26" t="n">
        <x:v>11296.8</x:v>
      </x:c>
      <x:c r="K350" s="28" t="n">
        <x:v>0.1355</x:v>
      </x:c>
      <x:c r="L350" s="26" t="n">
        <x:v>1530.72</x:v>
      </x:c>
      <x:c r="M350" t="n">
        <x:v>0</x:v>
      </x:c>
      <x:c r="N350" s="26" t="n">
        <x:v>0</x:v>
      </x:c>
      <x:c r="O350" s="26" t="n">
        <x:v>208.99</x:v>
      </x:c>
      <x:c r="P350" s="26" t="n">
        <x:v>50.84</x:v>
      </x:c>
      <x:c r="Q350" s="26" t="n">
        <x:v>96.02</x:v>
      </x:c>
      <x:c r="R350" s="26" t="n">
        <x:v>118.62</x:v>
      </x:c>
      <x:c r="S350" s="26" t="n">
        <x:v>1056.25</x:v>
      </x:c>
    </x:row>
    <x:row r="351">
      <x:c r="A351" t="n">
        <x:v>500348</x:v>
      </x:c>
      <x:c r="B351" s="24" t="n">
        <x:v>45744</x:v>
      </x:c>
      <x:c r="C351" t="n">
        <x:v>1010</x:v>
      </x:c>
      <x:c r="D351" t="str">
        <x:v>Seller 1010</x:v>
      </x:c>
      <x:c r="E351" t="str">
        <x:v>Platinum</x:v>
      </x:c>
      <x:c r="F351" t="str">
        <x:v>West</x:v>
      </x:c>
      <x:c r="G351" t="str">
        <x:v>Home &amp; Kitchen</x:v>
      </x:c>
      <x:c r="H351" t="n">
        <x:v>4</x:v>
      </x:c>
      <x:c r="I351" s="26" t="n">
        <x:v>1564.8</x:v>
      </x:c>
      <x:c r="J351" s="26" t="n">
        <x:v>10225.2</x:v>
      </x:c>
      <x:c r="K351" s="28" t="n">
        <x:v>0.1336</x:v>
      </x:c>
      <x:c r="L351" s="26" t="n">
        <x:v>1366.09</x:v>
      </x:c>
      <x:c r="M351" t="n">
        <x:v>0</x:v>
      </x:c>
      <x:c r="N351" s="26" t="n">
        <x:v>0</x:v>
      </x:c>
      <x:c r="O351" s="26" t="n">
        <x:v>189.17</x:v>
      </x:c>
      <x:c r="P351" s="26" t="n">
        <x:v>46.01</x:v>
      </x:c>
      <x:c r="Q351" s="26" t="n">
        <x:v>86.91</x:v>
      </x:c>
      <x:c r="R351" s="26" t="n">
        <x:v>107.36</x:v>
      </x:c>
      <x:c r="S351" s="26" t="n">
        <x:v>936.63</x:v>
      </x:c>
    </x:row>
    <x:row r="352">
      <x:c r="A352" t="n">
        <x:v>500349</x:v>
      </x:c>
      <x:c r="B352" s="24" t="n">
        <x:v>45733</x:v>
      </x:c>
      <x:c r="C352" t="n">
        <x:v>1043</x:v>
      </x:c>
      <x:c r="D352" t="str">
        <x:v>Seller 1043</x:v>
      </x:c>
      <x:c r="E352" t="str">
        <x:v>Silver</x:v>
      </x:c>
      <x:c r="F352" t="str">
        <x:v>West</x:v>
      </x:c>
      <x:c r="G352" t="str">
        <x:v>Sports</x:v>
      </x:c>
      <x:c r="H352" t="n">
        <x:v>2</x:v>
      </x:c>
      <x:c r="I352" s="26" t="n">
        <x:v>2238</x:v>
      </x:c>
      <x:c r="J352" s="26" t="n">
        <x:v>4152</x:v>
      </x:c>
      <x:c r="K352" s="28" t="n">
        <x:v>0.1382</x:v>
      </x:c>
      <x:c r="L352" s="26" t="n">
        <x:v>573.81</x:v>
      </x:c>
      <x:c r="M352" t="n">
        <x:v>0</x:v>
      </x:c>
      <x:c r="N352" s="26" t="n">
        <x:v>0</x:v>
      </x:c>
      <x:c r="O352" s="26" t="n">
        <x:v>76.81</x:v>
      </x:c>
      <x:c r="P352" s="26" t="n">
        <x:v>18.68</x:v>
      </x:c>
      <x:c r="Q352" s="26" t="n">
        <x:v>35.29</x:v>
      </x:c>
      <x:c r="R352" s="26" t="n">
        <x:v>43.6</x:v>
      </x:c>
      <x:c r="S352" s="26" t="n">
        <x:v>399.42</x:v>
      </x:c>
    </x:row>
    <x:row r="353">
      <x:c r="A353" t="n">
        <x:v>500350</x:v>
      </x:c>
      <x:c r="B353" s="24" t="n">
        <x:v>45722</x:v>
      </x:c>
      <x:c r="C353" t="n">
        <x:v>1004</x:v>
      </x:c>
      <x:c r="D353" t="str">
        <x:v>Seller 1004</x:v>
      </x:c>
      <x:c r="E353" t="str">
        <x:v>Platinum</x:v>
      </x:c>
      <x:c r="F353" t="str">
        <x:v>East</x:v>
      </x:c>
      <x:c r="G353" t="str">
        <x:v>Sports</x:v>
      </x:c>
      <x:c r="H353" t="n">
        <x:v>1</x:v>
      </x:c>
      <x:c r="I353" s="26" t="n">
        <x:v>4711.8</x:v>
      </x:c>
      <x:c r="J353" s="26" t="n">
        <x:v>7697.4</x:v>
      </x:c>
      <x:c r="K353" s="28" t="n">
        <x:v>0.1378</x:v>
      </x:c>
      <x:c r="L353" s="26" t="n">
        <x:v>1060.7</x:v>
      </x:c>
      <x:c r="M353" t="n">
        <x:v>0</x:v>
      </x:c>
      <x:c r="N353" s="26" t="n">
        <x:v>0</x:v>
      </x:c>
      <x:c r="O353" s="26" t="n">
        <x:v>142.4</x:v>
      </x:c>
      <x:c r="P353" s="26" t="n">
        <x:v>34.64</x:v>
      </x:c>
      <x:c r="Q353" s="26" t="n">
        <x:v>65.43</x:v>
      </x:c>
      <x:c r="R353" s="26" t="n">
        <x:v>80.82</x:v>
      </x:c>
      <x:c r="S353" s="26" t="n">
        <x:v>737.41</x:v>
      </x:c>
    </x:row>
    <x:row r="354">
      <x:c r="A354" t="n">
        <x:v>500351</x:v>
      </x:c>
      <x:c r="B354" s="24" t="n">
        <x:v>45720</x:v>
      </x:c>
      <x:c r="C354" t="n">
        <x:v>1005</x:v>
      </x:c>
      <x:c r="D354" t="str">
        <x:v>Seller 1005</x:v>
      </x:c>
      <x:c r="E354" t="str">
        <x:v>Platinum</x:v>
      </x:c>
      <x:c r="F354" t="str">
        <x:v>East</x:v>
      </x:c>
      <x:c r="G354" t="str">
        <x:v>Electronics</x:v>
      </x:c>
      <x:c r="H354" t="n">
        <x:v>1</x:v>
      </x:c>
      <x:c r="I354" s="26" t="n">
        <x:v>8026.200000000001</x:v>
      </x:c>
      <x:c r="J354" s="26" t="n">
        <x:v>13113</x:v>
      </x:c>
      <x:c r="K354" s="28" t="n">
        <x:v>0.125</x:v>
      </x:c>
      <x:c r="L354" s="26" t="n">
        <x:v>1639.12</x:v>
      </x:c>
      <x:c r="M354" t="n">
        <x:v>0</x:v>
      </x:c>
      <x:c r="N354" s="26" t="n">
        <x:v>0</x:v>
      </x:c>
      <x:c r="O354" s="26" t="n">
        <x:v>242.59</x:v>
      </x:c>
      <x:c r="P354" s="26" t="n">
        <x:v>59.01</x:v>
      </x:c>
      <x:c r="Q354" s="26" t="n">
        <x:v>111.46</x:v>
      </x:c>
      <x:c r="R354" s="26" t="n">
        <x:v>137.69</x:v>
      </x:c>
      <x:c r="S354" s="26" t="n">
        <x:v>1088.38</x:v>
      </x:c>
    </x:row>
    <x:row r="355">
      <x:c r="A355" t="n">
        <x:v>500352</x:v>
      </x:c>
      <x:c r="B355" s="24" t="n">
        <x:v>45735</x:v>
      </x:c>
      <x:c r="C355" t="n">
        <x:v>1036</x:v>
      </x:c>
      <x:c r="D355" t="str">
        <x:v>Seller 1036</x:v>
      </x:c>
      <x:c r="E355" t="str">
        <x:v>Silver</x:v>
      </x:c>
      <x:c r="F355" t="str">
        <x:v>Central</x:v>
      </x:c>
      <x:c r="G355" t="str">
        <x:v>Pet Supplies</x:v>
      </x:c>
      <x:c r="H355" t="n">
        <x:v>1</x:v>
      </x:c>
      <x:c r="I355" s="26" t="n">
        <x:v>3294</x:v>
      </x:c>
      <x:c r="J355" s="26" t="n">
        <x:v>3055.2</x:v>
      </x:c>
      <x:c r="K355" s="28" t="n">
        <x:v>0.1391</x:v>
      </x:c>
      <x:c r="L355" s="26" t="n">
        <x:v>424.98</x:v>
      </x:c>
      <x:c r="M355" t="n">
        <x:v>0</x:v>
      </x:c>
      <x:c r="N355" s="26" t="n">
        <x:v>0</x:v>
      </x:c>
      <x:c r="O355" s="26" t="n">
        <x:v>56.52</x:v>
      </x:c>
      <x:c r="P355" s="26" t="n">
        <x:v>13.75</x:v>
      </x:c>
      <x:c r="Q355" s="26" t="n">
        <x:v>25.97</x:v>
      </x:c>
      <x:c r="R355" s="26" t="n">
        <x:v>32.08</x:v>
      </x:c>
      <x:c r="S355" s="26" t="n">
        <x:v>296.66</x:v>
      </x:c>
    </x:row>
    <x:row r="356">
      <x:c r="A356" t="n">
        <x:v>500353</x:v>
      </x:c>
      <x:c r="B356" s="24" t="n">
        <x:v>45730</x:v>
      </x:c>
      <x:c r="C356" t="n">
        <x:v>1003</x:v>
      </x:c>
      <x:c r="D356" t="str">
        <x:v>Seller 1003</x:v>
      </x:c>
      <x:c r="E356" t="str">
        <x:v>Platinum</x:v>
      </x:c>
      <x:c r="F356" t="str">
        <x:v>East</x:v>
      </x:c>
      <x:c r="G356" t="str">
        <x:v>Pet Supplies</x:v>
      </x:c>
      <x:c r="H356" t="n">
        <x:v>1</x:v>
      </x:c>
      <x:c r="I356" s="26" t="n">
        <x:v>3362.4</x:v>
      </x:c>
      <x:c r="J356" s="26" t="n">
        <x:v>5493</x:v>
      </x:c>
      <x:c r="K356" s="28" t="n">
        <x:v>0.1316</x:v>
      </x:c>
      <x:c r="L356" s="26" t="n">
        <x:v>722.88</x:v>
      </x:c>
      <x:c r="M356" t="n">
        <x:v>0</x:v>
      </x:c>
      <x:c r="N356" s="26" t="n">
        <x:v>0</x:v>
      </x:c>
      <x:c r="O356" s="26" t="n">
        <x:v>101.62</x:v>
      </x:c>
      <x:c r="P356" s="26" t="n">
        <x:v>24.72</x:v>
      </x:c>
      <x:c r="Q356" s="26" t="n">
        <x:v>46.69</x:v>
      </x:c>
      <x:c r="R356" s="26" t="n">
        <x:v>57.68</x:v>
      </x:c>
      <x:c r="S356" s="26" t="n">
        <x:v>492.17</x:v>
      </x:c>
    </x:row>
    <x:row r="357">
      <x:c r="A357" t="n">
        <x:v>500354</x:v>
      </x:c>
      <x:c r="B357" s="24" t="n">
        <x:v>45734</x:v>
      </x:c>
      <x:c r="C357" t="n">
        <x:v>1035</x:v>
      </x:c>
      <x:c r="D357" t="str">
        <x:v>Seller 1035</x:v>
      </x:c>
      <x:c r="E357" t="str">
        <x:v>Silver</x:v>
      </x:c>
      <x:c r="F357" t="str">
        <x:v>East</x:v>
      </x:c>
      <x:c r="G357" t="str">
        <x:v>Electronics</x:v>
      </x:c>
      <x:c r="H357" t="n">
        <x:v>2</x:v>
      </x:c>
      <x:c r="I357" s="26" t="n">
        <x:v>4794</x:v>
      </x:c>
      <x:c r="J357" s="26" t="n">
        <x:v>8893.8</x:v>
      </x:c>
      <x:c r="K357" s="28" t="n">
        <x:v>0.1345</x:v>
      </x:c>
      <x:c r="L357" s="26" t="n">
        <x:v>1196.22</x:v>
      </x:c>
      <x:c r="M357" t="n">
        <x:v>1</x:v>
      </x:c>
      <x:c r="N357" s="26" t="n">
        <x:v>8860.2</x:v>
      </x:c>
      <x:c r="O357" s="26" t="n">
        <x:v>164.54</x:v>
      </x:c>
      <x:c r="P357" s="26" t="n">
        <x:v>40.02</x:v>
      </x:c>
      <x:c r="Q357" s="26" t="n">
        <x:v>75.6</x:v>
      </x:c>
      <x:c r="R357" s="26" t="n">
        <x:v>93.38</x:v>
      </x:c>
      <x:c r="S357" s="26" t="n">
        <x:v>645.47</x:v>
      </x:c>
    </x:row>
    <x:row r="358">
      <x:c r="A358" t="n">
        <x:v>500355</x:v>
      </x:c>
      <x:c r="B358" s="24" t="n">
        <x:v>45747</x:v>
      </x:c>
      <x:c r="C358" t="n">
        <x:v>1046</x:v>
      </x:c>
      <x:c r="D358" t="str">
        <x:v>Seller 1046</x:v>
      </x:c>
      <x:c r="E358" t="str">
        <x:v>Silver</x:v>
      </x:c>
      <x:c r="F358" t="str">
        <x:v>Central</x:v>
      </x:c>
      <x:c r="G358" t="str">
        <x:v>Home &amp; Kitchen</x:v>
      </x:c>
      <x:c r="H358" t="n">
        <x:v>3</x:v>
      </x:c>
      <x:c r="I358" s="26" t="n">
        <x:v>1610.4</x:v>
      </x:c>
      <x:c r="J358" s="26" t="n">
        <x:v>4481.4</x:v>
      </x:c>
      <x:c r="K358" s="28" t="n">
        <x:v>0.1388</x:v>
      </x:c>
      <x:c r="L358" s="26" t="n">
        <x:v>622.02</x:v>
      </x:c>
      <x:c r="M358" t="n">
        <x:v>0</x:v>
      </x:c>
      <x:c r="N358" s="26" t="n">
        <x:v>0</x:v>
      </x:c>
      <x:c r="O358" s="26" t="n">
        <x:v>82.91</x:v>
      </x:c>
      <x:c r="P358" s="26" t="n">
        <x:v>20.17</x:v>
      </x:c>
      <x:c r="Q358" s="26" t="n">
        <x:v>38.09</x:v>
      </x:c>
      <x:c r="R358" s="26" t="n">
        <x:v>47.05</x:v>
      </x:c>
      <x:c r="S358" s="26" t="n">
        <x:v>433.8</x:v>
      </x:c>
    </x:row>
    <x:row r="359">
      <x:c r="A359" t="n">
        <x:v>500356</x:v>
      </x:c>
      <x:c r="B359" s="24" t="n">
        <x:v>45723</x:v>
      </x:c>
      <x:c r="C359" t="n">
        <x:v>1008</x:v>
      </x:c>
      <x:c r="D359" t="str">
        <x:v>Seller 1008</x:v>
      </x:c>
      <x:c r="E359" t="str">
        <x:v>Platinum</x:v>
      </x:c>
      <x:c r="F359" t="str">
        <x:v>West</x:v>
      </x:c>
      <x:c r="G359" t="str">
        <x:v>Home &amp; Kitchen</x:v>
      </x:c>
      <x:c r="H359" t="n">
        <x:v>1</x:v>
      </x:c>
      <x:c r="I359" s="26" t="n">
        <x:v>4407</x:v>
      </x:c>
      <x:c r="J359" s="26" t="n">
        <x:v>7199.4</x:v>
      </x:c>
      <x:c r="K359" s="28" t="n">
        <x:v>0.1323</x:v>
      </x:c>
      <x:c r="L359" s="26" t="n">
        <x:v>952.48</x:v>
      </x:c>
      <x:c r="M359" t="n">
        <x:v>0</x:v>
      </x:c>
      <x:c r="N359" s="26" t="n">
        <x:v>0</x:v>
      </x:c>
      <x:c r="O359" s="26" t="n">
        <x:v>133.19</x:v>
      </x:c>
      <x:c r="P359" s="26" t="n">
        <x:v>32.4</x:v>
      </x:c>
      <x:c r="Q359" s="26" t="n">
        <x:v>61.19</x:v>
      </x:c>
      <x:c r="R359" s="26" t="n">
        <x:v>75.59</x:v>
      </x:c>
      <x:c r="S359" s="26" t="n">
        <x:v>650.11</x:v>
      </x:c>
    </x:row>
    <x:row r="360">
      <x:c r="A360" t="n">
        <x:v>500357</x:v>
      </x:c>
      <x:c r="B360" s="24" t="n">
        <x:v>45729</x:v>
      </x:c>
      <x:c r="C360" t="n">
        <x:v>1023</x:v>
      </x:c>
      <x:c r="D360" t="str">
        <x:v>Seller 1023</x:v>
      </x:c>
      <x:c r="E360" t="str">
        <x:v>Gold</x:v>
      </x:c>
      <x:c r="F360" t="str">
        <x:v>Central</x:v>
      </x:c>
      <x:c r="G360" t="str">
        <x:v>Home &amp; Kitchen</x:v>
      </x:c>
      <x:c r="H360" t="n">
        <x:v>1</x:v>
      </x:c>
      <x:c r="I360" s="26" t="n">
        <x:v>5506.2</x:v>
      </x:c>
      <x:c r="J360" s="26" t="n">
        <x:v>6674.4</x:v>
      </x:c>
      <x:c r="K360" s="28" t="n">
        <x:v>0.1316</x:v>
      </x:c>
      <x:c r="L360" s="26" t="n">
        <x:v>878.35</x:v>
      </x:c>
      <x:c r="M360" t="n">
        <x:v>0</x:v>
      </x:c>
      <x:c r="N360" s="26" t="n">
        <x:v>0</x:v>
      </x:c>
      <x:c r="O360" s="26" t="n">
        <x:v>123.48</x:v>
      </x:c>
      <x:c r="P360" s="26" t="n">
        <x:v>30.03</x:v>
      </x:c>
      <x:c r="Q360" s="26" t="n">
        <x:v>56.73</x:v>
      </x:c>
      <x:c r="R360" s="26" t="n">
        <x:v>70.08</x:v>
      </x:c>
      <x:c r="S360" s="26" t="n">
        <x:v>598.03</x:v>
      </x:c>
    </x:row>
    <x:row r="361">
      <x:c r="A361" t="n">
        <x:v>500358</x:v>
      </x:c>
      <x:c r="B361" s="24" t="n">
        <x:v>45727</x:v>
      </x:c>
      <x:c r="C361" t="n">
        <x:v>1073</x:v>
      </x:c>
      <x:c r="D361" t="str">
        <x:v>Seller 1073</x:v>
      </x:c>
      <x:c r="E361" t="str">
        <x:v>Bronze</x:v>
      </x:c>
      <x:c r="F361" t="str">
        <x:v>Central</x:v>
      </x:c>
      <x:c r="G361" t="str">
        <x:v>Electronics</x:v>
      </x:c>
      <x:c r="H361" t="n">
        <x:v>2</x:v>
      </x:c>
      <x:c r="I361" s="26" t="n">
        <x:v>4176.6</x:v>
      </x:c>
      <x:c r="J361" s="26" t="n">
        <x:v>5458.8</x:v>
      </x:c>
      <x:c r="K361" s="28" t="n">
        <x:v>0.1367</x:v>
      </x:c>
      <x:c r="L361" s="26" t="n">
        <x:v>746.22</x:v>
      </x:c>
      <x:c r="M361" t="n">
        <x:v>0</x:v>
      </x:c>
      <x:c r="N361" s="26" t="n">
        <x:v>0</x:v>
      </x:c>
      <x:c r="O361" s="26" t="n">
        <x:v>100.99</x:v>
      </x:c>
      <x:c r="P361" s="26" t="n">
        <x:v>24.56</x:v>
      </x:c>
      <x:c r="Q361" s="26" t="n">
        <x:v>46.4</x:v>
      </x:c>
      <x:c r="R361" s="26" t="n">
        <x:v>57.32</x:v>
      </x:c>
      <x:c r="S361" s="26" t="n">
        <x:v>516.95</x:v>
      </x:c>
    </x:row>
    <x:row r="362">
      <x:c r="A362" t="n">
        <x:v>500359</x:v>
      </x:c>
      <x:c r="B362" s="24" t="n">
        <x:v>45724</x:v>
      </x:c>
      <x:c r="C362" t="n">
        <x:v>1023</x:v>
      </x:c>
      <x:c r="D362" t="str">
        <x:v>Seller 1023</x:v>
      </x:c>
      <x:c r="E362" t="str">
        <x:v>Gold</x:v>
      </x:c>
      <x:c r="F362" t="str">
        <x:v>Central</x:v>
      </x:c>
      <x:c r="G362" t="str">
        <x:v>Home &amp; Kitchen</x:v>
      </x:c>
      <x:c r="H362" t="n">
        <x:v>3</x:v>
      </x:c>
      <x:c r="I362" s="26" t="n">
        <x:v>1794</x:v>
      </x:c>
      <x:c r="J362" s="26" t="n">
        <x:v>6523.2</x:v>
      </x:c>
      <x:c r="K362" s="28" t="n">
        <x:v>0.1283</x:v>
      </x:c>
      <x:c r="L362" s="26" t="n">
        <x:v>836.93</x:v>
      </x:c>
      <x:c r="M362" t="n">
        <x:v>1</x:v>
      </x:c>
      <x:c r="N362" s="26" t="n">
        <x:v>6282</x:v>
      </x:c>
      <x:c r="O362" s="26" t="n">
        <x:v>120.68</x:v>
      </x:c>
      <x:c r="P362" s="26" t="n">
        <x:v>29.35</x:v>
      </x:c>
      <x:c r="Q362" s="26" t="n">
        <x:v>55.45</x:v>
      </x:c>
      <x:c r="R362" s="26" t="n">
        <x:v>68.49</x:v>
      </x:c>
      <x:c r="S362" s="26" t="n">
        <x:v>437.31</x:v>
      </x:c>
    </x:row>
    <x:row r="363">
      <x:c r="A363" t="n">
        <x:v>500360</x:v>
      </x:c>
      <x:c r="B363" s="24" t="n">
        <x:v>45740</x:v>
      </x:c>
      <x:c r="C363" t="n">
        <x:v>1017</x:v>
      </x:c>
      <x:c r="D363" t="str">
        <x:v>Seller 1017</x:v>
      </x:c>
      <x:c r="E363" t="str">
        <x:v>Gold</x:v>
      </x:c>
      <x:c r="F363" t="str">
        <x:v>East</x:v>
      </x:c>
      <x:c r="G363" t="str">
        <x:v>Electronics</x:v>
      </x:c>
      <x:c r="H363" t="n">
        <x:v>3</x:v>
      </x:c>
      <x:c r="I363" s="26" t="n">
        <x:v>4025.4</x:v>
      </x:c>
      <x:c r="J363" s="26" t="n">
        <x:v>14638.2</x:v>
      </x:c>
      <x:c r="K363" s="28" t="n">
        <x:v>0.1338</x:v>
      </x:c>
      <x:c r="L363" s="26" t="n">
        <x:v>1958.59</x:v>
      </x:c>
      <x:c r="M363" t="n">
        <x:v>0</x:v>
      </x:c>
      <x:c r="N363" s="26" t="n">
        <x:v>0</x:v>
      </x:c>
      <x:c r="O363" s="26" t="n">
        <x:v>270.81</x:v>
      </x:c>
      <x:c r="P363" s="26" t="n">
        <x:v>65.87</x:v>
      </x:c>
      <x:c r="Q363" s="26" t="n">
        <x:v>124.42</x:v>
      </x:c>
      <x:c r="R363" s="26" t="n">
        <x:v>153.7</x:v>
      </x:c>
      <x:c r="S363" s="26" t="n">
        <x:v>1343.79</x:v>
      </x:c>
    </x:row>
    <x:row r="364">
      <x:c r="A364" t="n">
        <x:v>500361</x:v>
      </x:c>
      <x:c r="B364" s="24" t="n">
        <x:v>45721</x:v>
      </x:c>
      <x:c r="C364" t="n">
        <x:v>1019</x:v>
      </x:c>
      <x:c r="D364" t="str">
        <x:v>Seller 1019</x:v>
      </x:c>
      <x:c r="E364" t="str">
        <x:v>Gold</x:v>
      </x:c>
      <x:c r="F364" t="str">
        <x:v>East</x:v>
      </x:c>
      <x:c r="G364" t="str">
        <x:v>Sports</x:v>
      </x:c>
      <x:c r="H364" t="n">
        <x:v>4</x:v>
      </x:c>
      <x:c r="I364" s="26" t="n">
        <x:v>480</x:v>
      </x:c>
      <x:c r="J364" s="26" t="n">
        <x:v>2327.4</x:v>
      </x:c>
      <x:c r="K364" s="28" t="n">
        <x:v>0.125</x:v>
      </x:c>
      <x:c r="L364" s="26" t="n">
        <x:v>290.93</x:v>
      </x:c>
      <x:c r="M364" t="n">
        <x:v>0</x:v>
      </x:c>
      <x:c r="N364" s="26" t="n">
        <x:v>0</x:v>
      </x:c>
      <x:c r="O364" s="26" t="n">
        <x:v>43.06</x:v>
      </x:c>
      <x:c r="P364" s="26" t="n">
        <x:v>10.47</x:v>
      </x:c>
      <x:c r="Q364" s="26" t="n">
        <x:v>19.78</x:v>
      </x:c>
      <x:c r="R364" s="26" t="n">
        <x:v>24.44</x:v>
      </x:c>
      <x:c r="S364" s="26" t="n">
        <x:v>193.17</x:v>
      </x:c>
    </x:row>
    <x:row r="365">
      <x:c r="A365" t="n">
        <x:v>500362</x:v>
      </x:c>
      <x:c r="B365" s="24" t="n">
        <x:v>45738</x:v>
      </x:c>
      <x:c r="C365" t="n">
        <x:v>1044</x:v>
      </x:c>
      <x:c r="D365" t="str">
        <x:v>Seller 1044</x:v>
      </x:c>
      <x:c r="E365" t="str">
        <x:v>Silver</x:v>
      </x:c>
      <x:c r="F365" t="str">
        <x:v>East</x:v>
      </x:c>
      <x:c r="G365" t="str">
        <x:v>Pet Supplies</x:v>
      </x:c>
      <x:c r="H365" t="n">
        <x:v>2</x:v>
      </x:c>
      <x:c r="I365" s="26" t="n">
        <x:v>1670.4</x:v>
      </x:c>
      <x:c r="J365" s="26" t="n">
        <x:v>3099</x:v>
      </x:c>
      <x:c r="K365" s="28" t="n">
        <x:v>0.1428</x:v>
      </x:c>
      <x:c r="L365" s="26" t="n">
        <x:v>442.54</x:v>
      </x:c>
      <x:c r="M365" t="n">
        <x:v>0</x:v>
      </x:c>
      <x:c r="N365" s="26" t="n">
        <x:v>0</x:v>
      </x:c>
      <x:c r="O365" s="26" t="n">
        <x:v>57.33</x:v>
      </x:c>
      <x:c r="P365" s="26" t="n">
        <x:v>13.95</x:v>
      </x:c>
      <x:c r="Q365" s="26" t="n">
        <x:v>26.34</x:v>
      </x:c>
      <x:c r="R365" s="26" t="n">
        <x:v>32.54</x:v>
      </x:c>
      <x:c r="S365" s="26" t="n">
        <x:v>312.38</x:v>
      </x:c>
    </x:row>
    <x:row r="366">
      <x:c r="A366" t="n">
        <x:v>500363</x:v>
      </x:c>
      <x:c r="B366" s="24" t="n">
        <x:v>45736</x:v>
      </x:c>
      <x:c r="C366" t="n">
        <x:v>1041</x:v>
      </x:c>
      <x:c r="D366" t="str">
        <x:v>Seller 1041</x:v>
      </x:c>
      <x:c r="E366" t="str">
        <x:v>Silver</x:v>
      </x:c>
      <x:c r="F366" t="str">
        <x:v>West</x:v>
      </x:c>
      <x:c r="G366" t="str">
        <x:v>Apparel</x:v>
      </x:c>
      <x:c r="H366" t="n">
        <x:v>3</x:v>
      </x:c>
      <x:c r="I366" s="26" t="n">
        <x:v>1188</x:v>
      </x:c>
      <x:c r="J366" s="26" t="n">
        <x:v>3305.4</x:v>
      </x:c>
      <x:c r="K366" s="28" t="n">
        <x:v>0.1303</x:v>
      </x:c>
      <x:c r="L366" s="26" t="n">
        <x:v>430.69</x:v>
      </x:c>
      <x:c r="M366" t="n">
        <x:v>0</x:v>
      </x:c>
      <x:c r="N366" s="26" t="n">
        <x:v>0</x:v>
      </x:c>
      <x:c r="O366" s="26" t="n">
        <x:v>61.15</x:v>
      </x:c>
      <x:c r="P366" s="26" t="n">
        <x:v>14.87</x:v>
      </x:c>
      <x:c r="Q366" s="26" t="n">
        <x:v>28.1</x:v>
      </x:c>
      <x:c r="R366" s="26" t="n">
        <x:v>34.71</x:v>
      </x:c>
      <x:c r="S366" s="26" t="n">
        <x:v>291.87</x:v>
      </x:c>
    </x:row>
    <x:row r="367">
      <x:c r="A367" t="n">
        <x:v>500364</x:v>
      </x:c>
      <x:c r="B367" s="24" t="n">
        <x:v>45736</x:v>
      </x:c>
      <x:c r="C367" t="n">
        <x:v>1023</x:v>
      </x:c>
      <x:c r="D367" t="str">
        <x:v>Seller 1023</x:v>
      </x:c>
      <x:c r="E367" t="str">
        <x:v>Gold</x:v>
      </x:c>
      <x:c r="F367" t="str">
        <x:v>Central</x:v>
      </x:c>
      <x:c r="G367" t="str">
        <x:v>Home &amp; Kitchen</x:v>
      </x:c>
      <x:c r="H367" t="n">
        <x:v>2</x:v>
      </x:c>
      <x:c r="I367" s="26" t="n">
        <x:v>2133</x:v>
      </x:c>
      <x:c r="J367" s="26" t="n">
        <x:v>5170.8</x:v>
      </x:c>
      <x:c r="K367" s="28" t="n">
        <x:v>0.1273</x:v>
      </x:c>
      <x:c r="L367" s="26" t="n">
        <x:v>658.24</x:v>
      </x:c>
      <x:c r="M367" t="n">
        <x:v>0</x:v>
      </x:c>
      <x:c r="N367" s="26" t="n">
        <x:v>0</x:v>
      </x:c>
      <x:c r="O367" s="26" t="n">
        <x:v>95.66</x:v>
      </x:c>
      <x:c r="P367" s="26" t="n">
        <x:v>23.27</x:v>
      </x:c>
      <x:c r="Q367" s="26" t="n">
        <x:v>43.95</x:v>
      </x:c>
      <x:c r="R367" s="26" t="n">
        <x:v>54.29</x:v>
      </x:c>
      <x:c r="S367" s="26" t="n">
        <x:v>441.07</x:v>
      </x:c>
    </x:row>
    <x:row r="368">
      <x:c r="A368" t="n">
        <x:v>500365</x:v>
      </x:c>
      <x:c r="B368" s="24" t="n">
        <x:v>45736</x:v>
      </x:c>
      <x:c r="C368" t="n">
        <x:v>1051</x:v>
      </x:c>
      <x:c r="D368" t="str">
        <x:v>Seller 1051</x:v>
      </x:c>
      <x:c r="E368" t="str">
        <x:v>Silver</x:v>
      </x:c>
      <x:c r="F368" t="str">
        <x:v>East</x:v>
      </x:c>
      <x:c r="G368" t="str">
        <x:v>Sports</x:v>
      </x:c>
      <x:c r="H368" t="n">
        <x:v>3</x:v>
      </x:c>
      <x:c r="I368" s="26" t="n">
        <x:v>1620</x:v>
      </x:c>
      <x:c r="J368" s="26" t="n">
        <x:v>4508.4</x:v>
      </x:c>
      <x:c r="K368" s="28" t="n">
        <x:v>0.1381</x:v>
      </x:c>
      <x:c r="L368" s="26" t="n">
        <x:v>622.61</x:v>
      </x:c>
      <x:c r="M368" t="n">
        <x:v>0</x:v>
      </x:c>
      <x:c r="N368" s="26" t="n">
        <x:v>0</x:v>
      </x:c>
      <x:c r="O368" s="26" t="n">
        <x:v>83.41</x:v>
      </x:c>
      <x:c r="P368" s="26" t="n">
        <x:v>20.29</x:v>
      </x:c>
      <x:c r="Q368" s="26" t="n">
        <x:v>38.32</x:v>
      </x:c>
      <x:c r="R368" s="26" t="n">
        <x:v>47.34</x:v>
      </x:c>
      <x:c r="S368" s="26" t="n">
        <x:v>433.26</x:v>
      </x:c>
    </x:row>
    <x:row r="369">
      <x:c r="A369" t="n">
        <x:v>500366</x:v>
      </x:c>
      <x:c r="B369" s="24" t="n">
        <x:v>45720</x:v>
      </x:c>
      <x:c r="C369" t="n">
        <x:v>1014</x:v>
      </x:c>
      <x:c r="D369" t="str">
        <x:v>Seller 1014</x:v>
      </x:c>
      <x:c r="E369" t="str">
        <x:v>Gold</x:v>
      </x:c>
      <x:c r="F369" t="str">
        <x:v>East</x:v>
      </x:c>
      <x:c r="G369" t="str">
        <x:v>Home &amp; Kitchen</x:v>
      </x:c>
      <x:c r="H369" t="n">
        <x:v>2</x:v>
      </x:c>
      <x:c r="I369" s="26" t="n">
        <x:v>2598</x:v>
      </x:c>
      <x:c r="J369" s="26" t="n">
        <x:v>6298.8</x:v>
      </x:c>
      <x:c r="K369" s="28" t="n">
        <x:v>0.1313</x:v>
      </x:c>
      <x:c r="L369" s="26" t="n">
        <x:v>827.03</x:v>
      </x:c>
      <x:c r="M369" t="n">
        <x:v>0</x:v>
      </x:c>
      <x:c r="N369" s="26" t="n">
        <x:v>0</x:v>
      </x:c>
      <x:c r="O369" s="26" t="n">
        <x:v>116.53</x:v>
      </x:c>
      <x:c r="P369" s="26" t="n">
        <x:v>28.34</x:v>
      </x:c>
      <x:c r="Q369" s="26" t="n">
        <x:v>53.54</x:v>
      </x:c>
      <x:c r="R369" s="26" t="n">
        <x:v>66.14</x:v>
      </x:c>
      <x:c r="S369" s="26" t="n">
        <x:v>562.48</x:v>
      </x:c>
    </x:row>
    <x:row r="370">
      <x:c r="A370" t="n">
        <x:v>500367</x:v>
      </x:c>
      <x:c r="B370" s="24" t="n">
        <x:v>45718</x:v>
      </x:c>
      <x:c r="C370" t="n">
        <x:v>1043</x:v>
      </x:c>
      <x:c r="D370" t="str">
        <x:v>Seller 1043</x:v>
      </x:c>
      <x:c r="E370" t="str">
        <x:v>Silver</x:v>
      </x:c>
      <x:c r="F370" t="str">
        <x:v>West</x:v>
      </x:c>
      <x:c r="G370" t="str">
        <x:v>Sports</x:v>
      </x:c>
      <x:c r="H370" t="n">
        <x:v>2</x:v>
      </x:c>
      <x:c r="I370" s="26" t="n">
        <x:v>2555.4</x:v>
      </x:c>
      <x:c r="J370" s="26" t="n">
        <x:v>4740</x:v>
      </x:c>
      <x:c r="K370" s="28" t="n">
        <x:v>0.1176</x:v>
      </x:c>
      <x:c r="L370" s="26" t="n">
        <x:v>557.42</x:v>
      </x:c>
      <x:c r="M370" t="n">
        <x:v>0</x:v>
      </x:c>
      <x:c r="N370" s="26" t="n">
        <x:v>0</x:v>
      </x:c>
      <x:c r="O370" s="26" t="n">
        <x:v>87.69</x:v>
      </x:c>
      <x:c r="P370" s="26" t="n">
        <x:v>21.33</x:v>
      </x:c>
      <x:c r="Q370" s="26" t="n">
        <x:v>40.29</x:v>
      </x:c>
      <x:c r="R370" s="26" t="n">
        <x:v>49.77</x:v>
      </x:c>
      <x:c r="S370" s="26" t="n">
        <x:v>358.34</x:v>
      </x:c>
    </x:row>
    <x:row r="371">
      <x:c r="A371" t="n">
        <x:v>500368</x:v>
      </x:c>
      <x:c r="B371" s="24" t="n">
        <x:v>45735</x:v>
      </x:c>
      <x:c r="C371" t="n">
        <x:v>1007</x:v>
      </x:c>
      <x:c r="D371" t="str">
        <x:v>Seller 1007</x:v>
      </x:c>
      <x:c r="E371" t="str">
        <x:v>Platinum</x:v>
      </x:c>
      <x:c r="F371" t="str">
        <x:v>South</x:v>
      </x:c>
      <x:c r="G371" t="str">
        <x:v>Home &amp; Kitchen</x:v>
      </x:c>
      <x:c r="H371" t="n">
        <x:v>2</x:v>
      </x:c>
      <x:c r="I371" s="26" t="n">
        <x:v>1428</x:v>
      </x:c>
      <x:c r="J371" s="26" t="n">
        <x:v>4666.8</x:v>
      </x:c>
      <x:c r="K371" s="28" t="n">
        <x:v>0.1442</x:v>
      </x:c>
      <x:c r="L371" s="26" t="n">
        <x:v>672.95</x:v>
      </x:c>
      <x:c r="M371" t="n">
        <x:v>0</x:v>
      </x:c>
      <x:c r="N371" s="26" t="n">
        <x:v>0</x:v>
      </x:c>
      <x:c r="O371" s="26" t="n">
        <x:v>86.34</x:v>
      </x:c>
      <x:c r="P371" s="26" t="n">
        <x:v>21</x:v>
      </x:c>
      <x:c r="Q371" s="26" t="n">
        <x:v>39.67</x:v>
      </x:c>
      <x:c r="R371" s="26" t="n">
        <x:v>49</x:v>
      </x:c>
      <x:c r="S371" s="26" t="n">
        <x:v>476.95</x:v>
      </x:c>
    </x:row>
    <x:row r="372">
      <x:c r="A372" t="n">
        <x:v>500369</x:v>
      </x:c>
      <x:c r="B372" s="24" t="n">
        <x:v>45720</x:v>
      </x:c>
      <x:c r="C372" t="n">
        <x:v>1049</x:v>
      </x:c>
      <x:c r="D372" t="str">
        <x:v>Seller 1049</x:v>
      </x:c>
      <x:c r="E372" t="str">
        <x:v>Silver</x:v>
      </x:c>
      <x:c r="F372" t="str">
        <x:v>West</x:v>
      </x:c>
      <x:c r="G372" t="str">
        <x:v>Home &amp; Kitchen</x:v>
      </x:c>
      <x:c r="H372" t="n">
        <x:v>1</x:v>
      </x:c>
      <x:c r="I372" s="26" t="n">
        <x:v>5020.8</x:v>
      </x:c>
      <x:c r="J372" s="26" t="n">
        <x:v>4657.2</x:v>
      </x:c>
      <x:c r="K372" s="28" t="n">
        <x:v>0.1386</x:v>
      </x:c>
      <x:c r="L372" s="26" t="n">
        <x:v>645.49</x:v>
      </x:c>
      <x:c r="M372" t="n">
        <x:v>0</x:v>
      </x:c>
      <x:c r="N372" s="26" t="n">
        <x:v>0</x:v>
      </x:c>
      <x:c r="O372" s="26" t="n">
        <x:v>86.16</x:v>
      </x:c>
      <x:c r="P372" s="26" t="n">
        <x:v>20.96</x:v>
      </x:c>
      <x:c r="Q372" s="26" t="n">
        <x:v>39.59</x:v>
      </x:c>
      <x:c r="R372" s="26" t="n">
        <x:v>48.9</x:v>
      </x:c>
      <x:c r="S372" s="26" t="n">
        <x:v>449.89</x:v>
      </x:c>
    </x:row>
    <x:row r="373">
      <x:c r="A373" t="n">
        <x:v>500370</x:v>
      </x:c>
      <x:c r="B373" s="24" t="n">
        <x:v>45741</x:v>
      </x:c>
      <x:c r="C373" t="n">
        <x:v>1005</x:v>
      </x:c>
      <x:c r="D373" t="str">
        <x:v>Seller 1005</x:v>
      </x:c>
      <x:c r="E373" t="str">
        <x:v>Platinum</x:v>
      </x:c>
      <x:c r="F373" t="str">
        <x:v>East</x:v>
      </x:c>
      <x:c r="G373" t="str">
        <x:v>Electronics</x:v>
      </x:c>
      <x:c r="H373" t="n">
        <x:v>1</x:v>
      </x:c>
      <x:c r="I373" s="26" t="n">
        <x:v>10255.800000000001</x:v>
      </x:c>
      <x:c r="J373" s="26" t="n">
        <x:v>16755.6</x:v>
      </x:c>
      <x:c r="K373" s="28" t="n">
        <x:v>0.1148</x:v>
      </x:c>
      <x:c r="L373" s="26" t="n">
        <x:v>1923.54</x:v>
      </x:c>
      <x:c r="M373" t="n">
        <x:v>0</x:v>
      </x:c>
      <x:c r="N373" s="26" t="n">
        <x:v>0</x:v>
      </x:c>
      <x:c r="O373" s="26" t="n">
        <x:v>309.98</x:v>
      </x:c>
      <x:c r="P373" s="26" t="n">
        <x:v>75.4</x:v>
      </x:c>
      <x:c r="Q373" s="26" t="n">
        <x:v>142.42</x:v>
      </x:c>
      <x:c r="R373" s="26" t="n">
        <x:v>175.93</x:v>
      </x:c>
      <x:c r="S373" s="26" t="n">
        <x:v>1219.81</x:v>
      </x:c>
    </x:row>
    <x:row r="374">
      <x:c r="A374" t="n">
        <x:v>500371</x:v>
      </x:c>
      <x:c r="B374" s="24" t="n">
        <x:v>45718</x:v>
      </x:c>
      <x:c r="C374" t="n">
        <x:v>1010</x:v>
      </x:c>
      <x:c r="D374" t="str">
        <x:v>Seller 1010</x:v>
      </x:c>
      <x:c r="E374" t="str">
        <x:v>Platinum</x:v>
      </x:c>
      <x:c r="F374" t="str">
        <x:v>West</x:v>
      </x:c>
      <x:c r="G374" t="str">
        <x:v>Home &amp; Kitchen</x:v>
      </x:c>
      <x:c r="H374" t="n">
        <x:v>2</x:v>
      </x:c>
      <x:c r="I374" s="26" t="n">
        <x:v>2356.2000000000003</x:v>
      </x:c>
      <x:c r="J374" s="26" t="n">
        <x:v>7698.6</x:v>
      </x:c>
      <x:c r="K374" s="28" t="n">
        <x:v>0.1373</x:v>
      </x:c>
      <x:c r="L374" s="26" t="n">
        <x:v>1057.02</x:v>
      </x:c>
      <x:c r="M374" t="n">
        <x:v>0</x:v>
      </x:c>
      <x:c r="N374" s="26" t="n">
        <x:v>0</x:v>
      </x:c>
      <x:c r="O374" s="26" t="n">
        <x:v>142.42</x:v>
      </x:c>
      <x:c r="P374" s="26" t="n">
        <x:v>34.64</x:v>
      </x:c>
      <x:c r="Q374" s="26" t="n">
        <x:v>65.44</x:v>
      </x:c>
      <x:c r="R374" s="26" t="n">
        <x:v>80.84</x:v>
      </x:c>
      <x:c r="S374" s="26" t="n">
        <x:v>733.68</x:v>
      </x:c>
    </x:row>
    <x:row r="375">
      <x:c r="A375" t="n">
        <x:v>500372</x:v>
      </x:c>
      <x:c r="B375" s="24" t="n">
        <x:v>45731</x:v>
      </x:c>
      <x:c r="C375" t="n">
        <x:v>1056</x:v>
      </x:c>
      <x:c r="D375" t="str">
        <x:v>Seller 1056</x:v>
      </x:c>
      <x:c r="E375" t="str">
        <x:v>Bronze</x:v>
      </x:c>
      <x:c r="F375" t="str">
        <x:v>West</x:v>
      </x:c>
      <x:c r="G375" t="str">
        <x:v>Home &amp; Kitchen</x:v>
      </x:c>
      <x:c r="H375" t="n">
        <x:v>1</x:v>
      </x:c>
      <x:c r="I375" s="26" t="n">
        <x:v>4657.799999999999</x:v>
      </x:c>
      <x:c r="J375" s="26" t="n">
        <x:v>3043.8</x:v>
      </x:c>
      <x:c r="K375" s="28" t="n">
        <x:v>0.1243</x:v>
      </x:c>
      <x:c r="L375" s="26" t="n">
        <x:v>378.34</x:v>
      </x:c>
      <x:c r="M375" t="n">
        <x:v>0</x:v>
      </x:c>
      <x:c r="N375" s="26" t="n">
        <x:v>0</x:v>
      </x:c>
      <x:c r="O375" s="26" t="n">
        <x:v>56.31</x:v>
      </x:c>
      <x:c r="P375" s="26" t="n">
        <x:v>13.7</x:v>
      </x:c>
      <x:c r="Q375" s="26" t="n">
        <x:v>25.87</x:v>
      </x:c>
      <x:c r="R375" s="26" t="n">
        <x:v>31.96</x:v>
      </x:c>
      <x:c r="S375" s="26" t="n">
        <x:v>250.5</x:v>
      </x:c>
    </x:row>
    <x:row r="376">
      <x:c r="A376" t="n">
        <x:v>500373</x:v>
      </x:c>
      <x:c r="B376" s="24" t="n">
        <x:v>45744</x:v>
      </x:c>
      <x:c r="C376" t="n">
        <x:v>1071</x:v>
      </x:c>
      <x:c r="D376" t="str">
        <x:v>Seller 1071</x:v>
      </x:c>
      <x:c r="E376" t="str">
        <x:v>Bronze</x:v>
      </x:c>
      <x:c r="F376" t="str">
        <x:v>Central</x:v>
      </x:c>
      <x:c r="G376" t="str">
        <x:v>Sports</x:v>
      </x:c>
      <x:c r="H376" t="n">
        <x:v>2</x:v>
      </x:c>
      <x:c r="I376" s="26" t="n">
        <x:v>1995.6</x:v>
      </x:c>
      <x:c r="J376" s="26" t="n">
        <x:v>2608.8</x:v>
      </x:c>
      <x:c r="K376" s="28" t="n">
        <x:v>0.1228</x:v>
      </x:c>
      <x:c r="L376" s="26" t="n">
        <x:v>320.36</x:v>
      </x:c>
      <x:c r="M376" t="n">
        <x:v>1</x:v>
      </x:c>
      <x:c r="N376" s="26" t="n">
        <x:v>2106</x:v>
      </x:c>
      <x:c r="O376" s="26" t="n">
        <x:v>48.26</x:v>
      </x:c>
      <x:c r="P376" s="26" t="n">
        <x:v>11.74</x:v>
      </x:c>
      <x:c r="Q376" s="26" t="n">
        <x:v>22.17</x:v>
      </x:c>
      <x:c r="R376" s="26" t="n">
        <x:v>27.39</x:v>
      </x:c>
      <x:c r="S376" s="26" t="n">
        <x:v>168.67</x:v>
      </x:c>
    </x:row>
    <x:row r="377">
      <x:c r="A377" t="n">
        <x:v>500374</x:v>
      </x:c>
      <x:c r="B377" s="24" t="n">
        <x:v>45724</x:v>
      </x:c>
      <x:c r="C377" t="n">
        <x:v>1063</x:v>
      </x:c>
      <x:c r="D377" t="str">
        <x:v>Seller 1063</x:v>
      </x:c>
      <x:c r="E377" t="str">
        <x:v>Bronze</x:v>
      </x:c>
      <x:c r="F377" t="str">
        <x:v>West</x:v>
      </x:c>
      <x:c r="G377" t="str">
        <x:v>Pet Supplies</x:v>
      </x:c>
      <x:c r="H377" t="n">
        <x:v>1</x:v>
      </x:c>
      <x:c r="I377" s="26" t="n">
        <x:v>3322.2</x:v>
      </x:c>
      <x:c r="J377" s="26" t="n">
        <x:v>2171.4</x:v>
      </x:c>
      <x:c r="K377" s="28" t="n">
        <x:v>0.1271</x:v>
      </x:c>
      <x:c r="L377" s="26" t="n">
        <x:v>275.98</x:v>
      </x:c>
      <x:c r="M377" t="n">
        <x:v>0</x:v>
      </x:c>
      <x:c r="N377" s="26" t="n">
        <x:v>0</x:v>
      </x:c>
      <x:c r="O377" s="26" t="n">
        <x:v>40.17</x:v>
      </x:c>
      <x:c r="P377" s="26" t="n">
        <x:v>9.77</x:v>
      </x:c>
      <x:c r="Q377" s="26" t="n">
        <x:v>18.46</x:v>
      </x:c>
      <x:c r="R377" s="26" t="n">
        <x:v>22.8</x:v>
      </x:c>
      <x:c r="S377" s="26" t="n">
        <x:v>184.79</x:v>
      </x:c>
    </x:row>
    <x:row r="378">
      <x:c r="A378" t="n">
        <x:v>500375</x:v>
      </x:c>
      <x:c r="B378" s="24" t="n">
        <x:v>45730</x:v>
      </x:c>
      <x:c r="C378" t="n">
        <x:v>1013</x:v>
      </x:c>
      <x:c r="D378" t="str">
        <x:v>Seller 1013</x:v>
      </x:c>
      <x:c r="E378" t="str">
        <x:v>Gold</x:v>
      </x:c>
      <x:c r="F378" t="str">
        <x:v>West</x:v>
      </x:c>
      <x:c r="G378" t="str">
        <x:v>Electronics</x:v>
      </x:c>
      <x:c r="H378" t="n">
        <x:v>2</x:v>
      </x:c>
      <x:c r="I378" s="26" t="n">
        <x:v>4858.2</x:v>
      </x:c>
      <x:c r="J378" s="26" t="n">
        <x:v>11777.4</x:v>
      </x:c>
      <x:c r="K378" s="28" t="n">
        <x:v>0.115</x:v>
      </x:c>
      <x:c r="L378" s="26" t="n">
        <x:v>1354.4</x:v>
      </x:c>
      <x:c r="M378" t="n">
        <x:v>0</x:v>
      </x:c>
      <x:c r="N378" s="26" t="n">
        <x:v>0</x:v>
      </x:c>
      <x:c r="O378" s="26" t="n">
        <x:v>217.88</x:v>
      </x:c>
      <x:c r="P378" s="26" t="n">
        <x:v>53</x:v>
      </x:c>
      <x:c r="Q378" s="26" t="n">
        <x:v>100.11</x:v>
      </x:c>
      <x:c r="R378" s="26" t="n">
        <x:v>123.66</x:v>
      </x:c>
      <x:c r="S378" s="26" t="n">
        <x:v>859.75</x:v>
      </x:c>
    </x:row>
    <x:row r="379">
      <x:c r="A379" t="n">
        <x:v>500376</x:v>
      </x:c>
      <x:c r="B379" s="24" t="n">
        <x:v>45729</x:v>
      </x:c>
      <x:c r="C379" t="n">
        <x:v>1061</x:v>
      </x:c>
      <x:c r="D379" t="str">
        <x:v>Seller 1061</x:v>
      </x:c>
      <x:c r="E379" t="str">
        <x:v>Bronze</x:v>
      </x:c>
      <x:c r="F379" t="str">
        <x:v>Central</x:v>
      </x:c>
      <x:c r="G379" t="str">
        <x:v>Electronics</x:v>
      </x:c>
      <x:c r="H379" t="n">
        <x:v>2</x:v>
      </x:c>
      <x:c r="I379" s="26" t="n">
        <x:v>4092</x:v>
      </x:c>
      <x:c r="J379" s="26" t="n">
        <x:v>5348.4</x:v>
      </x:c>
      <x:c r="K379" s="28" t="n">
        <x:v>0.1261</x:v>
      </x:c>
      <x:c r="L379" s="26" t="n">
        <x:v>674.43</x:v>
      </x:c>
      <x:c r="M379" t="n">
        <x:v>0</x:v>
      </x:c>
      <x:c r="N379" s="26" t="n">
        <x:v>0</x:v>
      </x:c>
      <x:c r="O379" s="26" t="n">
        <x:v>98.95</x:v>
      </x:c>
      <x:c r="P379" s="26" t="n">
        <x:v>24.07</x:v>
      </x:c>
      <x:c r="Q379" s="26" t="n">
        <x:v>45.46</x:v>
      </x:c>
      <x:c r="R379" s="26" t="n">
        <x:v>56.16</x:v>
      </x:c>
      <x:c r="S379" s="26" t="n">
        <x:v>449.8</x:v>
      </x:c>
    </x:row>
    <x:row r="380">
      <x:c r="A380" t="n">
        <x:v>500377</x:v>
      </x:c>
      <x:c r="B380" s="24" t="n">
        <x:v>45742</x:v>
      </x:c>
      <x:c r="C380" t="n">
        <x:v>1024</x:v>
      </x:c>
      <x:c r="D380" t="str">
        <x:v>Seller 1024</x:v>
      </x:c>
      <x:c r="E380" t="str">
        <x:v>Gold</x:v>
      </x:c>
      <x:c r="F380" t="str">
        <x:v>West</x:v>
      </x:c>
      <x:c r="G380" t="str">
        <x:v>Pet Supplies</x:v>
      </x:c>
      <x:c r="H380" t="n">
        <x:v>2</x:v>
      </x:c>
      <x:c r="I380" s="26" t="n">
        <x:v>1838.4</x:v>
      </x:c>
      <x:c r="J380" s="26" t="n">
        <x:v>4456.2</x:v>
      </x:c>
      <x:c r="K380" s="28" t="n">
        <x:v>0.1254</x:v>
      </x:c>
      <x:c r="L380" s="26" t="n">
        <x:v>558.81</x:v>
      </x:c>
      <x:c r="M380" t="n">
        <x:v>0</x:v>
      </x:c>
      <x:c r="N380" s="26" t="n">
        <x:v>0</x:v>
      </x:c>
      <x:c r="O380" s="26" t="n">
        <x:v>82.44</x:v>
      </x:c>
      <x:c r="P380" s="26" t="n">
        <x:v>20.05</x:v>
      </x:c>
      <x:c r="Q380" s="26" t="n">
        <x:v>37.88</x:v>
      </x:c>
      <x:c r="R380" s="26" t="n">
        <x:v>46.79</x:v>
      </x:c>
      <x:c r="S380" s="26" t="n">
        <x:v>371.65</x:v>
      </x:c>
    </x:row>
    <x:row r="381">
      <x:c r="A381" t="n">
        <x:v>500378</x:v>
      </x:c>
      <x:c r="B381" s="24" t="n">
        <x:v>45744</x:v>
      </x:c>
      <x:c r="C381" t="n">
        <x:v>1013</x:v>
      </x:c>
      <x:c r="D381" t="str">
        <x:v>Seller 1013</x:v>
      </x:c>
      <x:c r="E381" t="str">
        <x:v>Gold</x:v>
      </x:c>
      <x:c r="F381" t="str">
        <x:v>West</x:v>
      </x:c>
      <x:c r="G381" t="str">
        <x:v>Electronics</x:v>
      </x:c>
      <x:c r="H381" t="n">
        <x:v>1</x:v>
      </x:c>
      <x:c r="I381" s="26" t="n">
        <x:v>9422.4</x:v>
      </x:c>
      <x:c r="J381" s="26" t="n">
        <x:v>11421.6</x:v>
      </x:c>
      <x:c r="K381" s="28" t="n">
        <x:v>0.1363</x:v>
      </x:c>
      <x:c r="L381" s="26" t="n">
        <x:v>1556.76</x:v>
      </x:c>
      <x:c r="M381" t="n">
        <x:v>0</x:v>
      </x:c>
      <x:c r="N381" s="26" t="n">
        <x:v>0</x:v>
      </x:c>
      <x:c r="O381" s="26" t="n">
        <x:v>211.3</x:v>
      </x:c>
      <x:c r="P381" s="26" t="n">
        <x:v>51.4</x:v>
      </x:c>
      <x:c r="Q381" s="26" t="n">
        <x:v>97.08</x:v>
      </x:c>
      <x:c r="R381" s="26" t="n">
        <x:v>119.93</x:v>
      </x:c>
      <x:c r="S381" s="26" t="n">
        <x:v>1077.06</x:v>
      </x:c>
    </x:row>
    <x:row r="382">
      <x:c r="A382" t="n">
        <x:v>500379</x:v>
      </x:c>
      <x:c r="B382" s="24" t="n">
        <x:v>45727</x:v>
      </x:c>
      <x:c r="C382" t="n">
        <x:v>1050</x:v>
      </x:c>
      <x:c r="D382" t="str">
        <x:v>Seller 1050</x:v>
      </x:c>
      <x:c r="E382" t="str">
        <x:v>Silver</x:v>
      </x:c>
      <x:c r="F382" t="str">
        <x:v>East</x:v>
      </x:c>
      <x:c r="G382" t="str">
        <x:v>Apparel</x:v>
      </x:c>
      <x:c r="H382" t="n">
        <x:v>3</x:v>
      </x:c>
      <x:c r="I382" s="26" t="n">
        <x:v>1179.6</x:v>
      </x:c>
      <x:c r="J382" s="26" t="n">
        <x:v>3282.6</x:v>
      </x:c>
      <x:c r="K382" s="28" t="n">
        <x:v>0.1305</x:v>
      </x:c>
      <x:c r="L382" s="26" t="n">
        <x:v>428.38</x:v>
      </x:c>
      <x:c r="M382" t="n">
        <x:v>0</x:v>
      </x:c>
      <x:c r="N382" s="26" t="n">
        <x:v>0</x:v>
      </x:c>
      <x:c r="O382" s="26" t="n">
        <x:v>60.73</x:v>
      </x:c>
      <x:c r="P382" s="26" t="n">
        <x:v>14.77</x:v>
      </x:c>
      <x:c r="Q382" s="26" t="n">
        <x:v>27.9</x:v>
      </x:c>
      <x:c r="R382" s="26" t="n">
        <x:v>34.47</x:v>
      </x:c>
      <x:c r="S382" s="26" t="n">
        <x:v>290.51</x:v>
      </x:c>
    </x:row>
    <x:row r="383">
      <x:c r="A383" t="n">
        <x:v>500380</x:v>
      </x:c>
      <x:c r="B383" s="24" t="n">
        <x:v>45737</x:v>
      </x:c>
      <x:c r="C383" t="n">
        <x:v>1011</x:v>
      </x:c>
      <x:c r="D383" t="str">
        <x:v>Seller 1011</x:v>
      </x:c>
      <x:c r="E383" t="str">
        <x:v>Platinum</x:v>
      </x:c>
      <x:c r="F383" t="str">
        <x:v>West</x:v>
      </x:c>
      <x:c r="G383" t="str">
        <x:v>Electronics</x:v>
      </x:c>
      <x:c r="H383" t="n">
        <x:v>2</x:v>
      </x:c>
      <x:c r="I383" s="26" t="n">
        <x:v>4203</x:v>
      </x:c>
      <x:c r="J383" s="26" t="n">
        <x:v>13733.4</x:v>
      </x:c>
      <x:c r="K383" s="28" t="n">
        <x:v>0.1267</x:v>
      </x:c>
      <x:c r="L383" s="26" t="n">
        <x:v>1740.02</x:v>
      </x:c>
      <x:c r="M383" t="n">
        <x:v>0</x:v>
      </x:c>
      <x:c r="N383" s="26" t="n">
        <x:v>0</x:v>
      </x:c>
      <x:c r="O383" s="26" t="n">
        <x:v>254.07</x:v>
      </x:c>
      <x:c r="P383" s="26" t="n">
        <x:v>61.8</x:v>
      </x:c>
      <x:c r="Q383" s="26" t="n">
        <x:v>116.73</x:v>
      </x:c>
      <x:c r="R383" s="26" t="n">
        <x:v>144.2</x:v>
      </x:c>
      <x:c r="S383" s="26" t="n">
        <x:v>1163.22</x:v>
      </x:c>
    </x:row>
    <x:row r="384">
      <x:c r="A384" t="n">
        <x:v>500381</x:v>
      </x:c>
      <x:c r="B384" s="24" t="n">
        <x:v>45722</x:v>
      </x:c>
      <x:c r="C384" t="n">
        <x:v>1019</x:v>
      </x:c>
      <x:c r="D384" t="str">
        <x:v>Seller 1019</x:v>
      </x:c>
      <x:c r="E384" t="str">
        <x:v>Gold</x:v>
      </x:c>
      <x:c r="F384" t="str">
        <x:v>East</x:v>
      </x:c>
      <x:c r="G384" t="str">
        <x:v>Apparel</x:v>
      </x:c>
      <x:c r="H384" t="n">
        <x:v>2</x:v>
      </x:c>
      <x:c r="I384" s="26" t="n">
        <x:v>1731</x:v>
      </x:c>
      <x:c r="J384" s="26" t="n">
        <x:v>4196.4</x:v>
      </x:c>
      <x:c r="K384" s="28" t="n">
        <x:v>0.1316</x:v>
      </x:c>
      <x:c r="L384" s="26" t="n">
        <x:v>552.25</x:v>
      </x:c>
      <x:c r="M384" t="n">
        <x:v>0</x:v>
      </x:c>
      <x:c r="N384" s="26" t="n">
        <x:v>0</x:v>
      </x:c>
      <x:c r="O384" s="26" t="n">
        <x:v>77.63</x:v>
      </x:c>
      <x:c r="P384" s="26" t="n">
        <x:v>18.88</x:v>
      </x:c>
      <x:c r="Q384" s="26" t="n">
        <x:v>35.67</x:v>
      </x:c>
      <x:c r="R384" s="26" t="n">
        <x:v>44.06</x:v>
      </x:c>
      <x:c r="S384" s="26" t="n">
        <x:v>376</x:v>
      </x:c>
    </x:row>
    <x:row r="385">
      <x:c r="A385" t="n">
        <x:v>500382</x:v>
      </x:c>
      <x:c r="B385" s="24" t="n">
        <x:v>45726</x:v>
      </x:c>
      <x:c r="C385" t="n">
        <x:v>1006</x:v>
      </x:c>
      <x:c r="D385" t="str">
        <x:v>Seller 1006</x:v>
      </x:c>
      <x:c r="E385" t="str">
        <x:v>Platinum</x:v>
      </x:c>
      <x:c r="F385" t="str">
        <x:v>East</x:v>
      </x:c>
      <x:c r="G385" t="str">
        <x:v>Sports</x:v>
      </x:c>
      <x:c r="H385" t="n">
        <x:v>3</x:v>
      </x:c>
      <x:c r="I385" s="26" t="n">
        <x:v>1491.6</x:v>
      </x:c>
      <x:c r="J385" s="26" t="n">
        <x:v>7309.2</x:v>
      </x:c>
      <x:c r="K385" s="28" t="n">
        <x:v>0.1399</x:v>
      </x:c>
      <x:c r="L385" s="26" t="n">
        <x:v>1022.56</x:v>
      </x:c>
      <x:c r="M385" t="n">
        <x:v>0</x:v>
      </x:c>
      <x:c r="N385" s="26" t="n">
        <x:v>0</x:v>
      </x:c>
      <x:c r="O385" s="26" t="n">
        <x:v>135.22</x:v>
      </x:c>
      <x:c r="P385" s="26" t="n">
        <x:v>32.89</x:v>
      </x:c>
      <x:c r="Q385" s="26" t="n">
        <x:v>62.13</x:v>
      </x:c>
      <x:c r="R385" s="26" t="n">
        <x:v>76.75</x:v>
      </x:c>
      <x:c r="S385" s="26" t="n">
        <x:v>715.57</x:v>
      </x:c>
    </x:row>
    <x:row r="386">
      <x:c r="A386" t="n">
        <x:v>500383</x:v>
      </x:c>
      <x:c r="B386" s="24" t="n">
        <x:v>45747</x:v>
      </x:c>
      <x:c r="C386" t="n">
        <x:v>1041</x:v>
      </x:c>
      <x:c r="D386" t="str">
        <x:v>Seller 1041</x:v>
      </x:c>
      <x:c r="E386" t="str">
        <x:v>Silver</x:v>
      </x:c>
      <x:c r="F386" t="str">
        <x:v>West</x:v>
      </x:c>
      <x:c r="G386" t="str">
        <x:v>Electronics</x:v>
      </x:c>
      <x:c r="H386" t="n">
        <x:v>3</x:v>
      </x:c>
      <x:c r="I386" s="26" t="n">
        <x:v>3361.2000000000003</x:v>
      </x:c>
      <x:c r="J386" s="26" t="n">
        <x:v>9353.4</x:v>
      </x:c>
      <x:c r="K386" s="28" t="n">
        <x:v>0.1262</x:v>
      </x:c>
      <x:c r="L386" s="26" t="n">
        <x:v>1180.4</x:v>
      </x:c>
      <x:c r="M386" t="n">
        <x:v>0</x:v>
      </x:c>
      <x:c r="N386" s="26" t="n">
        <x:v>0</x:v>
      </x:c>
      <x:c r="O386" s="26" t="n">
        <x:v>173.04</x:v>
      </x:c>
      <x:c r="P386" s="26" t="n">
        <x:v>42.09</x:v>
      </x:c>
      <x:c r="Q386" s="26" t="n">
        <x:v>79.5</x:v>
      </x:c>
      <x:c r="R386" s="26" t="n">
        <x:v>98.21</x:v>
      </x:c>
      <x:c r="S386" s="26" t="n">
        <x:v>787.56</x:v>
      </x:c>
    </x:row>
    <x:row r="387">
      <x:c r="A387" t="n">
        <x:v>500384</x:v>
      </x:c>
      <x:c r="B387" s="24" t="n">
        <x:v>45736</x:v>
      </x:c>
      <x:c r="C387" t="n">
        <x:v>1002</x:v>
      </x:c>
      <x:c r="D387" t="str">
        <x:v>Seller 1002</x:v>
      </x:c>
      <x:c r="E387" t="str">
        <x:v>Platinum</x:v>
      </x:c>
      <x:c r="F387" t="str">
        <x:v>Central</x:v>
      </x:c>
      <x:c r="G387" t="str">
        <x:v>Sports</x:v>
      </x:c>
      <x:c r="H387" t="n">
        <x:v>1</x:v>
      </x:c>
      <x:c r="I387" s="26" t="n">
        <x:v>4227</x:v>
      </x:c>
      <x:c r="J387" s="26" t="n">
        <x:v>6906</x:v>
      </x:c>
      <x:c r="K387" s="28" t="n">
        <x:v>0.1187</x:v>
      </x:c>
      <x:c r="L387" s="26" t="n">
        <x:v>819.74</x:v>
      </x:c>
      <x:c r="M387" t="n">
        <x:v>0</x:v>
      </x:c>
      <x:c r="N387" s="26" t="n">
        <x:v>0</x:v>
      </x:c>
      <x:c r="O387" s="26" t="n">
        <x:v>127.76</x:v>
      </x:c>
      <x:c r="P387" s="26" t="n">
        <x:v>31.08</x:v>
      </x:c>
      <x:c r="Q387" s="26" t="n">
        <x:v>58.7</x:v>
      </x:c>
      <x:c r="R387" s="26" t="n">
        <x:v>72.51</x:v>
      </x:c>
      <x:c r="S387" s="26" t="n">
        <x:v>529.69</x:v>
      </x:c>
    </x:row>
    <x:row r="388">
      <x:c r="A388" t="n">
        <x:v>500385</x:v>
      </x:c>
      <x:c r="B388" s="24" t="n">
        <x:v>45726</x:v>
      </x:c>
      <x:c r="C388" t="n">
        <x:v>1013</x:v>
      </x:c>
      <x:c r="D388" t="str">
        <x:v>Seller 1013</x:v>
      </x:c>
      <x:c r="E388" t="str">
        <x:v>Gold</x:v>
      </x:c>
      <x:c r="F388" t="str">
        <x:v>West</x:v>
      </x:c>
      <x:c r="G388" t="str">
        <x:v>Sports</x:v>
      </x:c>
      <x:c r="H388" t="n">
        <x:v>2</x:v>
      </x:c>
      <x:c r="I388" s="26" t="n">
        <x:v>1650.6000000000001</x:v>
      </x:c>
      <x:c r="J388" s="26" t="n">
        <x:v>4001.4</x:v>
      </x:c>
      <x:c r="K388" s="28" t="n">
        <x:v>0.1368</x:v>
      </x:c>
      <x:c r="L388" s="26" t="n">
        <x:v>547.39</x:v>
      </x:c>
      <x:c r="M388" t="n">
        <x:v>0</x:v>
      </x:c>
      <x:c r="N388" s="26" t="n">
        <x:v>0</x:v>
      </x:c>
      <x:c r="O388" s="26" t="n">
        <x:v>74.03</x:v>
      </x:c>
      <x:c r="P388" s="26" t="n">
        <x:v>18.01</x:v>
      </x:c>
      <x:c r="Q388" s="26" t="n">
        <x:v>34.01</x:v>
      </x:c>
      <x:c r="R388" s="26" t="n">
        <x:v>42.01</x:v>
      </x:c>
      <x:c r="S388" s="26" t="n">
        <x:v>379.33</x:v>
      </x:c>
    </x:row>
    <x:row r="389">
      <x:c r="A389" t="n">
        <x:v>500386</x:v>
      </x:c>
      <x:c r="B389" s="24" t="n">
        <x:v>45739</x:v>
      </x:c>
      <x:c r="C389" t="n">
        <x:v>1050</x:v>
      </x:c>
      <x:c r="D389" t="str">
        <x:v>Seller 1050</x:v>
      </x:c>
      <x:c r="E389" t="str">
        <x:v>Silver</x:v>
      </x:c>
      <x:c r="F389" t="str">
        <x:v>East</x:v>
      </x:c>
      <x:c r="G389" t="str">
        <x:v>Electronics</x:v>
      </x:c>
      <x:c r="H389" t="n">
        <x:v>1</x:v>
      </x:c>
      <x:c r="I389" s="26" t="n">
        <x:v>8355.599999999999</x:v>
      </x:c>
      <x:c r="J389" s="26" t="n">
        <x:v>7750.2</x:v>
      </x:c>
      <x:c r="K389" s="28" t="n">
        <x:v>0.1171</x:v>
      </x:c>
      <x:c r="L389" s="26" t="n">
        <x:v>907.55</x:v>
      </x:c>
      <x:c r="M389" t="n">
        <x:v>0</x:v>
      </x:c>
      <x:c r="N389" s="26" t="n">
        <x:v>0</x:v>
      </x:c>
      <x:c r="O389" s="26" t="n">
        <x:v>143.38</x:v>
      </x:c>
      <x:c r="P389" s="26" t="n">
        <x:v>34.88</x:v>
      </x:c>
      <x:c r="Q389" s="26" t="n">
        <x:v>65.88</x:v>
      </x:c>
      <x:c r="R389" s="26" t="n">
        <x:v>81.38</x:v>
      </x:c>
      <x:c r="S389" s="26" t="n">
        <x:v>582.04</x:v>
      </x:c>
    </x:row>
    <x:row r="390">
      <x:c r="A390" t="n">
        <x:v>500387</x:v>
      </x:c>
      <x:c r="B390" s="24" t="n">
        <x:v>45746</x:v>
      </x:c>
      <x:c r="C390" t="n">
        <x:v>1052</x:v>
      </x:c>
      <x:c r="D390" t="str">
        <x:v>Seller 1052</x:v>
      </x:c>
      <x:c r="E390" t="str">
        <x:v>Silver</x:v>
      </x:c>
      <x:c r="F390" t="str">
        <x:v>Central</x:v>
      </x:c>
      <x:c r="G390" t="str">
        <x:v>Pet Supplies</x:v>
      </x:c>
      <x:c r="H390" t="n">
        <x:v>3</x:v>
      </x:c>
      <x:c r="I390" s="26" t="n">
        <x:v>897</x:v>
      </x:c>
      <x:c r="J390" s="26" t="n">
        <x:v>2495.4</x:v>
      </x:c>
      <x:c r="K390" s="28" t="n">
        <x:v>0.1257</x:v>
      </x:c>
      <x:c r="L390" s="26" t="n">
        <x:v>313.67</x:v>
      </x:c>
      <x:c r="M390" t="n">
        <x:v>0</x:v>
      </x:c>
      <x:c r="N390" s="26" t="n">
        <x:v>0</x:v>
      </x:c>
      <x:c r="O390" s="26" t="n">
        <x:v>46.16</x:v>
      </x:c>
      <x:c r="P390" s="26" t="n">
        <x:v>11.23</x:v>
      </x:c>
      <x:c r="Q390" s="26" t="n">
        <x:v>21.21</x:v>
      </x:c>
      <x:c r="R390" s="26" t="n">
        <x:v>26.2</x:v>
      </x:c>
      <x:c r="S390" s="26" t="n">
        <x:v>208.86</x:v>
      </x:c>
    </x:row>
    <x:row r="391">
      <x:c r="A391" t="n">
        <x:v>500388</x:v>
      </x:c>
      <x:c r="B391" s="24" t="n">
        <x:v>45721</x:v>
      </x:c>
      <x:c r="C391" t="n">
        <x:v>1048</x:v>
      </x:c>
      <x:c r="D391" t="str">
        <x:v>Seller 1048</x:v>
      </x:c>
      <x:c r="E391" t="str">
        <x:v>Silver</x:v>
      </x:c>
      <x:c r="F391" t="str">
        <x:v>East</x:v>
      </x:c>
      <x:c r="G391" t="str">
        <x:v>Electronics</x:v>
      </x:c>
      <x:c r="H391" t="n">
        <x:v>2</x:v>
      </x:c>
      <x:c r="I391" s="26" t="n">
        <x:v>3810.6</x:v>
      </x:c>
      <x:c r="J391" s="26" t="n">
        <x:v>7069.2</x:v>
      </x:c>
      <x:c r="K391" s="28" t="n">
        <x:v>0.1197</x:v>
      </x:c>
      <x:c r="L391" s="26" t="n">
        <x:v>846.18</x:v>
      </x:c>
      <x:c r="M391" t="n">
        <x:v>0</x:v>
      </x:c>
      <x:c r="N391" s="26" t="n">
        <x:v>0</x:v>
      </x:c>
      <x:c r="O391" s="26" t="n">
        <x:v>130.78</x:v>
      </x:c>
      <x:c r="P391" s="26" t="n">
        <x:v>31.81</x:v>
      </x:c>
      <x:c r="Q391" s="26" t="n">
        <x:v>60.09</x:v>
      </x:c>
      <x:c r="R391" s="26" t="n">
        <x:v>74.23</x:v>
      </x:c>
      <x:c r="S391" s="26" t="n">
        <x:v>549.28</x:v>
      </x:c>
    </x:row>
    <x:row r="392">
      <x:c r="A392" t="n">
        <x:v>500389</x:v>
      </x:c>
      <x:c r="B392" s="24" t="n">
        <x:v>45738</x:v>
      </x:c>
      <x:c r="C392" t="n">
        <x:v>1030</x:v>
      </x:c>
      <x:c r="D392" t="str">
        <x:v>Seller 1030</x:v>
      </x:c>
      <x:c r="E392" t="str">
        <x:v>Gold</x:v>
      </x:c>
      <x:c r="F392" t="str">
        <x:v>South</x:v>
      </x:c>
      <x:c r="G392" t="str">
        <x:v>Pet Supplies</x:v>
      </x:c>
      <x:c r="H392" t="n">
        <x:v>3</x:v>
      </x:c>
      <x:c r="I392" s="26" t="n">
        <x:v>996.5999999999999</x:v>
      </x:c>
      <x:c r="J392" s="26" t="n">
        <x:v>3623.4</x:v>
      </x:c>
      <x:c r="K392" s="28" t="n">
        <x:v>0.1398</x:v>
      </x:c>
      <x:c r="L392" s="26" t="n">
        <x:v>506.55</x:v>
      </x:c>
      <x:c r="M392" t="n">
        <x:v>0</x:v>
      </x:c>
      <x:c r="N392" s="26" t="n">
        <x:v>0</x:v>
      </x:c>
      <x:c r="O392" s="26" t="n">
        <x:v>67.03</x:v>
      </x:c>
      <x:c r="P392" s="26" t="n">
        <x:v>16.31</x:v>
      </x:c>
      <x:c r="Q392" s="26" t="n">
        <x:v>30.8</x:v>
      </x:c>
      <x:c r="R392" s="26" t="n">
        <x:v>38.05</x:v>
      </x:c>
      <x:c r="S392" s="26" t="n">
        <x:v>354.37</x:v>
      </x:c>
    </x:row>
    <x:row r="393">
      <x:c r="A393" t="n">
        <x:v>500390</x:v>
      </x:c>
      <x:c r="B393" s="24" t="n">
        <x:v>45744</x:v>
      </x:c>
      <x:c r="C393" t="n">
        <x:v>1012</x:v>
      </x:c>
      <x:c r="D393" t="str">
        <x:v>Seller 1012</x:v>
      </x:c>
      <x:c r="E393" t="str">
        <x:v>Platinum</x:v>
      </x:c>
      <x:c r="F393" t="str">
        <x:v>East</x:v>
      </x:c>
      <x:c r="G393" t="str">
        <x:v>Beauty</x:v>
      </x:c>
      <x:c r="H393" t="n">
        <x:v>3</x:v>
      </x:c>
      <x:c r="I393" s="26" t="n">
        <x:v>1262.3999999999999</x:v>
      </x:c>
      <x:c r="J393" s="26" t="n">
        <x:v>6186</x:v>
      </x:c>
      <x:c r="K393" s="28" t="n">
        <x:v>0.1508</x:v>
      </x:c>
      <x:c r="L393" s="26" t="n">
        <x:v>932.85</x:v>
      </x:c>
      <x:c r="M393" t="n">
        <x:v>0</x:v>
      </x:c>
      <x:c r="N393" s="26" t="n">
        <x:v>0</x:v>
      </x:c>
      <x:c r="O393" s="26" t="n">
        <x:v>114.44</x:v>
      </x:c>
      <x:c r="P393" s="26" t="n">
        <x:v>27.84</x:v>
      </x:c>
      <x:c r="Q393" s="26" t="n">
        <x:v>52.58</x:v>
      </x:c>
      <x:c r="R393" s="26" t="n">
        <x:v>64.95</x:v>
      </x:c>
      <x:c r="S393" s="26" t="n">
        <x:v>673.04</x:v>
      </x:c>
    </x:row>
    <x:row r="394">
      <x:c r="A394" t="n">
        <x:v>500391</x:v>
      </x:c>
      <x:c r="B394" s="24" t="n">
        <x:v>45746</x:v>
      </x:c>
      <x:c r="C394" t="n">
        <x:v>1008</x:v>
      </x:c>
      <x:c r="D394" t="str">
        <x:v>Seller 1008</x:v>
      </x:c>
      <x:c r="E394" t="str">
        <x:v>Platinum</x:v>
      </x:c>
      <x:c r="F394" t="str">
        <x:v>West</x:v>
      </x:c>
      <x:c r="G394" t="str">
        <x:v>Electronics</x:v>
      </x:c>
      <x:c r="H394" t="n">
        <x:v>3</x:v>
      </x:c>
      <x:c r="I394" s="26" t="n">
        <x:v>3405</x:v>
      </x:c>
      <x:c r="J394" s="26" t="n">
        <x:v>16690.2</x:v>
      </x:c>
      <x:c r="K394" s="28" t="n">
        <x:v>0.1252</x:v>
      </x:c>
      <x:c r="L394" s="26" t="n">
        <x:v>2089.61</x:v>
      </x:c>
      <x:c r="M394" t="n">
        <x:v>0</x:v>
      </x:c>
      <x:c r="N394" s="26" t="n">
        <x:v>0</x:v>
      </x:c>
      <x:c r="O394" s="26" t="n">
        <x:v>308.77</x:v>
      </x:c>
      <x:c r="P394" s="26" t="n">
        <x:v>75.11</x:v>
      </x:c>
      <x:c r="Q394" s="26" t="n">
        <x:v>141.87</x:v>
      </x:c>
      <x:c r="R394" s="26" t="n">
        <x:v>175.25</x:v>
      </x:c>
      <x:c r="S394" s="26" t="n">
        <x:v>1388.62</x:v>
      </x:c>
    </x:row>
    <x:row r="395">
      <x:c r="A395" t="n">
        <x:v>500392</x:v>
      </x:c>
      <x:c r="B395" s="24" t="n">
        <x:v>45747</x:v>
      </x:c>
      <x:c r="C395" t="n">
        <x:v>1073</x:v>
      </x:c>
      <x:c r="D395" t="str">
        <x:v>Seller 1073</x:v>
      </x:c>
      <x:c r="E395" t="str">
        <x:v>Bronze</x:v>
      </x:c>
      <x:c r="F395" t="str">
        <x:v>Central</x:v>
      </x:c>
      <x:c r="G395" t="str">
        <x:v>Electronics</x:v>
      </x:c>
      <x:c r="H395" t="n">
        <x:v>3</x:v>
      </x:c>
      <x:c r="I395" s="26" t="n">
        <x:v>4132.200000000001</x:v>
      </x:c>
      <x:c r="J395" s="26" t="n">
        <x:v>8101.8</x:v>
      </x:c>
      <x:c r="K395" s="28" t="n">
        <x:v>0.1331</x:v>
      </x:c>
      <x:c r="L395" s="26" t="n">
        <x:v>1078.35</x:v>
      </x:c>
      <x:c r="M395" t="n">
        <x:v>0</x:v>
      </x:c>
      <x:c r="N395" s="26" t="n">
        <x:v>0</x:v>
      </x:c>
      <x:c r="O395" s="26" t="n">
        <x:v>149.88</x:v>
      </x:c>
      <x:c r="P395" s="26" t="n">
        <x:v>36.46</x:v>
      </x:c>
      <x:c r="Q395" s="26" t="n">
        <x:v>68.87</x:v>
      </x:c>
      <x:c r="R395" s="26" t="n">
        <x:v>85.07</x:v>
      </x:c>
      <x:c r="S395" s="26" t="n">
        <x:v>738.07</x:v>
      </x:c>
    </x:row>
    <x:row r="396">
      <x:c r="A396" t="n">
        <x:v>500393</x:v>
      </x:c>
      <x:c r="B396" s="24" t="n">
        <x:v>45718</x:v>
      </x:c>
      <x:c r="C396" t="n">
        <x:v>1047</x:v>
      </x:c>
      <x:c r="D396" t="str">
        <x:v>Seller 1047</x:v>
      </x:c>
      <x:c r="E396" t="str">
        <x:v>Silver</x:v>
      </x:c>
      <x:c r="F396" t="str">
        <x:v>East</x:v>
      </x:c>
      <x:c r="G396" t="str">
        <x:v>Sports</x:v>
      </x:c>
      <x:c r="H396" t="n">
        <x:v>2</x:v>
      </x:c>
      <x:c r="I396" s="26" t="n">
        <x:v>2952</x:v>
      </x:c>
      <x:c r="J396" s="26" t="n">
        <x:v>5475.6</x:v>
      </x:c>
      <x:c r="K396" s="28" t="n">
        <x:v>0.1281</x:v>
      </x:c>
      <x:c r="L396" s="26" t="n">
        <x:v>701.42</x:v>
      </x:c>
      <x:c r="M396" t="n">
        <x:v>0</x:v>
      </x:c>
      <x:c r="N396" s="26" t="n">
        <x:v>0</x:v>
      </x:c>
      <x:c r="O396" s="26" t="n">
        <x:v>101.3</x:v>
      </x:c>
      <x:c r="P396" s="26" t="n">
        <x:v>24.64</x:v>
      </x:c>
      <x:c r="Q396" s="26" t="n">
        <x:v>46.54</x:v>
      </x:c>
      <x:c r="R396" s="26" t="n">
        <x:v>57.49</x:v>
      </x:c>
      <x:c r="S396" s="26" t="n">
        <x:v>471.45</x:v>
      </x:c>
    </x:row>
    <x:row r="397">
      <x:c r="A397" t="n">
        <x:v>500394</x:v>
      </x:c>
      <x:c r="B397" s="24" t="n">
        <x:v>45723</x:v>
      </x:c>
      <x:c r="C397" t="n">
        <x:v>1031</x:v>
      </x:c>
      <x:c r="D397" t="str">
        <x:v>Seller 1031</x:v>
      </x:c>
      <x:c r="E397" t="str">
        <x:v>Silver</x:v>
      </x:c>
      <x:c r="F397" t="str">
        <x:v>West</x:v>
      </x:c>
      <x:c r="G397" t="str">
        <x:v>Home &amp; Kitchen</x:v>
      </x:c>
      <x:c r="H397" t="n">
        <x:v>2</x:v>
      </x:c>
      <x:c r="I397" s="26" t="n">
        <x:v>2322.6</x:v>
      </x:c>
      <x:c r="J397" s="26" t="n">
        <x:v>4309.2</x:v>
      </x:c>
      <x:c r="K397" s="28" t="n">
        <x:v>0.1439</x:v>
      </x:c>
      <x:c r="L397" s="26" t="n">
        <x:v>620.09</x:v>
      </x:c>
      <x:c r="M397" t="n">
        <x:v>0</x:v>
      </x:c>
      <x:c r="N397" s="26" t="n">
        <x:v>0</x:v>
      </x:c>
      <x:c r="O397" s="26" t="n">
        <x:v>79.72</x:v>
      </x:c>
      <x:c r="P397" s="26" t="n">
        <x:v>19.39</x:v>
      </x:c>
      <x:c r="Q397" s="26" t="n">
        <x:v>36.63</x:v>
      </x:c>
      <x:c r="R397" s="26" t="n">
        <x:v>45.25</x:v>
      </x:c>
      <x:c r="S397" s="26" t="n">
        <x:v>439.11</x:v>
      </x:c>
    </x:row>
    <x:row r="398">
      <x:c r="A398" t="n">
        <x:v>500395</x:v>
      </x:c>
      <x:c r="B398" s="24" t="n">
        <x:v>45724</x:v>
      </x:c>
      <x:c r="C398" t="n">
        <x:v>1034</x:v>
      </x:c>
      <x:c r="D398" t="str">
        <x:v>Seller 1034</x:v>
      </x:c>
      <x:c r="E398" t="str">
        <x:v>Silver</x:v>
      </x:c>
      <x:c r="F398" t="str">
        <x:v>Central</x:v>
      </x:c>
      <x:c r="G398" t="str">
        <x:v>Pet Supplies</x:v>
      </x:c>
      <x:c r="H398" t="n">
        <x:v>2</x:v>
      </x:c>
      <x:c r="I398" s="26" t="n">
        <x:v>1591.8000000000002</x:v>
      </x:c>
      <x:c r="J398" s="26" t="n">
        <x:v>2952.6</x:v>
      </x:c>
      <x:c r="K398" s="28" t="n">
        <x:v>0.1212</x:v>
      </x:c>
      <x:c r="L398" s="26" t="n">
        <x:v>357.86</x:v>
      </x:c>
      <x:c r="M398" t="n">
        <x:v>0</x:v>
      </x:c>
      <x:c r="N398" s="26" t="n">
        <x:v>0</x:v>
      </x:c>
      <x:c r="O398" s="26" t="n">
        <x:v>54.62</x:v>
      </x:c>
      <x:c r="P398" s="26" t="n">
        <x:v>13.29</x:v>
      </x:c>
      <x:c r="Q398" s="26" t="n">
        <x:v>25.1</x:v>
      </x:c>
      <x:c r="R398" s="26" t="n">
        <x:v>31</x:v>
      </x:c>
      <x:c r="S398" s="26" t="n">
        <x:v>233.85</x:v>
      </x:c>
    </x:row>
    <x:row r="399">
      <x:c r="A399" t="n">
        <x:v>500396</x:v>
      </x:c>
      <x:c r="B399" s="24" t="n">
        <x:v>45742</x:v>
      </x:c>
      <x:c r="C399" t="n">
        <x:v>1029</x:v>
      </x:c>
      <x:c r="D399" t="str">
        <x:v>Seller 1029</x:v>
      </x:c>
      <x:c r="E399" t="str">
        <x:v>Gold</x:v>
      </x:c>
      <x:c r="F399" t="str">
        <x:v>West</x:v>
      </x:c>
      <x:c r="G399" t="str">
        <x:v>Home &amp; Kitchen</x:v>
      </x:c>
      <x:c r="H399" t="n">
        <x:v>2</x:v>
      </x:c>
      <x:c r="I399" s="26" t="n">
        <x:v>2179.7999999999997</x:v>
      </x:c>
      <x:c r="J399" s="26" t="n">
        <x:v>5284.8</x:v>
      </x:c>
      <x:c r="K399" s="28" t="n">
        <x:v>0.1328</x:v>
      </x:c>
      <x:c r="L399" s="26" t="n">
        <x:v>701.82</x:v>
      </x:c>
      <x:c r="M399" t="n">
        <x:v>0</x:v>
      </x:c>
      <x:c r="N399" s="26" t="n">
        <x:v>0</x:v>
      </x:c>
      <x:c r="O399" s="26" t="n">
        <x:v>97.77</x:v>
      </x:c>
      <x:c r="P399" s="26" t="n">
        <x:v>23.78</x:v>
      </x:c>
      <x:c r="Q399" s="26" t="n">
        <x:v>44.92</x:v>
      </x:c>
      <x:c r="R399" s="26" t="n">
        <x:v>55.49</x:v>
      </x:c>
      <x:c r="S399" s="26" t="n">
        <x:v>479.86</x:v>
      </x:c>
    </x:row>
    <x:row r="400">
      <x:c r="A400" t="n">
        <x:v>500397</x:v>
      </x:c>
      <x:c r="B400" s="24" t="n">
        <x:v>45727</x:v>
      </x:c>
      <x:c r="C400" t="n">
        <x:v>1002</x:v>
      </x:c>
      <x:c r="D400" t="str">
        <x:v>Seller 1002</x:v>
      </x:c>
      <x:c r="E400" t="str">
        <x:v>Platinum</x:v>
      </x:c>
      <x:c r="F400" t="str">
        <x:v>Central</x:v>
      </x:c>
      <x:c r="G400" t="str">
        <x:v>Home &amp; Kitchen</x:v>
      </x:c>
      <x:c r="H400" t="n">
        <x:v>2</x:v>
      </x:c>
      <x:c r="I400" s="26" t="n">
        <x:v>2639.4</x:v>
      </x:c>
      <x:c r="J400" s="26" t="n">
        <x:v>8624.4</x:v>
      </x:c>
      <x:c r="K400" s="28" t="n">
        <x:v>0.1422</x:v>
      </x:c>
      <x:c r="L400" s="26" t="n">
        <x:v>1226.39</x:v>
      </x:c>
      <x:c r="M400" t="n">
        <x:v>0</x:v>
      </x:c>
      <x:c r="N400" s="26" t="n">
        <x:v>0</x:v>
      </x:c>
      <x:c r="O400" s="26" t="n">
        <x:v>159.55</x:v>
      </x:c>
      <x:c r="P400" s="26" t="n">
        <x:v>38.81</x:v>
      </x:c>
      <x:c r="Q400" s="26" t="n">
        <x:v>73.31</x:v>
      </x:c>
      <x:c r="R400" s="26" t="n">
        <x:v>90.56</x:v>
      </x:c>
      <x:c r="S400" s="26" t="n">
        <x:v>864.16</x:v>
      </x:c>
    </x:row>
    <x:row r="401">
      <x:c r="A401" t="n">
        <x:v>500398</x:v>
      </x:c>
      <x:c r="B401" s="24" t="n">
        <x:v>45744</x:v>
      </x:c>
      <x:c r="C401" t="n">
        <x:v>1036</x:v>
      </x:c>
      <x:c r="D401" t="str">
        <x:v>Seller 1036</x:v>
      </x:c>
      <x:c r="E401" t="str">
        <x:v>Silver</x:v>
      </x:c>
      <x:c r="F401" t="str">
        <x:v>Central</x:v>
      </x:c>
      <x:c r="G401" t="str">
        <x:v>Pet Supplies</x:v>
      </x:c>
      <x:c r="H401" t="n">
        <x:v>2</x:v>
      </x:c>
      <x:c r="I401" s="26" t="n">
        <x:v>1722</x:v>
      </x:c>
      <x:c r="J401" s="26" t="n">
        <x:v>3194.4</x:v>
      </x:c>
      <x:c r="K401" s="28" t="n">
        <x:v>0.126</x:v>
      </x:c>
      <x:c r="L401" s="26" t="n">
        <x:v>402.49</x:v>
      </x:c>
      <x:c r="M401" t="n">
        <x:v>0</x:v>
      </x:c>
      <x:c r="N401" s="26" t="n">
        <x:v>0</x:v>
      </x:c>
      <x:c r="O401" s="26" t="n">
        <x:v>59.1</x:v>
      </x:c>
      <x:c r="P401" s="26" t="n">
        <x:v>14.37</x:v>
      </x:c>
      <x:c r="Q401" s="26" t="n">
        <x:v>27.15</x:v>
      </x:c>
      <x:c r="R401" s="26" t="n">
        <x:v>33.54</x:v>
      </x:c>
      <x:c r="S401" s="26" t="n">
        <x:v>268.33</x:v>
      </x:c>
    </x:row>
    <x:row r="402">
      <x:c r="A402" t="n">
        <x:v>500399</x:v>
      </x:c>
      <x:c r="B402" s="24" t="n">
        <x:v>45738</x:v>
      </x:c>
      <x:c r="C402" t="n">
        <x:v>1080</x:v>
      </x:c>
      <x:c r="D402" t="str">
        <x:v>Seller 1080</x:v>
      </x:c>
      <x:c r="E402" t="str">
        <x:v>Bronze</x:v>
      </x:c>
      <x:c r="F402" t="str">
        <x:v>South</x:v>
      </x:c>
      <x:c r="G402" t="str">
        <x:v>Beauty</x:v>
      </x:c>
      <x:c r="H402" t="n">
        <x:v>3</x:v>
      </x:c>
      <x:c r="I402" s="26" t="n">
        <x:v>1031.4</x:v>
      </x:c>
      <x:c r="J402" s="26" t="n">
        <x:v>2022.6</x:v>
      </x:c>
      <x:c r="K402" s="28" t="n">
        <x:v>0.1489</x:v>
      </x:c>
      <x:c r="L402" s="26" t="n">
        <x:v>301.17</x:v>
      </x:c>
      <x:c r="M402" t="n">
        <x:v>0</x:v>
      </x:c>
      <x:c r="N402" s="26" t="n">
        <x:v>0</x:v>
      </x:c>
      <x:c r="O402" s="26" t="n">
        <x:v>37.42</x:v>
      </x:c>
      <x:c r="P402" s="26" t="n">
        <x:v>9.1</x:v>
      </x:c>
      <x:c r="Q402" s="26" t="n">
        <x:v>17.19</x:v>
      </x:c>
      <x:c r="R402" s="26" t="n">
        <x:v>21.24</x:v>
      </x:c>
      <x:c r="S402" s="26" t="n">
        <x:v>216.22</x:v>
      </x:c>
    </x:row>
    <x:row r="403">
      <x:c r="A403" t="n">
        <x:v>500400</x:v>
      </x:c>
      <x:c r="B403" s="24" t="n">
        <x:v>45745</x:v>
      </x:c>
      <x:c r="C403" t="n">
        <x:v>1077</x:v>
      </x:c>
      <x:c r="D403" t="str">
        <x:v>Seller 1077</x:v>
      </x:c>
      <x:c r="E403" t="str">
        <x:v>Bronze</x:v>
      </x:c>
      <x:c r="F403" t="str">
        <x:v>South</x:v>
      </x:c>
      <x:c r="G403" t="str">
        <x:v>Home &amp; Kitchen</x:v>
      </x:c>
      <x:c r="H403" t="n">
        <x:v>2</x:v>
      </x:c>
      <x:c r="I403" s="26" t="n">
        <x:v>2639.4</x:v>
      </x:c>
      <x:c r="J403" s="26" t="n">
        <x:v>3450</x:v>
      </x:c>
      <x:c r="K403" s="28" t="n">
        <x:v>0.1245</x:v>
      </x:c>
      <x:c r="L403" s="26" t="n">
        <x:v>429.52</x:v>
      </x:c>
      <x:c r="M403" t="n">
        <x:v>0</x:v>
      </x:c>
      <x:c r="N403" s="26" t="n">
        <x:v>0</x:v>
      </x:c>
      <x:c r="O403" s="26" t="n">
        <x:v>63.82</x:v>
      </x:c>
      <x:c r="P403" s="26" t="n">
        <x:v>15.52</x:v>
      </x:c>
      <x:c r="Q403" s="26" t="n">
        <x:v>29.33</x:v>
      </x:c>
      <x:c r="R403" s="26" t="n">
        <x:v>36.23</x:v>
      </x:c>
      <x:c r="S403" s="26" t="n">
        <x:v>284.62</x:v>
      </x:c>
    </x:row>
    <x:row r="404">
      <x:c r="A404" t="n">
        <x:v>500401</x:v>
      </x:c>
      <x:c r="B404" s="24" t="n">
        <x:v>45746</x:v>
      </x:c>
      <x:c r="C404" t="n">
        <x:v>1036</x:v>
      </x:c>
      <x:c r="D404" t="str">
        <x:v>Seller 1036</x:v>
      </x:c>
      <x:c r="E404" t="str">
        <x:v>Silver</x:v>
      </x:c>
      <x:c r="F404" t="str">
        <x:v>Central</x:v>
      </x:c>
      <x:c r="G404" t="str">
        <x:v>Pet Supplies</x:v>
      </x:c>
      <x:c r="H404" t="n">
        <x:v>2</x:v>
      </x:c>
      <x:c r="I404" s="26" t="n">
        <x:v>1048.8</x:v>
      </x:c>
      <x:c r="J404" s="26" t="n">
        <x:v>1945.2</x:v>
      </x:c>
      <x:c r="K404" s="28" t="n">
        <x:v>0.1272</x:v>
      </x:c>
      <x:c r="L404" s="26" t="n">
        <x:v>247.43</x:v>
      </x:c>
      <x:c r="M404" t="n">
        <x:v>0</x:v>
      </x:c>
      <x:c r="N404" s="26" t="n">
        <x:v>0</x:v>
      </x:c>
      <x:c r="O404" s="26" t="n">
        <x:v>35.99</x:v>
      </x:c>
      <x:c r="P404" s="26" t="n">
        <x:v>8.75</x:v>
      </x:c>
      <x:c r="Q404" s="26" t="n">
        <x:v>16.53</x:v>
      </x:c>
      <x:c r="R404" s="26" t="n">
        <x:v>20.42</x:v>
      </x:c>
      <x:c r="S404" s="26" t="n">
        <x:v>165.73</x:v>
      </x:c>
    </x:row>
    <x:row r="405">
      <x:c r="A405" t="n">
        <x:v>500402</x:v>
      </x:c>
      <x:c r="B405" s="24" t="n">
        <x:v>45727</x:v>
      </x:c>
      <x:c r="C405" t="n">
        <x:v>1008</x:v>
      </x:c>
      <x:c r="D405" t="str">
        <x:v>Seller 1008</x:v>
      </x:c>
      <x:c r="E405" t="str">
        <x:v>Platinum</x:v>
      </x:c>
      <x:c r="F405" t="str">
        <x:v>West</x:v>
      </x:c>
      <x:c r="G405" t="str">
        <x:v>Sports</x:v>
      </x:c>
      <x:c r="H405" t="n">
        <x:v>1</x:v>
      </x:c>
      <x:c r="I405" s="26" t="n">
        <x:v>4741.2</x:v>
      </x:c>
      <x:c r="J405" s="26" t="n">
        <x:v>7746.6</x:v>
      </x:c>
      <x:c r="K405" s="28" t="n">
        <x:v>0.1194</x:v>
      </x:c>
      <x:c r="L405" s="26" t="n">
        <x:v>924.94</x:v>
      </x:c>
      <x:c r="M405" t="n">
        <x:v>0</x:v>
      </x:c>
      <x:c r="N405" s="26" t="n">
        <x:v>0</x:v>
      </x:c>
      <x:c r="O405" s="26" t="n">
        <x:v>143.31</x:v>
      </x:c>
      <x:c r="P405" s="26" t="n">
        <x:v>34.86</x:v>
      </x:c>
      <x:c r="Q405" s="26" t="n">
        <x:v>65.85</x:v>
      </x:c>
      <x:c r="R405" s="26" t="n">
        <x:v>81.34</x:v>
      </x:c>
      <x:c r="S405" s="26" t="n">
        <x:v>599.59</x:v>
      </x:c>
    </x:row>
    <x:row r="406">
      <x:c r="A406" t="n">
        <x:v>500403</x:v>
      </x:c>
      <x:c r="B406" s="24" t="n">
        <x:v>45741</x:v>
      </x:c>
      <x:c r="C406" t="n">
        <x:v>1034</x:v>
      </x:c>
      <x:c r="D406" t="str">
        <x:v>Seller 1034</x:v>
      </x:c>
      <x:c r="E406" t="str">
        <x:v>Silver</x:v>
      </x:c>
      <x:c r="F406" t="str">
        <x:v>Central</x:v>
      </x:c>
      <x:c r="G406" t="str">
        <x:v>Apparel</x:v>
      </x:c>
      <x:c r="H406" t="n">
        <x:v>2</x:v>
      </x:c>
      <x:c r="I406" s="26" t="n">
        <x:v>1973.4</x:v>
      </x:c>
      <x:c r="J406" s="26" t="n">
        <x:v>3660.6</x:v>
      </x:c>
      <x:c r="K406" s="28" t="n">
        <x:v>0.125</x:v>
      </x:c>
      <x:c r="L406" s="26" t="n">
        <x:v>457.57</x:v>
      </x:c>
      <x:c r="M406" t="n">
        <x:v>0</x:v>
      </x:c>
      <x:c r="N406" s="26" t="n">
        <x:v>0</x:v>
      </x:c>
      <x:c r="O406" s="26" t="n">
        <x:v>67.72</x:v>
      </x:c>
      <x:c r="P406" s="26" t="n">
        <x:v>16.47</x:v>
      </x:c>
      <x:c r="Q406" s="26" t="n">
        <x:v>31.12</x:v>
      </x:c>
      <x:c r="R406" s="26" t="n">
        <x:v>38.44</x:v>
      </x:c>
      <x:c r="S406" s="26" t="n">
        <x:v>303.83</x:v>
      </x:c>
    </x:row>
    <x:row r="407">
      <x:c r="A407" t="n">
        <x:v>500404</x:v>
      </x:c>
      <x:c r="B407" s="24" t="n">
        <x:v>45723</x:v>
      </x:c>
      <x:c r="C407" t="n">
        <x:v>1029</x:v>
      </x:c>
      <x:c r="D407" t="str">
        <x:v>Seller 1029</x:v>
      </x:c>
      <x:c r="E407" t="str">
        <x:v>Gold</x:v>
      </x:c>
      <x:c r="F407" t="str">
        <x:v>West</x:v>
      </x:c>
      <x:c r="G407" t="str">
        <x:v>Home &amp; Kitchen</x:v>
      </x:c>
      <x:c r="H407" t="n">
        <x:v>1</x:v>
      </x:c>
      <x:c r="I407" s="26" t="n">
        <x:v>4578.6</x:v>
      </x:c>
      <x:c r="J407" s="26" t="n">
        <x:v>5549.4</x:v>
      </x:c>
      <x:c r="K407" s="28" t="n">
        <x:v>0.1456</x:v>
      </x:c>
      <x:c r="L407" s="26" t="n">
        <x:v>807.99</x:v>
      </x:c>
      <x:c r="M407" t="n">
        <x:v>0</x:v>
      </x:c>
      <x:c r="N407" s="26" t="n">
        <x:v>0</x:v>
      </x:c>
      <x:c r="O407" s="26" t="n">
        <x:v>102.66</x:v>
      </x:c>
      <x:c r="P407" s="26" t="n">
        <x:v>24.97</x:v>
      </x:c>
      <x:c r="Q407" s="26" t="n">
        <x:v>47.17</x:v>
      </x:c>
      <x:c r="R407" s="26" t="n">
        <x:v>58.27</x:v>
      </x:c>
      <x:c r="S407" s="26" t="n">
        <x:v>574.92</x:v>
      </x:c>
    </x:row>
    <x:row r="408">
      <x:c r="A408" t="n">
        <x:v>500405</x:v>
      </x:c>
      <x:c r="B408" s="24" t="n">
        <x:v>45723</x:v>
      </x:c>
      <x:c r="C408" t="n">
        <x:v>1072</x:v>
      </x:c>
      <x:c r="D408" t="str">
        <x:v>Seller 1072</x:v>
      </x:c>
      <x:c r="E408" t="str">
        <x:v>Bronze</x:v>
      </x:c>
      <x:c r="F408" t="str">
        <x:v>South</x:v>
      </x:c>
      <x:c r="G408" t="str">
        <x:v>Home &amp; Kitchen</x:v>
      </x:c>
      <x:c r="H408" t="n">
        <x:v>2</x:v>
      </x:c>
      <x:c r="I408" s="26" t="n">
        <x:v>2578.7999999999997</x:v>
      </x:c>
      <x:c r="J408" s="26" t="n">
        <x:v>3370.2</x:v>
      </x:c>
      <x:c r="K408" s="28" t="n">
        <x:v>0.1292</x:v>
      </x:c>
      <x:c r="L408" s="26" t="n">
        <x:v>435.43</x:v>
      </x:c>
      <x:c r="M408" t="n">
        <x:v>0</x:v>
      </x:c>
      <x:c r="N408" s="26" t="n">
        <x:v>0</x:v>
      </x:c>
      <x:c r="O408" s="26" t="n">
        <x:v>62.35</x:v>
      </x:c>
      <x:c r="P408" s="26" t="n">
        <x:v>15.17</x:v>
      </x:c>
      <x:c r="Q408" s="26" t="n">
        <x:v>28.65</x:v>
      </x:c>
      <x:c r="R408" s="26" t="n">
        <x:v>35.39</x:v>
      </x:c>
      <x:c r="S408" s="26" t="n">
        <x:v>293.88</x:v>
      </x:c>
    </x:row>
    <x:row r="409">
      <x:c r="A409" t="n">
        <x:v>500406</x:v>
      </x:c>
      <x:c r="B409" s="24" t="n">
        <x:v>45729</x:v>
      </x:c>
      <x:c r="C409" t="n">
        <x:v>1043</x:v>
      </x:c>
      <x:c r="D409" t="str">
        <x:v>Seller 1043</x:v>
      </x:c>
      <x:c r="E409" t="str">
        <x:v>Silver</x:v>
      </x:c>
      <x:c r="F409" t="str">
        <x:v>West</x:v>
      </x:c>
      <x:c r="G409" t="str">
        <x:v>Sports</x:v>
      </x:c>
      <x:c r="H409" t="n">
        <x:v>2</x:v>
      </x:c>
      <x:c r="I409" s="26" t="n">
        <x:v>2535.6</x:v>
      </x:c>
      <x:c r="J409" s="26" t="n">
        <x:v>4703.4</x:v>
      </x:c>
      <x:c r="K409" s="28" t="n">
        <x:v>0.1369</x:v>
      </x:c>
      <x:c r="L409" s="26" t="n">
        <x:v>643.9</x:v>
      </x:c>
      <x:c r="M409" t="n">
        <x:v>0</x:v>
      </x:c>
      <x:c r="N409" s="26" t="n">
        <x:v>0</x:v>
      </x:c>
      <x:c r="O409" s="26" t="n">
        <x:v>87.01</x:v>
      </x:c>
      <x:c r="P409" s="26" t="n">
        <x:v>21.17</x:v>
      </x:c>
      <x:c r="Q409" s="26" t="n">
        <x:v>39.98</x:v>
      </x:c>
      <x:c r="R409" s="26" t="n">
        <x:v>49.39</x:v>
      </x:c>
      <x:c r="S409" s="26" t="n">
        <x:v>446.35</x:v>
      </x:c>
    </x:row>
    <x:row r="410">
      <x:c r="A410" t="n">
        <x:v>500407</x:v>
      </x:c>
      <x:c r="B410" s="24" t="n">
        <x:v>45737</x:v>
      </x:c>
      <x:c r="C410" t="n">
        <x:v>1034</x:v>
      </x:c>
      <x:c r="D410" t="str">
        <x:v>Seller 1034</x:v>
      </x:c>
      <x:c r="E410" t="str">
        <x:v>Silver</x:v>
      </x:c>
      <x:c r="F410" t="str">
        <x:v>Central</x:v>
      </x:c>
      <x:c r="G410" t="str">
        <x:v>Sports</x:v>
      </x:c>
      <x:c r="H410" t="n">
        <x:v>2</x:v>
      </x:c>
      <x:c r="I410" s="26" t="n">
        <x:v>2321.3999999999996</x:v>
      </x:c>
      <x:c r="J410" s="26" t="n">
        <x:v>4306.2</x:v>
      </x:c>
      <x:c r="K410" s="28" t="n">
        <x:v>0.1173</x:v>
      </x:c>
      <x:c r="L410" s="26" t="n">
        <x:v>505.12</x:v>
      </x:c>
      <x:c r="M410" t="n">
        <x:v>0</x:v>
      </x:c>
      <x:c r="N410" s="26" t="n">
        <x:v>0</x:v>
      </x:c>
      <x:c r="O410" s="26" t="n">
        <x:v>79.66</x:v>
      </x:c>
      <x:c r="P410" s="26" t="n">
        <x:v>19.38</x:v>
      </x:c>
      <x:c r="Q410" s="26" t="n">
        <x:v>36.6</x:v>
      </x:c>
      <x:c r="R410" s="26" t="n">
        <x:v>45.22</x:v>
      </x:c>
      <x:c r="S410" s="26" t="n">
        <x:v>324.26</x:v>
      </x:c>
    </x:row>
    <x:row r="411">
      <x:c r="A411" t="n">
        <x:v>500408</x:v>
      </x:c>
      <x:c r="B411" s="24" t="n">
        <x:v>45745</x:v>
      </x:c>
      <x:c r="C411" t="n">
        <x:v>1010</x:v>
      </x:c>
      <x:c r="D411" t="str">
        <x:v>Seller 1010</x:v>
      </x:c>
      <x:c r="E411" t="str">
        <x:v>Platinum</x:v>
      </x:c>
      <x:c r="F411" t="str">
        <x:v>West</x:v>
      </x:c>
      <x:c r="G411" t="str">
        <x:v>Home &amp; Kitchen</x:v>
      </x:c>
      <x:c r="H411" t="n">
        <x:v>2</x:v>
      </x:c>
      <x:c r="I411" s="26" t="n">
        <x:v>2647.2</x:v>
      </x:c>
      <x:c r="J411" s="26" t="n">
        <x:v>8649</x:v>
      </x:c>
      <x:c r="K411" s="28" t="n">
        <x:v>0.1393</x:v>
      </x:c>
      <x:c r="L411" s="26" t="n">
        <x:v>1204.81</x:v>
      </x:c>
      <x:c r="M411" t="n">
        <x:v>0</x:v>
      </x:c>
      <x:c r="N411" s="26" t="n">
        <x:v>0</x:v>
      </x:c>
      <x:c r="O411" s="26" t="n">
        <x:v>160.01</x:v>
      </x:c>
      <x:c r="P411" s="26" t="n">
        <x:v>38.92</x:v>
      </x:c>
      <x:c r="Q411" s="26" t="n">
        <x:v>73.52</x:v>
      </x:c>
      <x:c r="R411" s="26" t="n">
        <x:v>90.81</x:v>
      </x:c>
      <x:c r="S411" s="26" t="n">
        <x:v>841.55</x:v>
      </x:c>
    </x:row>
    <x:row r="412">
      <x:c r="A412" t="n">
        <x:v>500409</x:v>
      </x:c>
      <x:c r="B412" s="24" t="n">
        <x:v>45728</x:v>
      </x:c>
      <x:c r="C412" t="n">
        <x:v>1020</x:v>
      </x:c>
      <x:c r="D412" t="str">
        <x:v>Seller 1020</x:v>
      </x:c>
      <x:c r="E412" t="str">
        <x:v>Gold</x:v>
      </x:c>
      <x:c r="F412" t="str">
        <x:v>West</x:v>
      </x:c>
      <x:c r="G412" t="str">
        <x:v>Home &amp; Kitchen</x:v>
      </x:c>
      <x:c r="H412" t="n">
        <x:v>2</x:v>
      </x:c>
      <x:c r="I412" s="26" t="n">
        <x:v>2844</x:v>
      </x:c>
      <x:c r="J412" s="26" t="n">
        <x:v>6895.2</x:v>
      </x:c>
      <x:c r="K412" s="28" t="n">
        <x:v>0.1367</x:v>
      </x:c>
      <x:c r="L412" s="26" t="n">
        <x:v>942.57</x:v>
      </x:c>
      <x:c r="M412" t="n">
        <x:v>0</x:v>
      </x:c>
      <x:c r="N412" s="26" t="n">
        <x:v>0</x:v>
      </x:c>
      <x:c r="O412" s="26" t="n">
        <x:v>127.56</x:v>
      </x:c>
      <x:c r="P412" s="26" t="n">
        <x:v>31.03</x:v>
      </x:c>
      <x:c r="Q412" s="26" t="n">
        <x:v>58.61</x:v>
      </x:c>
      <x:c r="R412" s="26" t="n">
        <x:v>72.4</x:v>
      </x:c>
      <x:c r="S412" s="26" t="n">
        <x:v>652.98</x:v>
      </x:c>
    </x:row>
    <x:row r="413">
      <x:c r="A413" t="n">
        <x:v>500410</x:v>
      </x:c>
      <x:c r="B413" s="24" t="n">
        <x:v>45724</x:v>
      </x:c>
      <x:c r="C413" t="n">
        <x:v>1024</x:v>
      </x:c>
      <x:c r="D413" t="str">
        <x:v>Seller 1024</x:v>
      </x:c>
      <x:c r="E413" t="str">
        <x:v>Gold</x:v>
      </x:c>
      <x:c r="F413" t="str">
        <x:v>West</x:v>
      </x:c>
      <x:c r="G413" t="str">
        <x:v>Apparel</x:v>
      </x:c>
      <x:c r="H413" t="n">
        <x:v>1</x:v>
      </x:c>
      <x:c r="I413" s="26" t="n">
        <x:v>4623.6</x:v>
      </x:c>
      <x:c r="J413" s="26" t="n">
        <x:v>5604.6</x:v>
      </x:c>
      <x:c r="K413" s="28" t="n">
        <x:v>0.1155</x:v>
      </x:c>
      <x:c r="L413" s="26" t="n">
        <x:v>647.33</x:v>
      </x:c>
      <x:c r="M413" t="n">
        <x:v>0</x:v>
      </x:c>
      <x:c r="N413" s="26" t="n">
        <x:v>0</x:v>
      </x:c>
      <x:c r="O413" s="26" t="n">
        <x:v>103.69</x:v>
      </x:c>
      <x:c r="P413" s="26" t="n">
        <x:v>25.22</x:v>
      </x:c>
      <x:c r="Q413" s="26" t="n">
        <x:v>47.64</x:v>
      </x:c>
      <x:c r="R413" s="26" t="n">
        <x:v>58.85</x:v>
      </x:c>
      <x:c r="S413" s="26" t="n">
        <x:v>411.94</x:v>
      </x:c>
    </x:row>
    <x:row r="414">
      <x:c r="A414" t="n">
        <x:v>500411</x:v>
      </x:c>
      <x:c r="B414" s="24" t="n">
        <x:v>45731</x:v>
      </x:c>
      <x:c r="C414" t="n">
        <x:v>1022</x:v>
      </x:c>
      <x:c r="D414" t="str">
        <x:v>Seller 1022</x:v>
      </x:c>
      <x:c r="E414" t="str">
        <x:v>Gold</x:v>
      </x:c>
      <x:c r="F414" t="str">
        <x:v>East</x:v>
      </x:c>
      <x:c r="G414" t="str">
        <x:v>Sports</x:v>
      </x:c>
      <x:c r="H414" t="n">
        <x:v>3</x:v>
      </x:c>
      <x:c r="I414" s="26" t="n">
        <x:v>2056.8</x:v>
      </x:c>
      <x:c r="J414" s="26" t="n">
        <x:v>7479.6</x:v>
      </x:c>
      <x:c r="K414" s="28" t="n">
        <x:v>0.1347</x:v>
      </x:c>
      <x:c r="L414" s="26" t="n">
        <x:v>1007.5</x:v>
      </x:c>
      <x:c r="M414" t="n">
        <x:v>0</x:v>
      </x:c>
      <x:c r="N414" s="26" t="n">
        <x:v>0</x:v>
      </x:c>
      <x:c r="O414" s="26" t="n">
        <x:v>138.37</x:v>
      </x:c>
      <x:c r="P414" s="26" t="n">
        <x:v>33.66</x:v>
      </x:c>
      <x:c r="Q414" s="26" t="n">
        <x:v>63.58</x:v>
      </x:c>
      <x:c r="R414" s="26" t="n">
        <x:v>78.54</x:v>
      </x:c>
      <x:c r="S414" s="26" t="n">
        <x:v>693.36</x:v>
      </x:c>
    </x:row>
    <x:row r="415">
      <x:c r="A415" t="n">
        <x:v>500412</x:v>
      </x:c>
      <x:c r="B415" s="24" t="n">
        <x:v>45746</x:v>
      </x:c>
      <x:c r="C415" t="n">
        <x:v>1052</x:v>
      </x:c>
      <x:c r="D415" t="str">
        <x:v>Seller 1052</x:v>
      </x:c>
      <x:c r="E415" t="str">
        <x:v>Silver</x:v>
      </x:c>
      <x:c r="F415" t="str">
        <x:v>Central</x:v>
      </x:c>
      <x:c r="G415" t="str">
        <x:v>Pet Supplies</x:v>
      </x:c>
      <x:c r="H415" t="n">
        <x:v>2</x:v>
      </x:c>
      <x:c r="I415" s="26" t="n">
        <x:v>1563.6</x:v>
      </x:c>
      <x:c r="J415" s="26" t="n">
        <x:v>2900.4</x:v>
      </x:c>
      <x:c r="K415" s="28" t="n">
        <x:v>0.1328</x:v>
      </x:c>
      <x:c r="L415" s="26" t="n">
        <x:v>385.17</x:v>
      </x:c>
      <x:c r="M415" t="n">
        <x:v>0</x:v>
      </x:c>
      <x:c r="N415" s="26" t="n">
        <x:v>0</x:v>
      </x:c>
      <x:c r="O415" s="26" t="n">
        <x:v>53.66</x:v>
      </x:c>
      <x:c r="P415" s="26" t="n">
        <x:v>13.05</x:v>
      </x:c>
      <x:c r="Q415" s="26" t="n">
        <x:v>24.65</x:v>
      </x:c>
      <x:c r="R415" s="26" t="n">
        <x:v>30.45</x:v>
      </x:c>
      <x:c r="S415" s="26" t="n">
        <x:v>263.36</x:v>
      </x:c>
    </x:row>
    <x:row r="416">
      <x:c r="A416" t="n">
        <x:v>500413</x:v>
      </x:c>
      <x:c r="B416" s="24" t="n">
        <x:v>45729</x:v>
      </x:c>
      <x:c r="C416" t="n">
        <x:v>1042</x:v>
      </x:c>
      <x:c r="D416" t="str">
        <x:v>Seller 1042</x:v>
      </x:c>
      <x:c r="E416" t="str">
        <x:v>Silver</x:v>
      </x:c>
      <x:c r="F416" t="str">
        <x:v>East</x:v>
      </x:c>
      <x:c r="G416" t="str">
        <x:v>Sports</x:v>
      </x:c>
      <x:c r="H416" t="n">
        <x:v>3</x:v>
      </x:c>
      <x:c r="I416" s="26" t="n">
        <x:v>2030.4</x:v>
      </x:c>
      <x:c r="J416" s="26" t="n">
        <x:v>5650.2</x:v>
      </x:c>
      <x:c r="K416" s="28" t="n">
        <x:v>0.131</x:v>
      </x:c>
      <x:c r="L416" s="26" t="n">
        <x:v>740.18</x:v>
      </x:c>
      <x:c r="M416" t="n">
        <x:v>0</x:v>
      </x:c>
      <x:c r="N416" s="26" t="n">
        <x:v>0</x:v>
      </x:c>
      <x:c r="O416" s="26" t="n">
        <x:v>104.53</x:v>
      </x:c>
      <x:c r="P416" s="26" t="n">
        <x:v>25.43</x:v>
      </x:c>
      <x:c r="Q416" s="26" t="n">
        <x:v>48.03</x:v>
      </x:c>
      <x:c r="R416" s="26" t="n">
        <x:v>59.33</x:v>
      </x:c>
      <x:c r="S416" s="26" t="n">
        <x:v>502.87</x:v>
      </x:c>
    </x:row>
    <x:row r="417">
      <x:c r="A417" t="n">
        <x:v>500414</x:v>
      </x:c>
      <x:c r="B417" s="24" t="n">
        <x:v>45727</x:v>
      </x:c>
      <x:c r="C417" t="n">
        <x:v>1040</x:v>
      </x:c>
      <x:c r="D417" t="str">
        <x:v>Seller 1040</x:v>
      </x:c>
      <x:c r="E417" t="str">
        <x:v>Silver</x:v>
      </x:c>
      <x:c r="F417" t="str">
        <x:v>West</x:v>
      </x:c>
      <x:c r="G417" t="str">
        <x:v>Pet Supplies</x:v>
      </x:c>
      <x:c r="H417" t="n">
        <x:v>1</x:v>
      </x:c>
      <x:c r="I417" s="26" t="n">
        <x:v>3342</x:v>
      </x:c>
      <x:c r="J417" s="26" t="n">
        <x:v>3100.2</x:v>
      </x:c>
      <x:c r="K417" s="28" t="n">
        <x:v>0.124</x:v>
      </x:c>
      <x:c r="L417" s="26" t="n">
        <x:v>384.42</x:v>
      </x:c>
      <x:c r="M417" t="n">
        <x:v>0</x:v>
      </x:c>
      <x:c r="N417" s="26" t="n">
        <x:v>0</x:v>
      </x:c>
      <x:c r="O417" s="26" t="n">
        <x:v>57.35</x:v>
      </x:c>
      <x:c r="P417" s="26" t="n">
        <x:v>13.95</x:v>
      </x:c>
      <x:c r="Q417" s="26" t="n">
        <x:v>26.35</x:v>
      </x:c>
      <x:c r="R417" s="26" t="n">
        <x:v>32.55</x:v>
      </x:c>
      <x:c r="S417" s="26" t="n">
        <x:v>254.22</x:v>
      </x:c>
    </x:row>
    <x:row r="418">
      <x:c r="A418" t="n">
        <x:v>500415</x:v>
      </x:c>
      <x:c r="B418" s="24" t="n">
        <x:v>45746</x:v>
      </x:c>
      <x:c r="C418" t="n">
        <x:v>1059</x:v>
      </x:c>
      <x:c r="D418" t="str">
        <x:v>Seller 1059</x:v>
      </x:c>
      <x:c r="E418" t="str">
        <x:v>Bronze</x:v>
      </x:c>
      <x:c r="F418" t="str">
        <x:v>Central</x:v>
      </x:c>
      <x:c r="G418" t="str">
        <x:v>Sports</x:v>
      </x:c>
      <x:c r="H418" t="n">
        <x:v>1</x:v>
      </x:c>
      <x:c r="I418" s="26" t="n">
        <x:v>4371.6</x:v>
      </x:c>
      <x:c r="J418" s="26" t="n">
        <x:v>2856.6</x:v>
      </x:c>
      <x:c r="K418" s="28" t="n">
        <x:v>0.1373</x:v>
      </x:c>
      <x:c r="L418" s="26" t="n">
        <x:v>392.21</x:v>
      </x:c>
      <x:c r="M418" t="n">
        <x:v>0</x:v>
      </x:c>
      <x:c r="N418" s="26" t="n">
        <x:v>0</x:v>
      </x:c>
      <x:c r="O418" s="26" t="n">
        <x:v>52.85</x:v>
      </x:c>
      <x:c r="P418" s="26" t="n">
        <x:v>12.85</x:v>
      </x:c>
      <x:c r="Q418" s="26" t="n">
        <x:v>24.28</x:v>
      </x:c>
      <x:c r="R418" s="26" t="n">
        <x:v>29.99</x:v>
      </x:c>
      <x:c r="S418" s="26" t="n">
        <x:v>272.23</x:v>
      </x:c>
    </x:row>
    <x:row r="419">
      <x:c r="A419" t="n">
        <x:v>500416</x:v>
      </x:c>
      <x:c r="B419" s="24" t="n">
        <x:v>45741</x:v>
      </x:c>
      <x:c r="C419" t="n">
        <x:v>1063</x:v>
      </x:c>
      <x:c r="D419" t="str">
        <x:v>Seller 1063</x:v>
      </x:c>
      <x:c r="E419" t="str">
        <x:v>Bronze</x:v>
      </x:c>
      <x:c r="F419" t="str">
        <x:v>West</x:v>
      </x:c>
      <x:c r="G419" t="str">
        <x:v>Pet Supplies</x:v>
      </x:c>
      <x:c r="H419" t="n">
        <x:v>3</x:v>
      </x:c>
      <x:c r="I419" s="26" t="n">
        <x:v>1602</x:v>
      </x:c>
      <x:c r="J419" s="26" t="n">
        <x:v>3141</x:v>
      </x:c>
      <x:c r="K419" s="28" t="n">
        <x:v>0.142</x:v>
      </x:c>
      <x:c r="L419" s="26" t="n">
        <x:v>446.02</x:v>
      </x:c>
      <x:c r="M419" t="n">
        <x:v>0</x:v>
      </x:c>
      <x:c r="N419" s="26" t="n">
        <x:v>0</x:v>
      </x:c>
      <x:c r="O419" s="26" t="n">
        <x:v>58.11</x:v>
      </x:c>
      <x:c r="P419" s="26" t="n">
        <x:v>14.13</x:v>
      </x:c>
      <x:c r="Q419" s="26" t="n">
        <x:v>26.7</x:v>
      </x:c>
      <x:c r="R419" s="26" t="n">
        <x:v>32.98</x:v>
      </x:c>
      <x:c r="S419" s="26" t="n">
        <x:v>314.1</x:v>
      </x:c>
    </x:row>
    <x:row r="420">
      <x:c r="A420" t="n">
        <x:v>500417</x:v>
      </x:c>
      <x:c r="B420" s="24" t="n">
        <x:v>45730</x:v>
      </x:c>
      <x:c r="C420" t="n">
        <x:v>1017</x:v>
      </x:c>
      <x:c r="D420" t="str">
        <x:v>Seller 1017</x:v>
      </x:c>
      <x:c r="E420" t="str">
        <x:v>Gold</x:v>
      </x:c>
      <x:c r="F420" t="str">
        <x:v>East</x:v>
      </x:c>
      <x:c r="G420" t="str">
        <x:v>Electronics</x:v>
      </x:c>
      <x:c r="H420" t="n">
        <x:v>3</x:v>
      </x:c>
      <x:c r="I420" s="26" t="n">
        <x:v>3013.2</x:v>
      </x:c>
      <x:c r="J420" s="26" t="n">
        <x:v>10957.2</x:v>
      </x:c>
      <x:c r="K420" s="28" t="n">
        <x:v>0.116</x:v>
      </x:c>
      <x:c r="L420" s="26" t="n">
        <x:v>1271.04</x:v>
      </x:c>
      <x:c r="M420" t="n">
        <x:v>0</x:v>
      </x:c>
      <x:c r="N420" s="26" t="n">
        <x:v>0</x:v>
      </x:c>
      <x:c r="O420" s="26" t="n">
        <x:v>202.71</x:v>
      </x:c>
      <x:c r="P420" s="26" t="n">
        <x:v>49.31</x:v>
      </x:c>
      <x:c r="Q420" s="26" t="n">
        <x:v>93.14</x:v>
      </x:c>
      <x:c r="R420" s="26" t="n">
        <x:v>115.05</x:v>
      </x:c>
      <x:c r="S420" s="26" t="n">
        <x:v>810.83</x:v>
      </x:c>
    </x:row>
    <x:row r="421">
      <x:c r="A421" t="n">
        <x:v>500418</x:v>
      </x:c>
      <x:c r="B421" s="24" t="n">
        <x:v>45731</x:v>
      </x:c>
      <x:c r="C421" t="n">
        <x:v>1033</x:v>
      </x:c>
      <x:c r="D421" t="str">
        <x:v>Seller 1033</x:v>
      </x:c>
      <x:c r="E421" t="str">
        <x:v>Silver</x:v>
      </x:c>
      <x:c r="F421" t="str">
        <x:v>South</x:v>
      </x:c>
      <x:c r="G421" t="str">
        <x:v>Sports</x:v>
      </x:c>
      <x:c r="H421" t="n">
        <x:v>5</x:v>
      </x:c>
      <x:c r="I421" s="26" t="n">
        <x:v>1266.6</x:v>
      </x:c>
      <x:c r="J421" s="26" t="n">
        <x:v>5875.2</x:v>
      </x:c>
      <x:c r="K421" s="28" t="n">
        <x:v>0.1319</x:v>
      </x:c>
      <x:c r="L421" s="26" t="n">
        <x:v>774.94</x:v>
      </x:c>
      <x:c r="M421" t="n">
        <x:v>1</x:v>
      </x:c>
      <x:c r="N421" s="26" t="n">
        <x:v>5055</x:v>
      </x:c>
      <x:c r="O421" s="26" t="n">
        <x:v>108.69</x:v>
      </x:c>
      <x:c r="P421" s="26" t="n">
        <x:v>26.44</x:v>
      </x:c>
      <x:c r="Q421" s="26" t="n">
        <x:v>49.94</x:v>
      </x:c>
      <x:c r="R421" s="26" t="n">
        <x:v>61.69</x:v>
      </x:c>
      <x:c r="S421" s="26" t="n">
        <x:v>427.08</x:v>
      </x:c>
    </x:row>
    <x:row r="422">
      <x:c r="A422" t="n">
        <x:v>500419</x:v>
      </x:c>
      <x:c r="B422" s="24" t="n">
        <x:v>45727</x:v>
      </x:c>
      <x:c r="C422" t="n">
        <x:v>1057</x:v>
      </x:c>
      <x:c r="D422" t="str">
        <x:v>Seller 1057</x:v>
      </x:c>
      <x:c r="E422" t="str">
        <x:v>Bronze</x:v>
      </x:c>
      <x:c r="F422" t="str">
        <x:v>South</x:v>
      </x:c>
      <x:c r="G422" t="str">
        <x:v>Electronics</x:v>
      </x:c>
      <x:c r="H422" t="n">
        <x:v>1</x:v>
      </x:c>
      <x:c r="I422" s="26" t="n">
        <x:v>8469</x:v>
      </x:c>
      <x:c r="J422" s="26" t="n">
        <x:v>5534.4</x:v>
      </x:c>
      <x:c r="K422" s="28" t="n">
        <x:v>0.1167</x:v>
      </x:c>
      <x:c r="L422" s="26" t="n">
        <x:v>645.86</x:v>
      </x:c>
      <x:c r="M422" t="n">
        <x:v>0</x:v>
      </x:c>
      <x:c r="N422" s="26" t="n">
        <x:v>0</x:v>
      </x:c>
      <x:c r="O422" s="26" t="n">
        <x:v>102.39</x:v>
      </x:c>
      <x:c r="P422" s="26" t="n">
        <x:v>24.9</x:v>
      </x:c>
      <x:c r="Q422" s="26" t="n">
        <x:v>47.04</x:v>
      </x:c>
      <x:c r="R422" s="26" t="n">
        <x:v>58.11</x:v>
      </x:c>
      <x:c r="S422" s="26" t="n">
        <x:v>413.42</x:v>
      </x:c>
    </x:row>
    <x:row r="423">
      <x:c r="A423" t="n">
        <x:v>500420</x:v>
      </x:c>
      <x:c r="B423" s="24" t="n">
        <x:v>45721</x:v>
      </x:c>
      <x:c r="C423" t="n">
        <x:v>1054</x:v>
      </x:c>
      <x:c r="D423" t="str">
        <x:v>Seller 1054</x:v>
      </x:c>
      <x:c r="E423" t="str">
        <x:v>Silver</x:v>
      </x:c>
      <x:c r="F423" t="str">
        <x:v>South</x:v>
      </x:c>
      <x:c r="G423" t="str">
        <x:v>Home &amp; Kitchen</x:v>
      </x:c>
      <x:c r="H423" t="n">
        <x:v>2</x:v>
      </x:c>
      <x:c r="I423" s="26" t="n">
        <x:v>2193.6000000000004</x:v>
      </x:c>
      <x:c r="J423" s="26" t="n">
        <x:v>4069.8</x:v>
      </x:c>
      <x:c r="K423" s="28" t="n">
        <x:v>0.1375</x:v>
      </x:c>
      <x:c r="L423" s="26" t="n">
        <x:v>559.6</x:v>
      </x:c>
      <x:c r="M423" t="n">
        <x:v>0</x:v>
      </x:c>
      <x:c r="N423" s="26" t="n">
        <x:v>0</x:v>
      </x:c>
      <x:c r="O423" s="26" t="n">
        <x:v>75.29</x:v>
      </x:c>
      <x:c r="P423" s="26" t="n">
        <x:v>18.31</x:v>
      </x:c>
      <x:c r="Q423" s="26" t="n">
        <x:v>34.59</x:v>
      </x:c>
      <x:c r="R423" s="26" t="n">
        <x:v>42.73</x:v>
      </x:c>
      <x:c r="S423" s="26" t="n">
        <x:v>388.67</x:v>
      </x:c>
    </x:row>
    <x:row r="424">
      <x:c r="A424" t="n">
        <x:v>500421</x:v>
      </x:c>
      <x:c r="B424" s="24" t="n">
        <x:v>45726</x:v>
      </x:c>
      <x:c r="C424" t="n">
        <x:v>1066</x:v>
      </x:c>
      <x:c r="D424" t="str">
        <x:v>Seller 1066</x:v>
      </x:c>
      <x:c r="E424" t="str">
        <x:v>Bronze</x:v>
      </x:c>
      <x:c r="F424" t="str">
        <x:v>South</x:v>
      </x:c>
      <x:c r="G424" t="str">
        <x:v>Home &amp; Kitchen</x:v>
      </x:c>
      <x:c r="H424" t="n">
        <x:v>2</x:v>
      </x:c>
      <x:c r="I424" s="26" t="n">
        <x:v>2590.8</x:v>
      </x:c>
      <x:c r="J424" s="26" t="n">
        <x:v>3385.8</x:v>
      </x:c>
      <x:c r="K424" s="28" t="n">
        <x:v>0.1256</x:v>
      </x:c>
      <x:c r="L424" s="26" t="n">
        <x:v>425.26</x:v>
      </x:c>
      <x:c r="M424" t="n">
        <x:v>0</x:v>
      </x:c>
      <x:c r="N424" s="26" t="n">
        <x:v>0</x:v>
      </x:c>
      <x:c r="O424" s="26" t="n">
        <x:v>62.64</x:v>
      </x:c>
      <x:c r="P424" s="26" t="n">
        <x:v>15.24</x:v>
      </x:c>
      <x:c r="Q424" s="26" t="n">
        <x:v>28.78</x:v>
      </x:c>
      <x:c r="R424" s="26" t="n">
        <x:v>35.55</x:v>
      </x:c>
      <x:c r="S424" s="26" t="n">
        <x:v>283.05</x:v>
      </x:c>
    </x:row>
    <x:row r="425">
      <x:c r="A425" t="n">
        <x:v>500422</x:v>
      </x:c>
      <x:c r="B425" s="24" t="n">
        <x:v>45747</x:v>
      </x:c>
      <x:c r="C425" t="n">
        <x:v>1067</x:v>
      </x:c>
      <x:c r="D425" t="str">
        <x:v>Seller 1067</x:v>
      </x:c>
      <x:c r="E425" t="str">
        <x:v>Bronze</x:v>
      </x:c>
      <x:c r="F425" t="str">
        <x:v>South</x:v>
      </x:c>
      <x:c r="G425" t="str">
        <x:v>Beauty</x:v>
      </x:c>
      <x:c r="H425" t="n">
        <x:v>2</x:v>
      </x:c>
      <x:c r="I425" s="26" t="n">
        <x:v>1150.8</x:v>
      </x:c>
      <x:c r="J425" s="26" t="n">
        <x:v>1504.2</x:v>
      </x:c>
      <x:c r="K425" s="28" t="n">
        <x:v>0.1339</x:v>
      </x:c>
      <x:c r="L425" s="26" t="n">
        <x:v>201.41</x:v>
      </x:c>
      <x:c r="M425" t="n">
        <x:v>0</x:v>
      </x:c>
      <x:c r="N425" s="26" t="n">
        <x:v>0</x:v>
      </x:c>
      <x:c r="O425" s="26" t="n">
        <x:v>27.83</x:v>
      </x:c>
      <x:c r="P425" s="26" t="n">
        <x:v>6.77</x:v>
      </x:c>
      <x:c r="Q425" s="26" t="n">
        <x:v>12.79</x:v>
      </x:c>
      <x:c r="R425" s="26" t="n">
        <x:v>15.79</x:v>
      </x:c>
      <x:c r="S425" s="26" t="n">
        <x:v>138.24</x:v>
      </x:c>
    </x:row>
    <x:row r="426">
      <x:c r="A426" t="n">
        <x:v>500423</x:v>
      </x:c>
      <x:c r="B426" s="24" t="n">
        <x:v>45722</x:v>
      </x:c>
      <x:c r="C426" t="n">
        <x:v>1062</x:v>
      </x:c>
      <x:c r="D426" t="str">
        <x:v>Seller 1062</x:v>
      </x:c>
      <x:c r="E426" t="str">
        <x:v>Bronze</x:v>
      </x:c>
      <x:c r="F426" t="str">
        <x:v>West</x:v>
      </x:c>
      <x:c r="G426" t="str">
        <x:v>Electronics</x:v>
      </x:c>
      <x:c r="H426" t="n">
        <x:v>3</x:v>
      </x:c>
      <x:c r="I426" s="26" t="n">
        <x:v>2917.8</x:v>
      </x:c>
      <x:c r="J426" s="26" t="n">
        <x:v>5720.4</x:v>
      </x:c>
      <x:c r="K426" s="28" t="n">
        <x:v>0.1348</x:v>
      </x:c>
      <x:c r="L426" s="26" t="n">
        <x:v>771.11</x:v>
      </x:c>
      <x:c r="M426" t="n">
        <x:v>0</x:v>
      </x:c>
      <x:c r="N426" s="26" t="n">
        <x:v>0</x:v>
      </x:c>
      <x:c r="O426" s="26" t="n">
        <x:v>105.83</x:v>
      </x:c>
      <x:c r="P426" s="26" t="n">
        <x:v>25.74</x:v>
      </x:c>
      <x:c r="Q426" s="26" t="n">
        <x:v>48.62</x:v>
      </x:c>
      <x:c r="R426" s="26" t="n">
        <x:v>60.06</x:v>
      </x:c>
      <x:c r="S426" s="26" t="n">
        <x:v>530.85</x:v>
      </x:c>
    </x:row>
    <x:row r="427">
      <x:c r="A427" t="n">
        <x:v>500424</x:v>
      </x:c>
      <x:c r="B427" s="24" t="n">
        <x:v>45727</x:v>
      </x:c>
      <x:c r="C427" t="n">
        <x:v>1012</x:v>
      </x:c>
      <x:c r="D427" t="str">
        <x:v>Seller 1012</x:v>
      </x:c>
      <x:c r="E427" t="str">
        <x:v>Platinum</x:v>
      </x:c>
      <x:c r="F427" t="str">
        <x:v>East</x:v>
      </x:c>
      <x:c r="G427" t="str">
        <x:v>Electronics</x:v>
      </x:c>
      <x:c r="H427" t="n">
        <x:v>2</x:v>
      </x:c>
      <x:c r="I427" s="26" t="n">
        <x:v>4032.5999999999995</x:v>
      </x:c>
      <x:c r="J427" s="26" t="n">
        <x:v>13177.2</x:v>
      </x:c>
      <x:c r="K427" s="28" t="n">
        <x:v>0.1191</x:v>
      </x:c>
      <x:c r="L427" s="26" t="n">
        <x:v>1569.4</x:v>
      </x:c>
      <x:c r="M427" t="n">
        <x:v>0</x:v>
      </x:c>
      <x:c r="N427" s="26" t="n">
        <x:v>0</x:v>
      </x:c>
      <x:c r="O427" s="26" t="n">
        <x:v>243.78</x:v>
      </x:c>
      <x:c r="P427" s="26" t="n">
        <x:v>59.3</x:v>
      </x:c>
      <x:c r="Q427" s="26" t="n">
        <x:v>112.01</x:v>
      </x:c>
      <x:c r="R427" s="26" t="n">
        <x:v>138.36</x:v>
      </x:c>
      <x:c r="S427" s="26" t="n">
        <x:v>1015.96</x:v>
      </x:c>
    </x:row>
    <x:row r="428">
      <x:c r="A428" t="n">
        <x:v>500425</x:v>
      </x:c>
      <x:c r="B428" s="24" t="n">
        <x:v>45728</x:v>
      </x:c>
      <x:c r="C428" t="n">
        <x:v>1034</x:v>
      </x:c>
      <x:c r="D428" t="str">
        <x:v>Seller 1034</x:v>
      </x:c>
      <x:c r="E428" t="str">
        <x:v>Silver</x:v>
      </x:c>
      <x:c r="F428" t="str">
        <x:v>Central</x:v>
      </x:c>
      <x:c r="G428" t="str">
        <x:v>Sports</x:v>
      </x:c>
      <x:c r="H428" t="n">
        <x:v>3</x:v>
      </x:c>
      <x:c r="I428" s="26" t="n">
        <x:v>1652.3999999999999</x:v>
      </x:c>
      <x:c r="J428" s="26" t="n">
        <x:v>4599</x:v>
      </x:c>
      <x:c r="K428" s="28" t="n">
        <x:v>0.1169</x:v>
      </x:c>
      <x:c r="L428" s="26" t="n">
        <x:v>537.62</x:v>
      </x:c>
      <x:c r="M428" t="n">
        <x:v>0</x:v>
      </x:c>
      <x:c r="N428" s="26" t="n">
        <x:v>0</x:v>
      </x:c>
      <x:c r="O428" s="26" t="n">
        <x:v>85.08</x:v>
      </x:c>
      <x:c r="P428" s="26" t="n">
        <x:v>20.7</x:v>
      </x:c>
      <x:c r="Q428" s="26" t="n">
        <x:v>39.09</x:v>
      </x:c>
      <x:c r="R428" s="26" t="n">
        <x:v>48.29</x:v>
      </x:c>
      <x:c r="S428" s="26" t="n">
        <x:v>344.47</x:v>
      </x:c>
    </x:row>
    <x:row r="429">
      <x:c r="A429" t="n">
        <x:v>500426</x:v>
      </x:c>
      <x:c r="B429" s="24" t="n">
        <x:v>45723</x:v>
      </x:c>
      <x:c r="C429" t="n">
        <x:v>1055</x:v>
      </x:c>
      <x:c r="D429" t="str">
        <x:v>Seller 1055</x:v>
      </x:c>
      <x:c r="E429" t="str">
        <x:v>Bronze</x:v>
      </x:c>
      <x:c r="F429" t="str">
        <x:v>Central</x:v>
      </x:c>
      <x:c r="G429" t="str">
        <x:v>Pet Supplies</x:v>
      </x:c>
      <x:c r="H429" t="n">
        <x:v>3</x:v>
      </x:c>
      <x:c r="I429" s="26" t="n">
        <x:v>1276.2</x:v>
      </x:c>
      <x:c r="J429" s="26" t="n">
        <x:v>2502.6</x:v>
      </x:c>
      <x:c r="K429" s="28" t="n">
        <x:v>0.1211</x:v>
      </x:c>
      <x:c r="L429" s="26" t="n">
        <x:v>303.06</x:v>
      </x:c>
      <x:c r="M429" t="n">
        <x:v>0</x:v>
      </x:c>
      <x:c r="N429" s="26" t="n">
        <x:v>0</x:v>
      </x:c>
      <x:c r="O429" s="26" t="n">
        <x:v>46.3</x:v>
      </x:c>
      <x:c r="P429" s="26" t="n">
        <x:v>11.26</x:v>
      </x:c>
      <x:c r="Q429" s="26" t="n">
        <x:v>21.27</x:v>
      </x:c>
      <x:c r="R429" s="26" t="n">
        <x:v>26.28</x:v>
      </x:c>
      <x:c r="S429" s="26" t="n">
        <x:v>197.96</x:v>
      </x:c>
    </x:row>
    <x:row r="430">
      <x:c r="A430" t="n">
        <x:v>500427</x:v>
      </x:c>
      <x:c r="B430" s="24" t="n">
        <x:v>45723</x:v>
      </x:c>
      <x:c r="C430" t="n">
        <x:v>1043</x:v>
      </x:c>
      <x:c r="D430" t="str">
        <x:v>Seller 1043</x:v>
      </x:c>
      <x:c r="E430" t="str">
        <x:v>Silver</x:v>
      </x:c>
      <x:c r="F430" t="str">
        <x:v>West</x:v>
      </x:c>
      <x:c r="G430" t="str">
        <x:v>Sports</x:v>
      </x:c>
      <x:c r="H430" t="n">
        <x:v>1</x:v>
      </x:c>
      <x:c r="I430" s="26" t="n">
        <x:v>4753.8</x:v>
      </x:c>
      <x:c r="J430" s="26" t="n">
        <x:v>4409.4</x:v>
      </x:c>
      <x:c r="K430" s="28" t="n">
        <x:v>0.1371</x:v>
      </x:c>
      <x:c r="L430" s="26" t="n">
        <x:v>604.53</x:v>
      </x:c>
      <x:c r="M430" t="n">
        <x:v>0</x:v>
      </x:c>
      <x:c r="N430" s="26" t="n">
        <x:v>0</x:v>
      </x:c>
      <x:c r="O430" s="26" t="n">
        <x:v>81.57</x:v>
      </x:c>
      <x:c r="P430" s="26" t="n">
        <x:v>19.84</x:v>
      </x:c>
      <x:c r="Q430" s="26" t="n">
        <x:v>37.48</x:v>
      </x:c>
      <x:c r="R430" s="26" t="n">
        <x:v>46.3</x:v>
      </x:c>
      <x:c r="S430" s="26" t="n">
        <x:v>419.33</x:v>
      </x:c>
    </x:row>
    <x:row r="431">
      <x:c r="A431" t="n">
        <x:v>500428</x:v>
      </x:c>
      <x:c r="B431" s="24" t="n">
        <x:v>45738</x:v>
      </x:c>
      <x:c r="C431" t="n">
        <x:v>1015</x:v>
      </x:c>
      <x:c r="D431" t="str">
        <x:v>Seller 1015</x:v>
      </x:c>
      <x:c r="E431" t="str">
        <x:v>Gold</x:v>
      </x:c>
      <x:c r="F431" t="str">
        <x:v>West</x:v>
      </x:c>
      <x:c r="G431" t="str">
        <x:v>Pet Supplies</x:v>
      </x:c>
      <x:c r="H431" t="n">
        <x:v>3</x:v>
      </x:c>
      <x:c r="I431" s="26" t="n">
        <x:v>993.5999999999999</x:v>
      </x:c>
      <x:c r="J431" s="26" t="n">
        <x:v>3612</x:v>
      </x:c>
      <x:c r="K431" s="28" t="n">
        <x:v>0.1293</x:v>
      </x:c>
      <x:c r="L431" s="26" t="n">
        <x:v>467.03</x:v>
      </x:c>
      <x:c r="M431" t="n">
        <x:v>0</x:v>
      </x:c>
      <x:c r="N431" s="26" t="n">
        <x:v>0</x:v>
      </x:c>
      <x:c r="O431" s="26" t="n">
        <x:v>66.82</x:v>
      </x:c>
      <x:c r="P431" s="26" t="n">
        <x:v>16.25</x:v>
      </x:c>
      <x:c r="Q431" s="26" t="n">
        <x:v>30.7</x:v>
      </x:c>
      <x:c r="R431" s="26" t="n">
        <x:v>37.93</x:v>
      </x:c>
      <x:c r="S431" s="26" t="n">
        <x:v>315.33</x:v>
      </x:c>
    </x:row>
    <x:row r="432">
      <x:c r="A432" t="n">
        <x:v>500429</x:v>
      </x:c>
      <x:c r="B432" s="24" t="n">
        <x:v>45736</x:v>
      </x:c>
      <x:c r="C432" t="n">
        <x:v>1022</x:v>
      </x:c>
      <x:c r="D432" t="str">
        <x:v>Seller 1022</x:v>
      </x:c>
      <x:c r="E432" t="str">
        <x:v>Gold</x:v>
      </x:c>
      <x:c r="F432" t="str">
        <x:v>East</x:v>
      </x:c>
      <x:c r="G432" t="str">
        <x:v>Sports</x:v>
      </x:c>
      <x:c r="H432" t="n">
        <x:v>2</x:v>
      </x:c>
      <x:c r="I432" s="26" t="n">
        <x:v>2160.6</x:v>
      </x:c>
      <x:c r="J432" s="26" t="n">
        <x:v>5237.4</x:v>
      </x:c>
      <x:c r="K432" s="28" t="n">
        <x:v>0.1386</x:v>
      </x:c>
      <x:c r="L432" s="26" t="n">
        <x:v>725.9</x:v>
      </x:c>
      <x:c r="M432" t="n">
        <x:v>0</x:v>
      </x:c>
      <x:c r="N432" s="26" t="n">
        <x:v>0</x:v>
      </x:c>
      <x:c r="O432" s="26" t="n">
        <x:v>96.89</x:v>
      </x:c>
      <x:c r="P432" s="26" t="n">
        <x:v>23.57</x:v>
      </x:c>
      <x:c r="Q432" s="26" t="n">
        <x:v>44.52</x:v>
      </x:c>
      <x:c r="R432" s="26" t="n">
        <x:v>54.99</x:v>
      </x:c>
      <x:c r="S432" s="26" t="n">
        <x:v>505.93</x:v>
      </x:c>
    </x:row>
    <x:row r="433">
      <x:c r="A433" t="n">
        <x:v>500430</x:v>
      </x:c>
      <x:c r="B433" s="24" t="n">
        <x:v>45746</x:v>
      </x:c>
      <x:c r="C433" t="n">
        <x:v>1062</x:v>
      </x:c>
      <x:c r="D433" t="str">
        <x:v>Seller 1062</x:v>
      </x:c>
      <x:c r="E433" t="str">
        <x:v>Bronze</x:v>
      </x:c>
      <x:c r="F433" t="str">
        <x:v>West</x:v>
      </x:c>
      <x:c r="G433" t="str">
        <x:v>Pet Supplies</x:v>
      </x:c>
      <x:c r="H433" t="n">
        <x:v>1</x:v>
      </x:c>
      <x:c r="I433" s="26" t="n">
        <x:v>3250.2000000000003</x:v>
      </x:c>
      <x:c r="J433" s="26" t="n">
        <x:v>2124</x:v>
      </x:c>
      <x:c r="K433" s="28" t="n">
        <x:v>0.1387</x:v>
      </x:c>
      <x:c r="L433" s="26" t="n">
        <x:v>294.6</x:v>
      </x:c>
      <x:c r="M433" t="n">
        <x:v>0</x:v>
      </x:c>
      <x:c r="N433" s="26" t="n">
        <x:v>0</x:v>
      </x:c>
      <x:c r="O433" s="26" t="n">
        <x:v>39.29</x:v>
      </x:c>
      <x:c r="P433" s="26" t="n">
        <x:v>9.56</x:v>
      </x:c>
      <x:c r="Q433" s="26" t="n">
        <x:v>18.05</x:v>
      </x:c>
      <x:c r="R433" s="26" t="n">
        <x:v>22.3</x:v>
      </x:c>
      <x:c r="S433" s="26" t="n">
        <x:v>205.39</x:v>
      </x:c>
    </x:row>
    <x:row r="434">
      <x:c r="A434" t="n">
        <x:v>500431</x:v>
      </x:c>
      <x:c r="B434" s="24" t="n">
        <x:v>45718</x:v>
      </x:c>
      <x:c r="C434" t="n">
        <x:v>1017</x:v>
      </x:c>
      <x:c r="D434" t="str">
        <x:v>Seller 1017</x:v>
      </x:c>
      <x:c r="E434" t="str">
        <x:v>Gold</x:v>
      </x:c>
      <x:c r="F434" t="str">
        <x:v>East</x:v>
      </x:c>
      <x:c r="G434" t="str">
        <x:v>Electronics</x:v>
      </x:c>
      <x:c r="H434" t="n">
        <x:v>1</x:v>
      </x:c>
      <x:c r="I434" s="26" t="n">
        <x:v>8808.6</x:v>
      </x:c>
      <x:c r="J434" s="26" t="n">
        <x:v>10677</x:v>
      </x:c>
      <x:c r="K434" s="28" t="n">
        <x:v>0.1236</x:v>
      </x:c>
      <x:c r="L434" s="26" t="n">
        <x:v>1319.68</x:v>
      </x:c>
      <x:c r="M434" t="n">
        <x:v>0</x:v>
      </x:c>
      <x:c r="N434" s="26" t="n">
        <x:v>0</x:v>
      </x:c>
      <x:c r="O434" s="26" t="n">
        <x:v>197.52</x:v>
      </x:c>
      <x:c r="P434" s="26" t="n">
        <x:v>48.05</x:v>
      </x:c>
      <x:c r="Q434" s="26" t="n">
        <x:v>90.75</x:v>
      </x:c>
      <x:c r="R434" s="26" t="n">
        <x:v>112.11</x:v>
      </x:c>
      <x:c r="S434" s="26" t="n">
        <x:v>871.24</x:v>
      </x:c>
    </x:row>
    <x:row r="435">
      <x:c r="A435" t="n">
        <x:v>500432</x:v>
      </x:c>
      <x:c r="B435" s="24" t="n">
        <x:v>45740</x:v>
      </x:c>
      <x:c r="C435" t="n">
        <x:v>1068</x:v>
      </x:c>
      <x:c r="D435" t="str">
        <x:v>Seller 1068</x:v>
      </x:c>
      <x:c r="E435" t="str">
        <x:v>Bronze</x:v>
      </x:c>
      <x:c r="F435" t="str">
        <x:v>South</x:v>
      </x:c>
      <x:c r="G435" t="str">
        <x:v>Sports</x:v>
      </x:c>
      <x:c r="H435" t="n">
        <x:v>2</x:v>
      </x:c>
      <x:c r="I435" s="26" t="n">
        <x:v>2023.7999999999997</x:v>
      </x:c>
      <x:c r="J435" s="26" t="n">
        <x:v>2644.8</x:v>
      </x:c>
      <x:c r="K435" s="28" t="n">
        <x:v>0.1389</x:v>
      </x:c>
      <x:c r="L435" s="26" t="n">
        <x:v>367.36</x:v>
      </x:c>
      <x:c r="M435" t="n">
        <x:v>0</x:v>
      </x:c>
      <x:c r="N435" s="26" t="n">
        <x:v>0</x:v>
      </x:c>
      <x:c r="O435" s="26" t="n">
        <x:v>48.93</x:v>
      </x:c>
      <x:c r="P435" s="26" t="n">
        <x:v>11.9</x:v>
      </x:c>
      <x:c r="Q435" s="26" t="n">
        <x:v>22.48</x:v>
      </x:c>
      <x:c r="R435" s="26" t="n">
        <x:v>27.77</x:v>
      </x:c>
      <x:c r="S435" s="26" t="n">
        <x:v>256.28</x:v>
      </x:c>
    </x:row>
    <x:row r="436">
      <x:c r="A436" t="n">
        <x:v>500433</x:v>
      </x:c>
      <x:c r="B436" s="24" t="n">
        <x:v>45744</x:v>
      </x:c>
      <x:c r="C436" t="n">
        <x:v>1080</x:v>
      </x:c>
      <x:c r="D436" t="str">
        <x:v>Seller 1080</x:v>
      </x:c>
      <x:c r="E436" t="str">
        <x:v>Bronze</x:v>
      </x:c>
      <x:c r="F436" t="str">
        <x:v>South</x:v>
      </x:c>
      <x:c r="G436" t="str">
        <x:v>Beauty</x:v>
      </x:c>
      <x:c r="H436" t="n">
        <x:v>2</x:v>
      </x:c>
      <x:c r="I436" s="26" t="n">
        <x:v>1184.3999999999999</x:v>
      </x:c>
      <x:c r="J436" s="26" t="n">
        <x:v>1548</x:v>
      </x:c>
      <x:c r="K436" s="28" t="n">
        <x:v>0.1413</x:v>
      </x:c>
      <x:c r="L436" s="26" t="n">
        <x:v>218.73</x:v>
      </x:c>
      <x:c r="M436" t="n">
        <x:v>0</x:v>
      </x:c>
      <x:c r="N436" s="26" t="n">
        <x:v>0</x:v>
      </x:c>
      <x:c r="O436" s="26" t="n">
        <x:v>28.64</x:v>
      </x:c>
      <x:c r="P436" s="26" t="n">
        <x:v>6.97</x:v>
      </x:c>
      <x:c r="Q436" s="26" t="n">
        <x:v>13.16</x:v>
      </x:c>
      <x:c r="R436" s="26" t="n">
        <x:v>16.25</x:v>
      </x:c>
      <x:c r="S436" s="26" t="n">
        <x:v>153.72</x:v>
      </x:c>
    </x:row>
    <x:row r="437">
      <x:c r="A437" t="n">
        <x:v>500434</x:v>
      </x:c>
      <x:c r="B437" s="24" t="n">
        <x:v>45745</x:v>
      </x:c>
      <x:c r="C437" t="n">
        <x:v>1072</x:v>
      </x:c>
      <x:c r="D437" t="str">
        <x:v>Seller 1072</x:v>
      </x:c>
      <x:c r="E437" t="str">
        <x:v>Bronze</x:v>
      </x:c>
      <x:c r="F437" t="str">
        <x:v>South</x:v>
      </x:c>
      <x:c r="G437" t="str">
        <x:v>Sports</x:v>
      </x:c>
      <x:c r="H437" t="n">
        <x:v>3</x:v>
      </x:c>
      <x:c r="I437" s="26" t="n">
        <x:v>1696.2</x:v>
      </x:c>
      <x:c r="J437" s="26" t="n">
        <x:v>3325.2</x:v>
      </x:c>
      <x:c r="K437" s="28" t="n">
        <x:v>0.1198</x:v>
      </x:c>
      <x:c r="L437" s="26" t="n">
        <x:v>398.36</x:v>
      </x:c>
      <x:c r="M437" t="n">
        <x:v>0</x:v>
      </x:c>
      <x:c r="N437" s="26" t="n">
        <x:v>0</x:v>
      </x:c>
      <x:c r="O437" s="26" t="n">
        <x:v>61.52</x:v>
      </x:c>
      <x:c r="P437" s="26" t="n">
        <x:v>14.96</x:v>
      </x:c>
      <x:c r="Q437" s="26" t="n">
        <x:v>28.26</x:v>
      </x:c>
      <x:c r="R437" s="26" t="n">
        <x:v>34.91</x:v>
      </x:c>
      <x:c r="S437" s="26" t="n">
        <x:v>258.7</x:v>
      </x:c>
    </x:row>
    <x:row r="438">
      <x:c r="A438" t="n">
        <x:v>500435</x:v>
      </x:c>
      <x:c r="B438" s="24" t="n">
        <x:v>45738</x:v>
      </x:c>
      <x:c r="C438" t="n">
        <x:v>1022</x:v>
      </x:c>
      <x:c r="D438" t="str">
        <x:v>Seller 1022</x:v>
      </x:c>
      <x:c r="E438" t="str">
        <x:v>Gold</x:v>
      </x:c>
      <x:c r="F438" t="str">
        <x:v>East</x:v>
      </x:c>
      <x:c r="G438" t="str">
        <x:v>Sports</x:v>
      </x:c>
      <x:c r="H438" t="n">
        <x:v>1</x:v>
      </x:c>
      <x:c r="I438" s="26" t="n">
        <x:v>4574.4</x:v>
      </x:c>
      <x:c r="J438" s="26" t="n">
        <x:v>5544.6</x:v>
      </x:c>
      <x:c r="K438" s="28" t="n">
        <x:v>0.1393</x:v>
      </x:c>
      <x:c r="L438" s="26" t="n">
        <x:v>772.36</x:v>
      </x:c>
      <x:c r="M438" t="n">
        <x:v>0</x:v>
      </x:c>
      <x:c r="N438" s="26" t="n">
        <x:v>0</x:v>
      </x:c>
      <x:c r="O438" s="26" t="n">
        <x:v>102.58</x:v>
      </x:c>
      <x:c r="P438" s="26" t="n">
        <x:v>24.95</x:v>
      </x:c>
      <x:c r="Q438" s="26" t="n">
        <x:v>47.13</x:v>
      </x:c>
      <x:c r="R438" s="26" t="n">
        <x:v>58.22</x:v>
      </x:c>
      <x:c r="S438" s="26" t="n">
        <x:v>539.49</x:v>
      </x:c>
    </x:row>
    <x:row r="439">
      <x:c r="A439" t="n">
        <x:v>500436</x:v>
      </x:c>
      <x:c r="B439" s="24" t="n">
        <x:v>45732</x:v>
      </x:c>
      <x:c r="C439" t="n">
        <x:v>1049</x:v>
      </x:c>
      <x:c r="D439" t="str">
        <x:v>Seller 1049</x:v>
      </x:c>
      <x:c r="E439" t="str">
        <x:v>Silver</x:v>
      </x:c>
      <x:c r="F439" t="str">
        <x:v>West</x:v>
      </x:c>
      <x:c r="G439" t="str">
        <x:v>Home &amp; Kitchen</x:v>
      </x:c>
      <x:c r="H439" t="n">
        <x:v>2</x:v>
      </x:c>
      <x:c r="I439" s="26" t="n">
        <x:v>2894.4</x:v>
      </x:c>
      <x:c r="J439" s="26" t="n">
        <x:v>5369.4</x:v>
      </x:c>
      <x:c r="K439" s="28" t="n">
        <x:v>0.1422</x:v>
      </x:c>
      <x:c r="L439" s="26" t="n">
        <x:v>763.53</x:v>
      </x:c>
      <x:c r="M439" t="n">
        <x:v>0</x:v>
      </x:c>
      <x:c r="N439" s="26" t="n">
        <x:v>0</x:v>
      </x:c>
      <x:c r="O439" s="26" t="n">
        <x:v>99.33</x:v>
      </x:c>
      <x:c r="P439" s="26" t="n">
        <x:v>24.16</x:v>
      </x:c>
      <x:c r="Q439" s="26" t="n">
        <x:v>45.64</x:v>
      </x:c>
      <x:c r="R439" s="26" t="n">
        <x:v>56.38</x:v>
      </x:c>
      <x:c r="S439" s="26" t="n">
        <x:v>538.01</x:v>
      </x:c>
    </x:row>
    <x:row r="440">
      <x:c r="A440" t="n">
        <x:v>500437</x:v>
      </x:c>
      <x:c r="B440" s="24" t="n">
        <x:v>45718</x:v>
      </x:c>
      <x:c r="C440" t="n">
        <x:v>1041</x:v>
      </x:c>
      <x:c r="D440" t="str">
        <x:v>Seller 1041</x:v>
      </x:c>
      <x:c r="E440" t="str">
        <x:v>Silver</x:v>
      </x:c>
      <x:c r="F440" t="str">
        <x:v>West</x:v>
      </x:c>
      <x:c r="G440" t="str">
        <x:v>Apparel</x:v>
      </x:c>
      <x:c r="H440" t="n">
        <x:v>1</x:v>
      </x:c>
      <x:c r="I440" s="26" t="n">
        <x:v>3847.2000000000003</x:v>
      </x:c>
      <x:c r="J440" s="26" t="n">
        <x:v>3568.8</x:v>
      </x:c>
      <x:c r="K440" s="28" t="n">
        <x:v>0.1105</x:v>
      </x:c>
      <x:c r="L440" s="26" t="n">
        <x:v>394.35</x:v>
      </x:c>
      <x:c r="M440" t="n">
        <x:v>0</x:v>
      </x:c>
      <x:c r="N440" s="26" t="n">
        <x:v>0</x:v>
      </x:c>
      <x:c r="O440" s="26" t="n">
        <x:v>66.02</x:v>
      </x:c>
      <x:c r="P440" s="26" t="n">
        <x:v>16.06</x:v>
      </x:c>
      <x:c r="Q440" s="26" t="n">
        <x:v>30.33</x:v>
      </x:c>
      <x:c r="R440" s="26" t="n">
        <x:v>37.47</x:v>
      </x:c>
      <x:c r="S440" s="26" t="n">
        <x:v>244.46</x:v>
      </x:c>
    </x:row>
    <x:row r="441">
      <x:c r="A441" t="n">
        <x:v>500438</x:v>
      </x:c>
      <x:c r="B441" s="24" t="n">
        <x:v>45728</x:v>
      </x:c>
      <x:c r="C441" t="n">
        <x:v>1012</x:v>
      </x:c>
      <x:c r="D441" t="str">
        <x:v>Seller 1012</x:v>
      </x:c>
      <x:c r="E441" t="str">
        <x:v>Platinum</x:v>
      </x:c>
      <x:c r="F441" t="str">
        <x:v>East</x:v>
      </x:c>
      <x:c r="G441" t="str">
        <x:v>Sports</x:v>
      </x:c>
      <x:c r="H441" t="n">
        <x:v>1</x:v>
      </x:c>
      <x:c r="I441" s="26" t="n">
        <x:v>3976.8</x:v>
      </x:c>
      <x:c r="J441" s="26" t="n">
        <x:v>6497.4</x:v>
      </x:c>
      <x:c r="K441" s="28" t="n">
        <x:v>0.1295</x:v>
      </x:c>
      <x:c r="L441" s="26" t="n">
        <x:v>841.41</x:v>
      </x:c>
      <x:c r="M441" t="n">
        <x:v>0</x:v>
      </x:c>
      <x:c r="N441" s="26" t="n">
        <x:v>0</x:v>
      </x:c>
      <x:c r="O441" s="26" t="n">
        <x:v>120.2</x:v>
      </x:c>
      <x:c r="P441" s="26" t="n">
        <x:v>29.24</x:v>
      </x:c>
      <x:c r="Q441" s="26" t="n">
        <x:v>55.23</x:v>
      </x:c>
      <x:c r="R441" s="26" t="n">
        <x:v>68.22</x:v>
      </x:c>
      <x:c r="S441" s="26" t="n">
        <x:v>568.52</x:v>
      </x:c>
    </x:row>
    <x:row r="442">
      <x:c r="A442" t="n">
        <x:v>500439</x:v>
      </x:c>
      <x:c r="B442" s="24" t="n">
        <x:v>45729</x:v>
      </x:c>
      <x:c r="C442" t="n">
        <x:v>1047</x:v>
      </x:c>
      <x:c r="D442" t="str">
        <x:v>Seller 1047</x:v>
      </x:c>
      <x:c r="E442" t="str">
        <x:v>Silver</x:v>
      </x:c>
      <x:c r="F442" t="str">
        <x:v>East</x:v>
      </x:c>
      <x:c r="G442" t="str">
        <x:v>Home &amp; Kitchen</x:v>
      </x:c>
      <x:c r="H442" t="n">
        <x:v>3</x:v>
      </x:c>
      <x:c r="I442" s="26" t="n">
        <x:v>1347</x:v>
      </x:c>
      <x:c r="J442" s="26" t="n">
        <x:v>3747.6</x:v>
      </x:c>
      <x:c r="K442" s="28" t="n">
        <x:v>0.1414</x:v>
      </x:c>
      <x:c r="L442" s="26" t="n">
        <x:v>529.91</x:v>
      </x:c>
      <x:c r="M442" t="n">
        <x:v>0</x:v>
      </x:c>
      <x:c r="N442" s="26" t="n">
        <x:v>0</x:v>
      </x:c>
      <x:c r="O442" s="26" t="n">
        <x:v>69.33</x:v>
      </x:c>
      <x:c r="P442" s="26" t="n">
        <x:v>16.86</x:v>
      </x:c>
      <x:c r="Q442" s="26" t="n">
        <x:v>31.85</x:v>
      </x:c>
      <x:c r="R442" s="26" t="n">
        <x:v>39.35</x:v>
      </x:c>
      <x:c r="S442" s="26" t="n">
        <x:v>372.51</x:v>
      </x:c>
    </x:row>
    <x:row r="443">
      <x:c r="A443" t="n">
        <x:v>500440</x:v>
      </x:c>
      <x:c r="B443" s="24" t="n">
        <x:v>45727</x:v>
      </x:c>
      <x:c r="C443" t="n">
        <x:v>1058</x:v>
      </x:c>
      <x:c r="D443" t="str">
        <x:v>Seller 1058</x:v>
      </x:c>
      <x:c r="E443" t="str">
        <x:v>Bronze</x:v>
      </x:c>
      <x:c r="F443" t="str">
        <x:v>East</x:v>
      </x:c>
      <x:c r="G443" t="str">
        <x:v>Beauty</x:v>
      </x:c>
      <x:c r="H443" t="n">
        <x:v>2</x:v>
      </x:c>
      <x:c r="I443" s="26" t="n">
        <x:v>1170.6000000000001</x:v>
      </x:c>
      <x:c r="J443" s="26" t="n">
        <x:v>1530</x:v>
      </x:c>
      <x:c r="K443" s="28" t="n">
        <x:v>0.1412</x:v>
      </x:c>
      <x:c r="L443" s="26" t="n">
        <x:v>216.04</x:v>
      </x:c>
      <x:c r="M443" t="n">
        <x:v>0</x:v>
      </x:c>
      <x:c r="N443" s="26" t="n">
        <x:v>0</x:v>
      </x:c>
      <x:c r="O443" s="26" t="n">
        <x:v>28.3</x:v>
      </x:c>
      <x:c r="P443" s="26" t="n">
        <x:v>6.88</x:v>
      </x:c>
      <x:c r="Q443" s="26" t="n">
        <x:v>13.01</x:v>
      </x:c>
      <x:c r="R443" s="26" t="n">
        <x:v>16.07</x:v>
      </x:c>
      <x:c r="S443" s="26" t="n">
        <x:v>151.78</x:v>
      </x:c>
    </x:row>
    <x:row r="444">
      <x:c r="A444" t="n">
        <x:v>500441</x:v>
      </x:c>
      <x:c r="B444" s="24" t="n">
        <x:v>45741</x:v>
      </x:c>
      <x:c r="C444" t="n">
        <x:v>1071</x:v>
      </x:c>
      <x:c r="D444" t="str">
        <x:v>Seller 1071</x:v>
      </x:c>
      <x:c r="E444" t="str">
        <x:v>Bronze</x:v>
      </x:c>
      <x:c r="F444" t="str">
        <x:v>Central</x:v>
      </x:c>
      <x:c r="G444" t="str">
        <x:v>Sports</x:v>
      </x:c>
      <x:c r="H444" t="n">
        <x:v>2</x:v>
      </x:c>
      <x:c r="I444" s="26" t="n">
        <x:v>2173.2</x:v>
      </x:c>
      <x:c r="J444" s="26" t="n">
        <x:v>2840.4</x:v>
      </x:c>
      <x:c r="K444" s="28" t="n">
        <x:v>0.1199</x:v>
      </x:c>
      <x:c r="L444" s="26" t="n">
        <x:v>340.56</x:v>
      </x:c>
      <x:c r="M444" t="n">
        <x:v>0</x:v>
      </x:c>
      <x:c r="N444" s="26" t="n">
        <x:v>0</x:v>
      </x:c>
      <x:c r="O444" s="26" t="n">
        <x:v>52.55</x:v>
      </x:c>
      <x:c r="P444" s="26" t="n">
        <x:v>12.78</x:v>
      </x:c>
      <x:c r="Q444" s="26" t="n">
        <x:v>24.14</x:v>
      </x:c>
      <x:c r="R444" s="26" t="n">
        <x:v>29.82</x:v>
      </x:c>
      <x:c r="S444" s="26" t="n">
        <x:v>221.27</x:v>
      </x:c>
    </x:row>
    <x:row r="445">
      <x:c r="A445" t="n">
        <x:v>500442</x:v>
      </x:c>
      <x:c r="B445" s="24" t="n">
        <x:v>45743</x:v>
      </x:c>
      <x:c r="C445" t="n">
        <x:v>1053</x:v>
      </x:c>
      <x:c r="D445" t="str">
        <x:v>Seller 1053</x:v>
      </x:c>
      <x:c r="E445" t="str">
        <x:v>Silver</x:v>
      </x:c>
      <x:c r="F445" t="str">
        <x:v>Central</x:v>
      </x:c>
      <x:c r="G445" t="str">
        <x:v>Beauty</x:v>
      </x:c>
      <x:c r="H445" t="n">
        <x:v>2</x:v>
      </x:c>
      <x:c r="I445" s="26" t="n">
        <x:v>1232.3999999999999</x:v>
      </x:c>
      <x:c r="J445" s="26" t="n">
        <x:v>2286.6</x:v>
      </x:c>
      <x:c r="K445" s="28" t="n">
        <x:v>0.1553</x:v>
      </x:c>
      <x:c r="L445" s="26" t="n">
        <x:v>355.11</x:v>
      </x:c>
      <x:c r="M445" t="n">
        <x:v>0</x:v>
      </x:c>
      <x:c r="N445" s="26" t="n">
        <x:v>0</x:v>
      </x:c>
      <x:c r="O445" s="26" t="n">
        <x:v>42.3</x:v>
      </x:c>
      <x:c r="P445" s="26" t="n">
        <x:v>10.29</x:v>
      </x:c>
      <x:c r="Q445" s="26" t="n">
        <x:v>19.44</x:v>
      </x:c>
      <x:c r="R445" s="26" t="n">
        <x:v>24.01</x:v>
      </x:c>
      <x:c r="S445" s="26" t="n">
        <x:v>259.07</x:v>
      </x:c>
    </x:row>
    <x:row r="446">
      <x:c r="A446" t="n">
        <x:v>500443</x:v>
      </x:c>
      <x:c r="B446" s="24" t="n">
        <x:v>45742</x:v>
      </x:c>
      <x:c r="C446" t="n">
        <x:v>1025</x:v>
      </x:c>
      <x:c r="D446" t="str">
        <x:v>Seller 1025</x:v>
      </x:c>
      <x:c r="E446" t="str">
        <x:v>Gold</x:v>
      </x:c>
      <x:c r="F446" t="str">
        <x:v>Central</x:v>
      </x:c>
      <x:c r="G446" t="str">
        <x:v>Pet Supplies</x:v>
      </x:c>
      <x:c r="H446" t="n">
        <x:v>3</x:v>
      </x:c>
      <x:c r="I446" s="26" t="n">
        <x:v>1201.8000000000002</x:v>
      </x:c>
      <x:c r="J446" s="26" t="n">
        <x:v>4370.4</x:v>
      </x:c>
      <x:c r="K446" s="28" t="n">
        <x:v>0.1422</x:v>
      </x:c>
      <x:c r="L446" s="26" t="n">
        <x:v>621.47</x:v>
      </x:c>
      <x:c r="M446" t="n">
        <x:v>0</x:v>
      </x:c>
      <x:c r="N446" s="26" t="n">
        <x:v>0</x:v>
      </x:c>
      <x:c r="O446" s="26" t="n">
        <x:v>80.85</x:v>
      </x:c>
      <x:c r="P446" s="26" t="n">
        <x:v>19.67</x:v>
      </x:c>
      <x:c r="Q446" s="26" t="n">
        <x:v>37.15</x:v>
      </x:c>
      <x:c r="R446" s="26" t="n">
        <x:v>45.89</x:v>
      </x:c>
      <x:c r="S446" s="26" t="n">
        <x:v>437.91</x:v>
      </x:c>
    </x:row>
    <x:row r="447">
      <x:c r="A447" t="n">
        <x:v>500444</x:v>
      </x:c>
      <x:c r="B447" s="24" t="n">
        <x:v>45735</x:v>
      </x:c>
      <x:c r="C447" t="n">
        <x:v>1058</x:v>
      </x:c>
      <x:c r="D447" t="str">
        <x:v>Seller 1058</x:v>
      </x:c>
      <x:c r="E447" t="str">
        <x:v>Bronze</x:v>
      </x:c>
      <x:c r="F447" t="str">
        <x:v>East</x:v>
      </x:c>
      <x:c r="G447" t="str">
        <x:v>Beauty</x:v>
      </x:c>
      <x:c r="H447" t="n">
        <x:v>1</x:v>
      </x:c>
      <x:c r="I447" s="26" t="n">
        <x:v>2506.8</x:v>
      </x:c>
      <x:c r="J447" s="26" t="n">
        <x:v>1638</x:v>
      </x:c>
      <x:c r="K447" s="28" t="n">
        <x:v>0.1561</x:v>
      </x:c>
      <x:c r="L447" s="26" t="n">
        <x:v>255.69</x:v>
      </x:c>
      <x:c r="M447" t="n">
        <x:v>0</x:v>
      </x:c>
      <x:c r="N447" s="26" t="n">
        <x:v>0</x:v>
      </x:c>
      <x:c r="O447" s="26" t="n">
        <x:v>30.3</x:v>
      </x:c>
      <x:c r="P447" s="26" t="n">
        <x:v>7.37</x:v>
      </x:c>
      <x:c r="Q447" s="26" t="n">
        <x:v>13.92</x:v>
      </x:c>
      <x:c r="R447" s="26" t="n">
        <x:v>17.2</x:v>
      </x:c>
      <x:c r="S447" s="26" t="n">
        <x:v>186.9</x:v>
      </x:c>
    </x:row>
    <x:row r="448">
      <x:c r="A448" t="n">
        <x:v>500445</x:v>
      </x:c>
      <x:c r="B448" s="24" t="n">
        <x:v>45744</x:v>
      </x:c>
      <x:c r="C448" t="n">
        <x:v>1056</x:v>
      </x:c>
      <x:c r="D448" t="str">
        <x:v>Seller 1056</x:v>
      </x:c>
      <x:c r="E448" t="str">
        <x:v>Bronze</x:v>
      </x:c>
      <x:c r="F448" t="str">
        <x:v>West</x:v>
      </x:c>
      <x:c r="G448" t="str">
        <x:v>Apparel</x:v>
      </x:c>
      <x:c r="H448" t="n">
        <x:v>3</x:v>
      </x:c>
      <x:c r="I448" s="26" t="n">
        <x:v>1035</x:v>
      </x:c>
      <x:c r="J448" s="26" t="n">
        <x:v>2029.2</x:v>
      </x:c>
      <x:c r="K448" s="28" t="n">
        <x:v>0.1298</x:v>
      </x:c>
      <x:c r="L448" s="26" t="n">
        <x:v>263.39</x:v>
      </x:c>
      <x:c r="M448" t="n">
        <x:v>0</x:v>
      </x:c>
      <x:c r="N448" s="26" t="n">
        <x:v>0</x:v>
      </x:c>
      <x:c r="O448" s="26" t="n">
        <x:v>37.54</x:v>
      </x:c>
      <x:c r="P448" s="26" t="n">
        <x:v>9.13</x:v>
      </x:c>
      <x:c r="Q448" s="26" t="n">
        <x:v>17.25</x:v>
      </x:c>
      <x:c r="R448" s="26" t="n">
        <x:v>21.31</x:v>
      </x:c>
      <x:c r="S448" s="26" t="n">
        <x:v>178.16</x:v>
      </x:c>
    </x:row>
    <x:row r="449">
      <x:c r="A449" t="n">
        <x:v>500446</x:v>
      </x:c>
      <x:c r="B449" s="24" t="n">
        <x:v>45737</x:v>
      </x:c>
      <x:c r="C449" t="n">
        <x:v>1017</x:v>
      </x:c>
      <x:c r="D449" t="str">
        <x:v>Seller 1017</x:v>
      </x:c>
      <x:c r="E449" t="str">
        <x:v>Gold</x:v>
      </x:c>
      <x:c r="F449" t="str">
        <x:v>East</x:v>
      </x:c>
      <x:c r="G449" t="str">
        <x:v>Electronics</x:v>
      </x:c>
      <x:c r="H449" t="n">
        <x:v>1</x:v>
      </x:c>
      <x:c r="I449" s="26" t="n">
        <x:v>7905.599999999999</x:v>
      </x:c>
      <x:c r="J449" s="26" t="n">
        <x:v>9583.2</x:v>
      </x:c>
      <x:c r="K449" s="28" t="n">
        <x:v>0.1207</x:v>
      </x:c>
      <x:c r="L449" s="26" t="n">
        <x:v>1156.69</x:v>
      </x:c>
      <x:c r="M449" t="n">
        <x:v>0</x:v>
      </x:c>
      <x:c r="N449" s="26" t="n">
        <x:v>0</x:v>
      </x:c>
      <x:c r="O449" s="26" t="n">
        <x:v>177.29</x:v>
      </x:c>
      <x:c r="P449" s="26" t="n">
        <x:v>43.12</x:v>
      </x:c>
      <x:c r="Q449" s="26" t="n">
        <x:v>81.46</x:v>
      </x:c>
      <x:c r="R449" s="26" t="n">
        <x:v>100.62</x:v>
      </x:c>
      <x:c r="S449" s="26" t="n">
        <x:v>754.2</x:v>
      </x:c>
    </x:row>
    <x:row r="450">
      <x:c r="A450" t="n">
        <x:v>500447</x:v>
      </x:c>
      <x:c r="B450" s="24" t="n">
        <x:v>45740</x:v>
      </x:c>
      <x:c r="C450" t="n">
        <x:v>1032</x:v>
      </x:c>
      <x:c r="D450" t="str">
        <x:v>Seller 1032</x:v>
      </x:c>
      <x:c r="E450" t="str">
        <x:v>Silver</x:v>
      </x:c>
      <x:c r="F450" t="str">
        <x:v>West</x:v>
      </x:c>
      <x:c r="G450" t="str">
        <x:v>Pet Supplies</x:v>
      </x:c>
      <x:c r="H450" t="n">
        <x:v>4</x:v>
      </x:c>
      <x:c r="I450" s="26" t="n">
        <x:v>630</x:v>
      </x:c>
      <x:c r="J450" s="26" t="n">
        <x:v>2336.4</x:v>
      </x:c>
      <x:c r="K450" s="28" t="n">
        <x:v>0.1309</x:v>
      </x:c>
      <x:c r="L450" s="26" t="n">
        <x:v>305.83</x:v>
      </x:c>
      <x:c r="M450" t="n">
        <x:v>0</x:v>
      </x:c>
      <x:c r="N450" s="26" t="n">
        <x:v>0</x:v>
      </x:c>
      <x:c r="O450" s="26" t="n">
        <x:v>43.22</x:v>
      </x:c>
      <x:c r="P450" s="26" t="n">
        <x:v>10.51</x:v>
      </x:c>
      <x:c r="Q450" s="26" t="n">
        <x:v>19.86</x:v>
      </x:c>
      <x:c r="R450" s="26" t="n">
        <x:v>24.53</x:v>
      </x:c>
      <x:c r="S450" s="26" t="n">
        <x:v>207.71</x:v>
      </x:c>
    </x:row>
    <x:row r="451">
      <x:c r="A451" t="n">
        <x:v>500448</x:v>
      </x:c>
      <x:c r="B451" s="24" t="n">
        <x:v>45724</x:v>
      </x:c>
      <x:c r="C451" t="n">
        <x:v>1066</x:v>
      </x:c>
      <x:c r="D451" t="str">
        <x:v>Seller 1066</x:v>
      </x:c>
      <x:c r="E451" t="str">
        <x:v>Bronze</x:v>
      </x:c>
      <x:c r="F451" t="str">
        <x:v>South</x:v>
      </x:c>
      <x:c r="G451" t="str">
        <x:v>Home &amp; Kitchen</x:v>
      </x:c>
      <x:c r="H451" t="n">
        <x:v>2</x:v>
      </x:c>
      <x:c r="I451" s="26" t="n">
        <x:v>1714.8</x:v>
      </x:c>
      <x:c r="J451" s="26" t="n">
        <x:v>2241</x:v>
      </x:c>
      <x:c r="K451" s="28" t="n">
        <x:v>0.1401</x:v>
      </x:c>
      <x:c r="L451" s="26" t="n">
        <x:v>313.96</x:v>
      </x:c>
      <x:c r="M451" t="n">
        <x:v>0</x:v>
      </x:c>
      <x:c r="N451" s="26" t="n">
        <x:v>0</x:v>
      </x:c>
      <x:c r="O451" s="26" t="n">
        <x:v>41.46</x:v>
      </x:c>
      <x:c r="P451" s="26" t="n">
        <x:v>10.08</x:v>
      </x:c>
      <x:c r="Q451" s="26" t="n">
        <x:v>19.05</x:v>
      </x:c>
      <x:c r="R451" s="26" t="n">
        <x:v>23.53</x:v>
      </x:c>
      <x:c r="S451" s="26" t="n">
        <x:v>219.84</x:v>
      </x:c>
    </x:row>
    <x:row r="452">
      <x:c r="A452" t="n">
        <x:v>500449</x:v>
      </x:c>
      <x:c r="B452" s="24" t="n">
        <x:v>45723</x:v>
      </x:c>
      <x:c r="C452" t="n">
        <x:v>1027</x:v>
      </x:c>
      <x:c r="D452" t="str">
        <x:v>Seller 1027</x:v>
      </x:c>
      <x:c r="E452" t="str">
        <x:v>Gold</x:v>
      </x:c>
      <x:c r="F452" t="str">
        <x:v>West</x:v>
      </x:c>
      <x:c r="G452" t="str">
        <x:v>Apparel</x:v>
      </x:c>
      <x:c r="H452" t="n">
        <x:v>2</x:v>
      </x:c>
      <x:c r="I452" s="26" t="n">
        <x:v>2193.6000000000004</x:v>
      </x:c>
      <x:c r="J452" s="26" t="n">
        <x:v>5317.8</x:v>
      </x:c>
      <x:c r="K452" s="28" t="n">
        <x:v>0.1241</x:v>
      </x:c>
      <x:c r="L452" s="26" t="n">
        <x:v>659.94</x:v>
      </x:c>
      <x:c r="M452" t="n">
        <x:v>0</x:v>
      </x:c>
      <x:c r="N452" s="26" t="n">
        <x:v>0</x:v>
      </x:c>
      <x:c r="O452" s="26" t="n">
        <x:v>98.38</x:v>
      </x:c>
      <x:c r="P452" s="26" t="n">
        <x:v>23.93</x:v>
      </x:c>
      <x:c r="Q452" s="26" t="n">
        <x:v>45.2</x:v>
      </x:c>
      <x:c r="R452" s="26" t="n">
        <x:v>55.84</x:v>
      </x:c>
      <x:c r="S452" s="26" t="n">
        <x:v>436.59</x:v>
      </x:c>
    </x:row>
    <x:row r="453">
      <x:c r="A453" t="n">
        <x:v>500450</x:v>
      </x:c>
      <x:c r="B453" s="24" t="n">
        <x:v>45739</x:v>
      </x:c>
      <x:c r="C453" t="n">
        <x:v>1065</x:v>
      </x:c>
      <x:c r="D453" t="str">
        <x:v>Seller 1065</x:v>
      </x:c>
      <x:c r="E453" t="str">
        <x:v>Bronze</x:v>
      </x:c>
      <x:c r="F453" t="str">
        <x:v>South</x:v>
      </x:c>
      <x:c r="G453" t="str">
        <x:v>Home &amp; Kitchen</x:v>
      </x:c>
      <x:c r="H453" t="n">
        <x:v>1</x:v>
      </x:c>
      <x:c r="I453" s="26" t="n">
        <x:v>4450.2</x:v>
      </x:c>
      <x:c r="J453" s="26" t="n">
        <x:v>2908.2</x:v>
      </x:c>
      <x:c r="K453" s="28" t="n">
        <x:v>0.1413</x:v>
      </x:c>
      <x:c r="L453" s="26" t="n">
        <x:v>410.93</x:v>
      </x:c>
      <x:c r="M453" t="n">
        <x:v>0</x:v>
      </x:c>
      <x:c r="N453" s="26" t="n">
        <x:v>0</x:v>
      </x:c>
      <x:c r="O453" s="26" t="n">
        <x:v>53.8</x:v>
      </x:c>
      <x:c r="P453" s="26" t="n">
        <x:v>13.09</x:v>
      </x:c>
      <x:c r="Q453" s="26" t="n">
        <x:v>24.72</x:v>
      </x:c>
      <x:c r="R453" s="26" t="n">
        <x:v>30.54</x:v>
      </x:c>
      <x:c r="S453" s="26" t="n">
        <x:v>288.78</x:v>
      </x:c>
    </x:row>
    <x:row r="454">
      <x:c r="A454" t="n">
        <x:v>500451</x:v>
      </x:c>
      <x:c r="B454" s="24" t="n">
        <x:v>45730</x:v>
      </x:c>
      <x:c r="C454" t="n">
        <x:v>1054</x:v>
      </x:c>
      <x:c r="D454" t="str">
        <x:v>Seller 1054</x:v>
      </x:c>
      <x:c r="E454" t="str">
        <x:v>Silver</x:v>
      </x:c>
      <x:c r="F454" t="str">
        <x:v>South</x:v>
      </x:c>
      <x:c r="G454" t="str">
        <x:v>Home &amp; Kitchen</x:v>
      </x:c>
      <x:c r="H454" t="n">
        <x:v>3</x:v>
      </x:c>
      <x:c r="I454" s="26" t="n">
        <x:v>1339.2</x:v>
      </x:c>
      <x:c r="J454" s="26" t="n">
        <x:v>3726.6</x:v>
      </x:c>
      <x:c r="K454" s="28" t="n">
        <x:v>0.1441</x:v>
      </x:c>
      <x:c r="L454" s="26" t="n">
        <x:v>537</x:v>
      </x:c>
      <x:c r="M454" t="n">
        <x:v>1</x:v>
      </x:c>
      <x:c r="N454" s="26" t="n">
        <x:v>2228.4</x:v>
      </x:c>
      <x:c r="O454" s="26" t="n">
        <x:v>68.94</x:v>
      </x:c>
      <x:c r="P454" s="26" t="n">
        <x:v>16.77</x:v>
      </x:c>
      <x:c r="Q454" s="26" t="n">
        <x:v>31.68</x:v>
      </x:c>
      <x:c r="R454" s="26" t="n">
        <x:v>39.13</x:v>
      </x:c>
      <x:c r="S454" s="26" t="n">
        <x:v>335.92</x:v>
      </x:c>
    </x:row>
    <x:row r="455">
      <x:c r="A455" t="n">
        <x:v>500452</x:v>
      </x:c>
      <x:c r="B455" s="24" t="n">
        <x:v>45722</x:v>
      </x:c>
      <x:c r="C455" t="n">
        <x:v>1019</x:v>
      </x:c>
      <x:c r="D455" t="str">
        <x:v>Seller 1019</x:v>
      </x:c>
      <x:c r="E455" t="str">
        <x:v>Gold</x:v>
      </x:c>
      <x:c r="F455" t="str">
        <x:v>East</x:v>
      </x:c>
      <x:c r="G455" t="str">
        <x:v>Apparel</x:v>
      </x:c>
      <x:c r="H455" t="n">
        <x:v>3</x:v>
      </x:c>
      <x:c r="I455" s="26" t="n">
        <x:v>1364.3999999999999</x:v>
      </x:c>
      <x:c r="J455" s="26" t="n">
        <x:v>4961.4</x:v>
      </x:c>
      <x:c r="K455" s="28" t="n">
        <x:v>0.1269</x:v>
      </x:c>
      <x:c r="L455" s="26" t="n">
        <x:v>629.6</x:v>
      </x:c>
      <x:c r="M455" t="n">
        <x:v>0</x:v>
      </x:c>
      <x:c r="N455" s="26" t="n">
        <x:v>0</x:v>
      </x:c>
      <x:c r="O455" s="26" t="n">
        <x:v>91.79</x:v>
      </x:c>
      <x:c r="P455" s="26" t="n">
        <x:v>22.33</x:v>
      </x:c>
      <x:c r="Q455" s="26" t="n">
        <x:v>42.17</x:v>
      </x:c>
      <x:c r="R455" s="26" t="n">
        <x:v>52.09</x:v>
      </x:c>
      <x:c r="S455" s="26" t="n">
        <x:v>421.22</x:v>
      </x:c>
    </x:row>
    <x:row r="456">
      <x:c r="A456" t="n">
        <x:v>500453</x:v>
      </x:c>
      <x:c r="B456" s="24" t="n">
        <x:v>45745</x:v>
      </x:c>
      <x:c r="C456" t="n">
        <x:v>1008</x:v>
      </x:c>
      <x:c r="D456" t="str">
        <x:v>Seller 1008</x:v>
      </x:c>
      <x:c r="E456" t="str">
        <x:v>Platinum</x:v>
      </x:c>
      <x:c r="F456" t="str">
        <x:v>West</x:v>
      </x:c>
      <x:c r="G456" t="str">
        <x:v>Electronics</x:v>
      </x:c>
      <x:c r="H456" t="n">
        <x:v>2</x:v>
      </x:c>
      <x:c r="I456" s="26" t="n">
        <x:v>5468.4</x:v>
      </x:c>
      <x:c r="J456" s="26" t="n">
        <x:v>17868</x:v>
      </x:c>
      <x:c r="K456" s="28" t="n">
        <x:v>0.1138</x:v>
      </x:c>
      <x:c r="L456" s="26" t="n">
        <x:v>2033.38</x:v>
      </x:c>
      <x:c r="M456" t="n">
        <x:v>0</x:v>
      </x:c>
      <x:c r="N456" s="26" t="n">
        <x:v>0</x:v>
      </x:c>
      <x:c r="O456" s="26" t="n">
        <x:v>330.56</x:v>
      </x:c>
      <x:c r="P456" s="26" t="n">
        <x:v>80.41</x:v>
      </x:c>
      <x:c r="Q456" s="26" t="n">
        <x:v>151.88</x:v>
      </x:c>
      <x:c r="R456" s="26" t="n">
        <x:v>187.61</x:v>
      </x:c>
      <x:c r="S456" s="26" t="n">
        <x:v>1282.92</x:v>
      </x:c>
    </x:row>
    <x:row r="457">
      <x:c r="A457" t="n">
        <x:v>500454</x:v>
      </x:c>
      <x:c r="B457" s="24" t="n">
        <x:v>45740</x:v>
      </x:c>
      <x:c r="C457" t="n">
        <x:v>1072</x:v>
      </x:c>
      <x:c r="D457" t="str">
        <x:v>Seller 1072</x:v>
      </x:c>
      <x:c r="E457" t="str">
        <x:v>Bronze</x:v>
      </x:c>
      <x:c r="F457" t="str">
        <x:v>South</x:v>
      </x:c>
      <x:c r="G457" t="str">
        <x:v>Pet Supplies</x:v>
      </x:c>
      <x:c r="H457" t="n">
        <x:v>2</x:v>
      </x:c>
      <x:c r="I457" s="26" t="n">
        <x:v>1362</x:v>
      </x:c>
      <x:c r="J457" s="26" t="n">
        <x:v>1780.2</x:v>
      </x:c>
      <x:c r="K457" s="28" t="n">
        <x:v>0.1323</x:v>
      </x:c>
      <x:c r="L457" s="26" t="n">
        <x:v>235.52</x:v>
      </x:c>
      <x:c r="M457" t="n">
        <x:v>0</x:v>
      </x:c>
      <x:c r="N457" s="26" t="n">
        <x:v>0</x:v>
      </x:c>
      <x:c r="O457" s="26" t="n">
        <x:v>32.93</x:v>
      </x:c>
      <x:c r="P457" s="26" t="n">
        <x:v>8.01</x:v>
      </x:c>
      <x:c r="Q457" s="26" t="n">
        <x:v>15.13</x:v>
      </x:c>
      <x:c r="R457" s="26" t="n">
        <x:v>18.69</x:v>
      </x:c>
      <x:c r="S457" s="26" t="n">
        <x:v>160.75</x:v>
      </x:c>
    </x:row>
    <x:row r="458">
      <x:c r="A458" t="n">
        <x:v>500455</x:v>
      </x:c>
      <x:c r="B458" s="24" t="n">
        <x:v>45724</x:v>
      </x:c>
      <x:c r="C458" t="n">
        <x:v>1007</x:v>
      </x:c>
      <x:c r="D458" t="str">
        <x:v>Seller 1007</x:v>
      </x:c>
      <x:c r="E458" t="str">
        <x:v>Platinum</x:v>
      </x:c>
      <x:c r="F458" t="str">
        <x:v>South</x:v>
      </x:c>
      <x:c r="G458" t="str">
        <x:v>Apparel</x:v>
      </x:c>
      <x:c r="H458" t="n">
        <x:v>1</x:v>
      </x:c>
      <x:c r="I458" s="26" t="n">
        <x:v>4110.6</x:v>
      </x:c>
      <x:c r="J458" s="26" t="n">
        <x:v>6716.4</x:v>
      </x:c>
      <x:c r="K458" s="28" t="n">
        <x:v>0.1244</x:v>
      </x:c>
      <x:c r="L458" s="26" t="n">
        <x:v>835.52</x:v>
      </x:c>
      <x:c r="M458" t="n">
        <x:v>1</x:v>
      </x:c>
      <x:c r="N458" s="26" t="n">
        <x:v>5941.2</x:v>
      </x:c>
      <x:c r="O458" s="26" t="n">
        <x:v>124.25</x:v>
      </x:c>
      <x:c r="P458" s="26" t="n">
        <x:v>30.22</x:v>
      </x:c>
      <x:c r="Q458" s="26" t="n">
        <x:v>57.09</x:v>
      </x:c>
      <x:c r="R458" s="26" t="n">
        <x:v>70.52</x:v>
      </x:c>
      <x:c r="S458" s="26" t="n">
        <x:v>434.61</x:v>
      </x:c>
    </x:row>
    <x:row r="459">
      <x:c r="A459" t="n">
        <x:v>500456</x:v>
      </x:c>
      <x:c r="B459" s="24" t="n">
        <x:v>45735</x:v>
      </x:c>
      <x:c r="C459" t="n">
        <x:v>1080</x:v>
      </x:c>
      <x:c r="D459" t="str">
        <x:v>Seller 1080</x:v>
      </x:c>
      <x:c r="E459" t="str">
        <x:v>Bronze</x:v>
      </x:c>
      <x:c r="F459" t="str">
        <x:v>South</x:v>
      </x:c>
      <x:c r="G459" t="str">
        <x:v>Apparel</x:v>
      </x:c>
      <x:c r="H459" t="n">
        <x:v>3</x:v>
      </x:c>
      <x:c r="I459" s="26" t="n">
        <x:v>687</x:v>
      </x:c>
      <x:c r="J459" s="26" t="n">
        <x:v>1347</x:v>
      </x:c>
      <x:c r="K459" s="28" t="n">
        <x:v>0.1249</x:v>
      </x:c>
      <x:c r="L459" s="26" t="n">
        <x:v>168.24</x:v>
      </x:c>
      <x:c r="M459" t="n">
        <x:v>0</x:v>
      </x:c>
      <x:c r="N459" s="26" t="n">
        <x:v>0</x:v>
      </x:c>
      <x:c r="O459" s="26" t="n">
        <x:v>24.92</x:v>
      </x:c>
      <x:c r="P459" s="26" t="n">
        <x:v>6.06</x:v>
      </x:c>
      <x:c r="Q459" s="26" t="n">
        <x:v>11.45</x:v>
      </x:c>
      <x:c r="R459" s="26" t="n">
        <x:v>14.14</x:v>
      </x:c>
      <x:c r="S459" s="26" t="n">
        <x:v>111.67</x:v>
      </x:c>
    </x:row>
    <x:row r="460">
      <x:c r="A460" t="n">
        <x:v>500457</x:v>
      </x:c>
      <x:c r="B460" s="24" t="n">
        <x:v>45723</x:v>
      </x:c>
      <x:c r="C460" t="n">
        <x:v>1078</x:v>
      </x:c>
      <x:c r="D460" t="str">
        <x:v>Seller 1078</x:v>
      </x:c>
      <x:c r="E460" t="str">
        <x:v>Bronze</x:v>
      </x:c>
      <x:c r="F460" t="str">
        <x:v>East</x:v>
      </x:c>
      <x:c r="G460" t="str">
        <x:v>Home &amp; Kitchen</x:v>
      </x:c>
      <x:c r="H460" t="n">
        <x:v>2</x:v>
      </x:c>
      <x:c r="I460" s="26" t="n">
        <x:v>2205</x:v>
      </x:c>
      <x:c r="J460" s="26" t="n">
        <x:v>2881.8</x:v>
      </x:c>
      <x:c r="K460" s="28" t="n">
        <x:v>0.1338</x:v>
      </x:c>
      <x:c r="L460" s="26" t="n">
        <x:v>385.58</x:v>
      </x:c>
      <x:c r="M460" t="n">
        <x:v>0</x:v>
      </x:c>
      <x:c r="N460" s="26" t="n">
        <x:v>0</x:v>
      </x:c>
      <x:c r="O460" s="26" t="n">
        <x:v>53.31</x:v>
      </x:c>
      <x:c r="P460" s="26" t="n">
        <x:v>12.97</x:v>
      </x:c>
      <x:c r="Q460" s="26" t="n">
        <x:v>24.5</x:v>
      </x:c>
      <x:c r="R460" s="26" t="n">
        <x:v>30.26</x:v>
      </x:c>
      <x:c r="S460" s="26" t="n">
        <x:v>264.55</x:v>
      </x:c>
    </x:row>
    <x:row r="461">
      <x:c r="A461" t="n">
        <x:v>500458</x:v>
      </x:c>
      <x:c r="B461" s="24" t="n">
        <x:v>45718</x:v>
      </x:c>
      <x:c r="C461" t="n">
        <x:v>1066</x:v>
      </x:c>
      <x:c r="D461" t="str">
        <x:v>Seller 1066</x:v>
      </x:c>
      <x:c r="E461" t="str">
        <x:v>Bronze</x:v>
      </x:c>
      <x:c r="F461" t="str">
        <x:v>South</x:v>
      </x:c>
      <x:c r="G461" t="str">
        <x:v>Home &amp; Kitchen</x:v>
      </x:c>
      <x:c r="H461" t="n">
        <x:v>3</x:v>
      </x:c>
      <x:c r="I461" s="26" t="n">
        <x:v>1720.2</x:v>
      </x:c>
      <x:c r="J461" s="26" t="n">
        <x:v>3373.2</x:v>
      </x:c>
      <x:c r="K461" s="28" t="n">
        <x:v>0.1293</x:v>
      </x:c>
      <x:c r="L461" s="26" t="n">
        <x:v>436.15</x:v>
      </x:c>
      <x:c r="M461" t="n">
        <x:v>0</x:v>
      </x:c>
      <x:c r="N461" s="26" t="n">
        <x:v>0</x:v>
      </x:c>
      <x:c r="O461" s="26" t="n">
        <x:v>62.4</x:v>
      </x:c>
      <x:c r="P461" s="26" t="n">
        <x:v>15.18</x:v>
      </x:c>
      <x:c r="Q461" s="26" t="n">
        <x:v>28.67</x:v>
      </x:c>
      <x:c r="R461" s="26" t="n">
        <x:v>35.42</x:v>
      </x:c>
      <x:c r="S461" s="26" t="n">
        <x:v>294.48</x:v>
      </x:c>
    </x:row>
    <x:row r="462">
      <x:c r="A462" t="n">
        <x:v>500459</x:v>
      </x:c>
      <x:c r="B462" s="24" t="n">
        <x:v>45738</x:v>
      </x:c>
      <x:c r="C462" t="n">
        <x:v>1043</x:v>
      </x:c>
      <x:c r="D462" t="str">
        <x:v>Seller 1043</x:v>
      </x:c>
      <x:c r="E462" t="str">
        <x:v>Silver</x:v>
      </x:c>
      <x:c r="F462" t="str">
        <x:v>West</x:v>
      </x:c>
      <x:c r="G462" t="str">
        <x:v>Sports</x:v>
      </x:c>
      <x:c r="H462" t="n">
        <x:v>2</x:v>
      </x:c>
      <x:c r="I462" s="26" t="n">
        <x:v>2240.4</x:v>
      </x:c>
      <x:c r="J462" s="26" t="n">
        <x:v>4155.6</x:v>
      </x:c>
      <x:c r="K462" s="28" t="n">
        <x:v>0.1383</x:v>
      </x:c>
      <x:c r="L462" s="26" t="n">
        <x:v>574.72</x:v>
      </x:c>
      <x:c r="M462" t="n">
        <x:v>0</x:v>
      </x:c>
      <x:c r="N462" s="26" t="n">
        <x:v>0</x:v>
      </x:c>
      <x:c r="O462" s="26" t="n">
        <x:v>76.88</x:v>
      </x:c>
      <x:c r="P462" s="26" t="n">
        <x:v>18.7</x:v>
      </x:c>
      <x:c r="Q462" s="26" t="n">
        <x:v>35.32</x:v>
      </x:c>
      <x:c r="R462" s="26" t="n">
        <x:v>43.63</x:v>
      </x:c>
      <x:c r="S462" s="26" t="n">
        <x:v>400.18</x:v>
      </x:c>
    </x:row>
    <x:row r="463">
      <x:c r="A463" t="n">
        <x:v>500460</x:v>
      </x:c>
      <x:c r="B463" s="24" t="n">
        <x:v>45725</x:v>
      </x:c>
      <x:c r="C463" t="n">
        <x:v>1079</x:v>
      </x:c>
      <x:c r="D463" t="str">
        <x:v>Seller 1079</x:v>
      </x:c>
      <x:c r="E463" t="str">
        <x:v>Bronze</x:v>
      </x:c>
      <x:c r="F463" t="str">
        <x:v>South</x:v>
      </x:c>
      <x:c r="G463" t="str">
        <x:v>Beauty</x:v>
      </x:c>
      <x:c r="H463" t="n">
        <x:v>1</x:v>
      </x:c>
      <x:c r="I463" s="26" t="n">
        <x:v>2656.2000000000003</x:v>
      </x:c>
      <x:c r="J463" s="26" t="n">
        <x:v>1735.8</x:v>
      </x:c>
      <x:c r="K463" s="28" t="n">
        <x:v>0.1416</x:v>
      </x:c>
      <x:c r="L463" s="26" t="n">
        <x:v>245.79</x:v>
      </x:c>
      <x:c r="M463" t="n">
        <x:v>0</x:v>
      </x:c>
      <x:c r="N463" s="26" t="n">
        <x:v>0</x:v>
      </x:c>
      <x:c r="O463" s="26" t="n">
        <x:v>32.11</x:v>
      </x:c>
      <x:c r="P463" s="26" t="n">
        <x:v>7.81</x:v>
      </x:c>
      <x:c r="Q463" s="26" t="n">
        <x:v>14.75</x:v>
      </x:c>
      <x:c r="R463" s="26" t="n">
        <x:v>18.23</x:v>
      </x:c>
      <x:c r="S463" s="26" t="n">
        <x:v>172.89</x:v>
      </x:c>
    </x:row>
    <x:row r="464">
      <x:c r="A464" t="n">
        <x:v>500461</x:v>
      </x:c>
      <x:c r="B464" s="24" t="n">
        <x:v>45746</x:v>
      </x:c>
      <x:c r="C464" t="n">
        <x:v>1024</x:v>
      </x:c>
      <x:c r="D464" t="str">
        <x:v>Seller 1024</x:v>
      </x:c>
      <x:c r="E464" t="str">
        <x:v>Gold</x:v>
      </x:c>
      <x:c r="F464" t="str">
        <x:v>West</x:v>
      </x:c>
      <x:c r="G464" t="str">
        <x:v>Pet Supplies</x:v>
      </x:c>
      <x:c r="H464" t="n">
        <x:v>2</x:v>
      </x:c>
      <x:c r="I464" s="26" t="n">
        <x:v>1416.6</x:v>
      </x:c>
      <x:c r="J464" s="26" t="n">
        <x:v>3434.4</x:v>
      </x:c>
      <x:c r="K464" s="28" t="n">
        <x:v>0.133</x:v>
      </x:c>
      <x:c r="L464" s="26" t="n">
        <x:v>456.78</x:v>
      </x:c>
      <x:c r="M464" t="n">
        <x:v>0</x:v>
      </x:c>
      <x:c r="N464" s="26" t="n">
        <x:v>0</x:v>
      </x:c>
      <x:c r="O464" s="26" t="n">
        <x:v>63.54</x:v>
      </x:c>
      <x:c r="P464" s="26" t="n">
        <x:v>15.45</x:v>
      </x:c>
      <x:c r="Q464" s="26" t="n">
        <x:v>29.19</x:v>
      </x:c>
      <x:c r="R464" s="26" t="n">
        <x:v>36.06</x:v>
      </x:c>
      <x:c r="S464" s="26" t="n">
        <x:v>312.53</x:v>
      </x:c>
    </x:row>
    <x:row r="465">
      <x:c r="A465" t="n">
        <x:v>500462</x:v>
      </x:c>
      <x:c r="B465" s="24" t="n">
        <x:v>45735</x:v>
      </x:c>
      <x:c r="C465" t="n">
        <x:v>1028</x:v>
      </x:c>
      <x:c r="D465" t="str">
        <x:v>Seller 1028</x:v>
      </x:c>
      <x:c r="E465" t="str">
        <x:v>Gold</x:v>
      </x:c>
      <x:c r="F465" t="str">
        <x:v>Central</x:v>
      </x:c>
      <x:c r="G465" t="str">
        <x:v>Sports</x:v>
      </x:c>
      <x:c r="H465" t="n">
        <x:v>2</x:v>
      </x:c>
      <x:c r="I465" s="26" t="n">
        <x:v>2545.8</x:v>
      </x:c>
      <x:c r="J465" s="26" t="n">
        <x:v>6171</x:v>
      </x:c>
      <x:c r="K465" s="28" t="n">
        <x:v>0.1388</x:v>
      </x:c>
      <x:c r="L465" s="26" t="n">
        <x:v>856.53</x:v>
      </x:c>
      <x:c r="M465" t="n">
        <x:v>0</x:v>
      </x:c>
      <x:c r="N465" s="26" t="n">
        <x:v>0</x:v>
      </x:c>
      <x:c r="O465" s="26" t="n">
        <x:v>114.16</x:v>
      </x:c>
      <x:c r="P465" s="26" t="n">
        <x:v>27.77</x:v>
      </x:c>
      <x:c r="Q465" s="26" t="n">
        <x:v>52.45</x:v>
      </x:c>
      <x:c r="R465" s="26" t="n">
        <x:v>64.8</x:v>
      </x:c>
      <x:c r="S465" s="26" t="n">
        <x:v>597.35</x:v>
      </x:c>
    </x:row>
    <x:row r="466">
      <x:c r="A466" t="n">
        <x:v>500463</x:v>
      </x:c>
      <x:c r="B466" s="24" t="n">
        <x:v>45719</x:v>
      </x:c>
      <x:c r="C466" t="n">
        <x:v>1002</x:v>
      </x:c>
      <x:c r="D466" t="str">
        <x:v>Seller 1002</x:v>
      </x:c>
      <x:c r="E466" t="str">
        <x:v>Platinum</x:v>
      </x:c>
      <x:c r="F466" t="str">
        <x:v>Central</x:v>
      </x:c>
      <x:c r="G466" t="str">
        <x:v>Home &amp; Kitchen</x:v>
      </x:c>
      <x:c r="H466" t="n">
        <x:v>2</x:v>
      </x:c>
      <x:c r="I466" s="26" t="n">
        <x:v>2700.6</x:v>
      </x:c>
      <x:c r="J466" s="26" t="n">
        <x:v>8823.6</x:v>
      </x:c>
      <x:c r="K466" s="28" t="n">
        <x:v>0.1384</x:v>
      </x:c>
      <x:c r="L466" s="26" t="n">
        <x:v>1221.19</x:v>
      </x:c>
      <x:c r="M466" t="n">
        <x:v>0</x:v>
      </x:c>
      <x:c r="N466" s="26" t="n">
        <x:v>0</x:v>
      </x:c>
      <x:c r="O466" s="26" t="n">
        <x:v>163.24</x:v>
      </x:c>
      <x:c r="P466" s="26" t="n">
        <x:v>39.71</x:v>
      </x:c>
      <x:c r="Q466" s="26" t="n">
        <x:v>75</x:v>
      </x:c>
      <x:c r="R466" s="26" t="n">
        <x:v>92.65</x:v>
      </x:c>
      <x:c r="S466" s="26" t="n">
        <x:v>850.6</x:v>
      </x:c>
    </x:row>
    <x:row r="467">
      <x:c r="A467" t="n">
        <x:v>500464</x:v>
      </x:c>
      <x:c r="B467" s="24" t="n">
        <x:v>45742</x:v>
      </x:c>
      <x:c r="C467" t="n">
        <x:v>1042</x:v>
      </x:c>
      <x:c r="D467" t="str">
        <x:v>Seller 1042</x:v>
      </x:c>
      <x:c r="E467" t="str">
        <x:v>Silver</x:v>
      </x:c>
      <x:c r="F467" t="str">
        <x:v>East</x:v>
      </x:c>
      <x:c r="G467" t="str">
        <x:v>Pet Supplies</x:v>
      </x:c>
      <x:c r="H467" t="n">
        <x:v>2</x:v>
      </x:c>
      <x:c r="I467" s="26" t="n">
        <x:v>1442.3999999999999</x:v>
      </x:c>
      <x:c r="J467" s="26" t="n">
        <x:v>2676.6</x:v>
      </x:c>
      <x:c r="K467" s="28" t="n">
        <x:v>0.1262</x:v>
      </x:c>
      <x:c r="L467" s="26" t="n">
        <x:v>337.79</x:v>
      </x:c>
      <x:c r="M467" t="n">
        <x:v>1</x:v>
      </x:c>
      <x:c r="N467" s="26" t="n">
        <x:v>2094.6</x:v>
      </x:c>
      <x:c r="O467" s="26" t="n">
        <x:v>49.52</x:v>
      </x:c>
      <x:c r="P467" s="26" t="n">
        <x:v>12.04</x:v>
      </x:c>
      <x:c r="Q467" s="26" t="n">
        <x:v>22.75</x:v>
      </x:c>
      <x:c r="R467" s="26" t="n">
        <x:v>28.1</x:v>
      </x:c>
      <x:c r="S467" s="26" t="n">
        <x:v>183.48</x:v>
      </x:c>
    </x:row>
    <x:row r="468">
      <x:c r="A468" t="n">
        <x:v>500465</x:v>
      </x:c>
      <x:c r="B468" s="24" t="n">
        <x:v>45720</x:v>
      </x:c>
      <x:c r="C468" t="n">
        <x:v>1048</x:v>
      </x:c>
      <x:c r="D468" t="str">
        <x:v>Seller 1048</x:v>
      </x:c>
      <x:c r="E468" t="str">
        <x:v>Silver</x:v>
      </x:c>
      <x:c r="F468" t="str">
        <x:v>East</x:v>
      </x:c>
      <x:c r="G468" t="str">
        <x:v>Electronics</x:v>
      </x:c>
      <x:c r="H468" t="n">
        <x:v>1</x:v>
      </x:c>
      <x:c r="I468" s="26" t="n">
        <x:v>8655.599999999999</x:v>
      </x:c>
      <x:c r="J468" s="26" t="n">
        <x:v>8028.6</x:v>
      </x:c>
      <x:c r="K468" s="28" t="n">
        <x:v>0.1201</x:v>
      </x:c>
      <x:c r="L468" s="26" t="n">
        <x:v>964.23</x:v>
      </x:c>
      <x:c r="M468" t="n">
        <x:v>0</x:v>
      </x:c>
      <x:c r="N468" s="26" t="n">
        <x:v>0</x:v>
      </x:c>
      <x:c r="O468" s="26" t="n">
        <x:v>148.53</x:v>
      </x:c>
      <x:c r="P468" s="26" t="n">
        <x:v>36.13</x:v>
      </x:c>
      <x:c r="Q468" s="26" t="n">
        <x:v>68.24</x:v>
      </x:c>
      <x:c r="R468" s="26" t="n">
        <x:v>84.3</x:v>
      </x:c>
      <x:c r="S468" s="26" t="n">
        <x:v>627.03</x:v>
      </x:c>
    </x:row>
    <x:row r="469">
      <x:c r="A469" t="n">
        <x:v>500466</x:v>
      </x:c>
      <x:c r="B469" s="24" t="n">
        <x:v>45772</x:v>
      </x:c>
      <x:c r="C469" t="n">
        <x:v>1013</x:v>
      </x:c>
      <x:c r="D469" t="str">
        <x:v>Seller 1013</x:v>
      </x:c>
      <x:c r="E469" t="str">
        <x:v>Gold</x:v>
      </x:c>
      <x:c r="F469" t="str">
        <x:v>West</x:v>
      </x:c>
      <x:c r="G469" t="str">
        <x:v>Electronics</x:v>
      </x:c>
      <x:c r="H469" t="n">
        <x:v>3</x:v>
      </x:c>
      <x:c r="I469" s="26" t="n">
        <x:v>2665.2000000000003</x:v>
      </x:c>
      <x:c r="J469" s="26" t="n">
        <x:v>9152.4</x:v>
      </x:c>
      <x:c r="K469" s="28" t="n">
        <x:v>0.1132</x:v>
      </x:c>
      <x:c r="L469" s="26" t="n">
        <x:v>1036.05</x:v>
      </x:c>
      <x:c r="M469" t="n">
        <x:v>0</x:v>
      </x:c>
      <x:c r="N469" s="26" t="n">
        <x:v>0</x:v>
      </x:c>
      <x:c r="O469" s="26" t="n">
        <x:v>169.32</x:v>
      </x:c>
      <x:c r="P469" s="26" t="n">
        <x:v>41.19</x:v>
      </x:c>
      <x:c r="Q469" s="26" t="n">
        <x:v>77.8</x:v>
      </x:c>
      <x:c r="R469" s="26" t="n">
        <x:v>96.1</x:v>
      </x:c>
      <x:c r="S469" s="26" t="n">
        <x:v>651.65</x:v>
      </x:c>
    </x:row>
    <x:row r="470">
      <x:c r="A470" t="n">
        <x:v>500467</x:v>
      </x:c>
      <x:c r="B470" s="24" t="n">
        <x:v>45761</x:v>
      </x:c>
      <x:c r="C470" t="n">
        <x:v>1028</x:v>
      </x:c>
      <x:c r="D470" t="str">
        <x:v>Seller 1028</x:v>
      </x:c>
      <x:c r="E470" t="str">
        <x:v>Gold</x:v>
      </x:c>
      <x:c r="F470" t="str">
        <x:v>Central</x:v>
      </x:c>
      <x:c r="G470" t="str">
        <x:v>Apparel</x:v>
      </x:c>
      <x:c r="H470" t="n">
        <x:v>2</x:v>
      </x:c>
      <x:c r="I470" s="26" t="n">
        <x:v>1741.2</x:v>
      </x:c>
      <x:c r="J470" s="26" t="n">
        <x:v>3985.8</x:v>
      </x:c>
      <x:c r="K470" s="28" t="n">
        <x:v>0.1279</x:v>
      </x:c>
      <x:c r="L470" s="26" t="n">
        <x:v>509.78</x:v>
      </x:c>
      <x:c r="M470" t="n">
        <x:v>0</x:v>
      </x:c>
      <x:c r="N470" s="26" t="n">
        <x:v>0</x:v>
      </x:c>
      <x:c r="O470" s="26" t="n">
        <x:v>73.74</x:v>
      </x:c>
      <x:c r="P470" s="26" t="n">
        <x:v>17.94</x:v>
      </x:c>
      <x:c r="Q470" s="26" t="n">
        <x:v>33.88</x:v>
      </x:c>
      <x:c r="R470" s="26" t="n">
        <x:v>41.85</x:v>
      </x:c>
      <x:c r="S470" s="26" t="n">
        <x:v>342.38</x:v>
      </x:c>
    </x:row>
    <x:row r="471">
      <x:c r="A471" t="n">
        <x:v>500468</x:v>
      </x:c>
      <x:c r="B471" s="24" t="n">
        <x:v>45756</x:v>
      </x:c>
      <x:c r="C471" t="n">
        <x:v>1010</x:v>
      </x:c>
      <x:c r="D471" t="str">
        <x:v>Seller 1010</x:v>
      </x:c>
      <x:c r="E471" t="str">
        <x:v>Platinum</x:v>
      </x:c>
      <x:c r="F471" t="str">
        <x:v>West</x:v>
      </x:c>
      <x:c r="G471" t="str">
        <x:v>Home &amp; Kitchen</x:v>
      </x:c>
      <x:c r="H471" t="n">
        <x:v>4</x:v>
      </x:c>
      <x:c r="I471" s="26" t="n">
        <x:v>1323</x:v>
      </x:c>
      <x:c r="J471" s="26" t="n">
        <x:v>8164.2</x:v>
      </x:c>
      <x:c r="K471" s="28" t="n">
        <x:v>0.1239</x:v>
      </x:c>
      <x:c r="L471" s="26" t="n">
        <x:v>1011.54</x:v>
      </x:c>
      <x:c r="M471" t="n">
        <x:v>0</x:v>
      </x:c>
      <x:c r="N471" s="26" t="n">
        <x:v>0</x:v>
      </x:c>
      <x:c r="O471" s="26" t="n">
        <x:v>151.04</x:v>
      </x:c>
      <x:c r="P471" s="26" t="n">
        <x:v>36.74</x:v>
      </x:c>
      <x:c r="Q471" s="26" t="n">
        <x:v>69.4</x:v>
      </x:c>
      <x:c r="R471" s="26" t="n">
        <x:v>85.72</x:v>
      </x:c>
      <x:c r="S471" s="26" t="n">
        <x:v>668.65</x:v>
      </x:c>
    </x:row>
    <x:row r="472">
      <x:c r="A472" t="n">
        <x:v>500469</x:v>
      </x:c>
      <x:c r="B472" s="24" t="n">
        <x:v>45758</x:v>
      </x:c>
      <x:c r="C472" t="n">
        <x:v>1072</x:v>
      </x:c>
      <x:c r="D472" t="str">
        <x:v>Seller 1072</x:v>
      </x:c>
      <x:c r="E472" t="str">
        <x:v>Bronze</x:v>
      </x:c>
      <x:c r="F472" t="str">
        <x:v>South</x:v>
      </x:c>
      <x:c r="G472" t="str">
        <x:v>Home &amp; Kitchen</x:v>
      </x:c>
      <x:c r="H472" t="n">
        <x:v>3</x:v>
      </x:c>
      <x:c r="I472" s="26" t="n">
        <x:v>860.4</x:v>
      </x:c>
      <x:c r="J472" s="26" t="n">
        <x:v>1593</x:v>
      </x:c>
      <x:c r="K472" s="28" t="n">
        <x:v>0.1328</x:v>
      </x:c>
      <x:c r="L472" s="26" t="n">
        <x:v>211.55</x:v>
      </x:c>
      <x:c r="M472" t="n">
        <x:v>0</x:v>
      </x:c>
      <x:c r="N472" s="26" t="n">
        <x:v>0</x:v>
      </x:c>
      <x:c r="O472" s="26" t="n">
        <x:v>29.47</x:v>
      </x:c>
      <x:c r="P472" s="26" t="n">
        <x:v>7.17</x:v>
      </x:c>
      <x:c r="Q472" s="26" t="n">
        <x:v>13.54</x:v>
      </x:c>
      <x:c r="R472" s="26" t="n">
        <x:v>16.73</x:v>
      </x:c>
      <x:c r="S472" s="26" t="n">
        <x:v>144.64</x:v>
      </x:c>
    </x:row>
    <x:row r="473">
      <x:c r="A473" t="n">
        <x:v>500470</x:v>
      </x:c>
      <x:c r="B473" s="24" t="n">
        <x:v>45749</x:v>
      </x:c>
      <x:c r="C473" t="n">
        <x:v>1003</x:v>
      </x:c>
      <x:c r="D473" t="str">
        <x:v>Seller 1003</x:v>
      </x:c>
      <x:c r="E473" t="str">
        <x:v>Platinum</x:v>
      </x:c>
      <x:c r="F473" t="str">
        <x:v>East</x:v>
      </x:c>
      <x:c r="G473" t="str">
        <x:v>Pet Supplies</x:v>
      </x:c>
      <x:c r="H473" t="n">
        <x:v>2</x:v>
      </x:c>
      <x:c r="I473" s="26" t="n">
        <x:v>1578.6</x:v>
      </x:c>
      <x:c r="J473" s="26" t="n">
        <x:v>4870.2</x:v>
      </x:c>
      <x:c r="K473" s="28" t="n">
        <x:v>0.1373</x:v>
      </x:c>
      <x:c r="L473" s="26" t="n">
        <x:v>668.68</x:v>
      </x:c>
      <x:c r="M473" t="n">
        <x:v>0</x:v>
      </x:c>
      <x:c r="N473" s="26" t="n">
        <x:v>0</x:v>
      </x:c>
      <x:c r="O473" s="26" t="n">
        <x:v>90.1</x:v>
      </x:c>
      <x:c r="P473" s="26" t="n">
        <x:v>21.92</x:v>
      </x:c>
      <x:c r="Q473" s="26" t="n">
        <x:v>41.4</x:v>
      </x:c>
      <x:c r="R473" s="26" t="n">
        <x:v>51.14</x:v>
      </x:c>
      <x:c r="S473" s="26" t="n">
        <x:v>464.13</x:v>
      </x:c>
    </x:row>
    <x:row r="474">
      <x:c r="A474" t="n">
        <x:v>500471</x:v>
      </x:c>
      <x:c r="B474" s="24" t="n">
        <x:v>45777</x:v>
      </x:c>
      <x:c r="C474" t="n">
        <x:v>1010</x:v>
      </x:c>
      <x:c r="D474" t="str">
        <x:v>Seller 1010</x:v>
      </x:c>
      <x:c r="E474" t="str">
        <x:v>Platinum</x:v>
      </x:c>
      <x:c r="F474" t="str">
        <x:v>West</x:v>
      </x:c>
      <x:c r="G474" t="str">
        <x:v>Home &amp; Kitchen</x:v>
      </x:c>
      <x:c r="H474" t="n">
        <x:v>1</x:v>
      </x:c>
      <x:c r="I474" s="26" t="n">
        <x:v>4914</x:v>
      </x:c>
      <x:c r="J474" s="26" t="n">
        <x:v>7581.6</x:v>
      </x:c>
      <x:c r="K474" s="28" t="n">
        <x:v>0.1395</x:v>
      </x:c>
      <x:c r="L474" s="26" t="n">
        <x:v>1057.63</x:v>
      </x:c>
      <x:c r="M474" t="n">
        <x:v>0</x:v>
      </x:c>
      <x:c r="N474" s="26" t="n">
        <x:v>0</x:v>
      </x:c>
      <x:c r="O474" s="26" t="n">
        <x:v>140.26</x:v>
      </x:c>
      <x:c r="P474" s="26" t="n">
        <x:v>34.12</x:v>
      </x:c>
      <x:c r="Q474" s="26" t="n">
        <x:v>64.44</x:v>
      </x:c>
      <x:c r="R474" s="26" t="n">
        <x:v>79.61</x:v>
      </x:c>
      <x:c r="S474" s="26" t="n">
        <x:v>739.21</x:v>
      </x:c>
    </x:row>
    <x:row r="475">
      <x:c r="A475" t="n">
        <x:v>500472</x:v>
      </x:c>
      <x:c r="B475" s="24" t="n">
        <x:v>45773</x:v>
      </x:c>
      <x:c r="C475" t="n">
        <x:v>1057</x:v>
      </x:c>
      <x:c r="D475" t="str">
        <x:v>Seller 1057</x:v>
      </x:c>
      <x:c r="E475" t="str">
        <x:v>Bronze</x:v>
      </x:c>
      <x:c r="F475" t="str">
        <x:v>South</x:v>
      </x:c>
      <x:c r="G475" t="str">
        <x:v>Electronics</x:v>
      </x:c>
      <x:c r="H475" t="n">
        <x:v>2</x:v>
      </x:c>
      <x:c r="I475" s="26" t="n">
        <x:v>4193.4</x:v>
      </x:c>
      <x:c r="J475" s="26" t="n">
        <x:v>5175.6</x:v>
      </x:c>
      <x:c r="K475" s="28" t="n">
        <x:v>0.1168</x:v>
      </x:c>
      <x:c r="L475" s="26" t="n">
        <x:v>604.51</x:v>
      </x:c>
      <x:c r="M475" t="n">
        <x:v>0</x:v>
      </x:c>
      <x:c r="N475" s="26" t="n">
        <x:v>0</x:v>
      </x:c>
      <x:c r="O475" s="26" t="n">
        <x:v>95.75</x:v>
      </x:c>
      <x:c r="P475" s="26" t="n">
        <x:v>23.29</x:v>
      </x:c>
      <x:c r="Q475" s="26" t="n">
        <x:v>43.99</x:v>
      </x:c>
      <x:c r="R475" s="26" t="n">
        <x:v>54.34</x:v>
      </x:c>
      <x:c r="S475" s="26" t="n">
        <x:v>387.13</x:v>
      </x:c>
    </x:row>
    <x:row r="476">
      <x:c r="A476" t="n">
        <x:v>500473</x:v>
      </x:c>
      <x:c r="B476" s="24" t="n">
        <x:v>45768</x:v>
      </x:c>
      <x:c r="C476" t="n">
        <x:v>1070</x:v>
      </x:c>
      <x:c r="D476" t="str">
        <x:v>Seller 1070</x:v>
      </x:c>
      <x:c r="E476" t="str">
        <x:v>Bronze</x:v>
      </x:c>
      <x:c r="F476" t="str">
        <x:v>West</x:v>
      </x:c>
      <x:c r="G476" t="str">
        <x:v>Electronics</x:v>
      </x:c>
      <x:c r="H476" t="n">
        <x:v>2</x:v>
      </x:c>
      <x:c r="I476" s="26" t="n">
        <x:v>3913.2</x:v>
      </x:c>
      <x:c r="J476" s="26" t="n">
        <x:v>4829.4</x:v>
      </x:c>
      <x:c r="K476" s="28" t="n">
        <x:v>0.1343</x:v>
      </x:c>
      <x:c r="L476" s="26" t="n">
        <x:v>648.59</x:v>
      </x:c>
      <x:c r="M476" t="n">
        <x:v>0</x:v>
      </x:c>
      <x:c r="N476" s="26" t="n">
        <x:v>0</x:v>
      </x:c>
      <x:c r="O476" s="26" t="n">
        <x:v>89.34</x:v>
      </x:c>
      <x:c r="P476" s="26" t="n">
        <x:v>21.73</x:v>
      </x:c>
      <x:c r="Q476" s="26" t="n">
        <x:v>41.05</x:v>
      </x:c>
      <x:c r="R476" s="26" t="n">
        <x:v>50.71</x:v>
      </x:c>
      <x:c r="S476" s="26" t="n">
        <x:v>445.75</x:v>
      </x:c>
    </x:row>
    <x:row r="477">
      <x:c r="A477" t="n">
        <x:v>500474</x:v>
      </x:c>
      <x:c r="B477" s="24" t="n">
        <x:v>45765</x:v>
      </x:c>
      <x:c r="C477" t="n">
        <x:v>1048</x:v>
      </x:c>
      <x:c r="D477" t="str">
        <x:v>Seller 1048</x:v>
      </x:c>
      <x:c r="E477" t="str">
        <x:v>Silver</x:v>
      </x:c>
      <x:c r="F477" t="str">
        <x:v>East</x:v>
      </x:c>
      <x:c r="G477" t="str">
        <x:v>Electronics</x:v>
      </x:c>
      <x:c r="H477" t="n">
        <x:v>1</x:v>
      </x:c>
      <x:c r="I477" s="26" t="n">
        <x:v>8407.8</x:v>
      </x:c>
      <x:c r="J477" s="26" t="n">
        <x:v>7364.4</x:v>
      </x:c>
      <x:c r="K477" s="28" t="n">
        <x:v>0.116</x:v>
      </x:c>
      <x:c r="L477" s="26" t="n">
        <x:v>854.27</x:v>
      </x:c>
      <x:c r="M477" t="n">
        <x:v>0</x:v>
      </x:c>
      <x:c r="N477" s="26" t="n">
        <x:v>0</x:v>
      </x:c>
      <x:c r="O477" s="26" t="n">
        <x:v>136.24</x:v>
      </x:c>
      <x:c r="P477" s="26" t="n">
        <x:v>33.14</x:v>
      </x:c>
      <x:c r="Q477" s="26" t="n">
        <x:v>62.6</x:v>
      </x:c>
      <x:c r="R477" s="26" t="n">
        <x:v>77.33</x:v>
      </x:c>
      <x:c r="S477" s="26" t="n">
        <x:v>544.97</x:v>
      </x:c>
    </x:row>
    <x:row r="478">
      <x:c r="A478" t="n">
        <x:v>500475</x:v>
      </x:c>
      <x:c r="B478" s="24" t="n">
        <x:v>45775</x:v>
      </x:c>
      <x:c r="C478" t="n">
        <x:v>1071</x:v>
      </x:c>
      <x:c r="D478" t="str">
        <x:v>Seller 1071</x:v>
      </x:c>
      <x:c r="E478" t="str">
        <x:v>Bronze</x:v>
      </x:c>
      <x:c r="F478" t="str">
        <x:v>Central</x:v>
      </x:c>
      <x:c r="G478" t="str">
        <x:v>Beauty</x:v>
      </x:c>
      <x:c r="H478" t="n">
        <x:v>2</x:v>
      </x:c>
      <x:c r="I478" s="26" t="n">
        <x:v>1656.6</x:v>
      </x:c>
      <x:c r="J478" s="26" t="n">
        <x:v>2044.2</x:v>
      </x:c>
      <x:c r="K478" s="28" t="n">
        <x:v>0.1504</x:v>
      </x:c>
      <x:c r="L478" s="26" t="n">
        <x:v>307.45</x:v>
      </x:c>
      <x:c r="M478" t="n">
        <x:v>0</x:v>
      </x:c>
      <x:c r="N478" s="26" t="n">
        <x:v>0</x:v>
      </x:c>
      <x:c r="O478" s="26" t="n">
        <x:v>37.82</x:v>
      </x:c>
      <x:c r="P478" s="26" t="n">
        <x:v>9.2</x:v>
      </x:c>
      <x:c r="Q478" s="26" t="n">
        <x:v>17.38</x:v>
      </x:c>
      <x:c r="R478" s="26" t="n">
        <x:v>21.46</x:v>
      </x:c>
      <x:c r="S478" s="26" t="n">
        <x:v>221.59</x:v>
      </x:c>
    </x:row>
    <x:row r="479">
      <x:c r="A479" t="n">
        <x:v>500476</x:v>
      </x:c>
      <x:c r="B479" s="24" t="n">
        <x:v>45766</x:v>
      </x:c>
      <x:c r="C479" t="n">
        <x:v>1066</x:v>
      </x:c>
      <x:c r="D479" t="str">
        <x:v>Seller 1066</x:v>
      </x:c>
      <x:c r="E479" t="str">
        <x:v>Bronze</x:v>
      </x:c>
      <x:c r="F479" t="str">
        <x:v>South</x:v>
      </x:c>
      <x:c r="G479" t="str">
        <x:v>Home &amp; Kitchen</x:v>
      </x:c>
      <x:c r="H479" t="n">
        <x:v>3</x:v>
      </x:c>
      <x:c r="I479" s="26" t="n">
        <x:v>2139</x:v>
      </x:c>
      <x:c r="J479" s="26" t="n">
        <x:v>3960</x:v>
      </x:c>
      <x:c r="K479" s="28" t="n">
        <x:v>0.1291</x:v>
      </x:c>
      <x:c r="L479" s="26" t="n">
        <x:v>511.24</x:v>
      </x:c>
      <x:c r="M479" t="n">
        <x:v>0</x:v>
      </x:c>
      <x:c r="N479" s="26" t="n">
        <x:v>0</x:v>
      </x:c>
      <x:c r="O479" s="26" t="n">
        <x:v>73.26</x:v>
      </x:c>
      <x:c r="P479" s="26" t="n">
        <x:v>17.82</x:v>
      </x:c>
      <x:c r="Q479" s="26" t="n">
        <x:v>33.66</x:v>
      </x:c>
      <x:c r="R479" s="26" t="n">
        <x:v>41.58</x:v>
      </x:c>
      <x:c r="S479" s="26" t="n">
        <x:v>344.92</x:v>
      </x:c>
    </x:row>
    <x:row r="480">
      <x:c r="A480" t="n">
        <x:v>500477</x:v>
      </x:c>
      <x:c r="B480" s="24" t="n">
        <x:v>45771</x:v>
      </x:c>
      <x:c r="C480" t="n">
        <x:v>1007</x:v>
      </x:c>
      <x:c r="D480" t="str">
        <x:v>Seller 1007</x:v>
      </x:c>
      <x:c r="E480" t="str">
        <x:v>Platinum</x:v>
      </x:c>
      <x:c r="F480" t="str">
        <x:v>South</x:v>
      </x:c>
      <x:c r="G480" t="str">
        <x:v>Sports</x:v>
      </x:c>
      <x:c r="H480" t="n">
        <x:v>1</x:v>
      </x:c>
      <x:c r="I480" s="26" t="n">
        <x:v>4671</x:v>
      </x:c>
      <x:c r="J480" s="26" t="n">
        <x:v>7206.6</x:v>
      </x:c>
      <x:c r="K480" s="28" t="n">
        <x:v>0.123</x:v>
      </x:c>
      <x:c r="L480" s="26" t="n">
        <x:v>886.41</x:v>
      </x:c>
      <x:c r="M480" t="n">
        <x:v>0</x:v>
      </x:c>
      <x:c r="N480" s="26" t="n">
        <x:v>0</x:v>
      </x:c>
      <x:c r="O480" s="26" t="n">
        <x:v>133.32</x:v>
      </x:c>
      <x:c r="P480" s="26" t="n">
        <x:v>32.43</x:v>
      </x:c>
      <x:c r="Q480" s="26" t="n">
        <x:v>61.26</x:v>
      </x:c>
      <x:c r="R480" s="26" t="n">
        <x:v>75.67</x:v>
      </x:c>
      <x:c r="S480" s="26" t="n">
        <x:v>583.73</x:v>
      </x:c>
    </x:row>
    <x:row r="481">
      <x:c r="A481" t="n">
        <x:v>500478</x:v>
      </x:c>
      <x:c r="B481" s="24" t="n">
        <x:v>45776</x:v>
      </x:c>
      <x:c r="C481" t="n">
        <x:v>1075</x:v>
      </x:c>
      <x:c r="D481" t="str">
        <x:v>Seller 1075</x:v>
      </x:c>
      <x:c r="E481" t="str">
        <x:v>Bronze</x:v>
      </x:c>
      <x:c r="F481" t="str">
        <x:v>East</x:v>
      </x:c>
      <x:c r="G481" t="str">
        <x:v>Electronics</x:v>
      </x:c>
      <x:c r="H481" t="n">
        <x:v>2</x:v>
      </x:c>
      <x:c r="I481" s="26" t="n">
        <x:v>4668.6</x:v>
      </x:c>
      <x:c r="J481" s="26" t="n">
        <x:v>5761.8</x:v>
      </x:c>
      <x:c r="K481" s="28" t="n">
        <x:v>0.1287</x:v>
      </x:c>
      <x:c r="L481" s="26" t="n">
        <x:v>741.54</x:v>
      </x:c>
      <x:c r="M481" t="n">
        <x:v>0</x:v>
      </x:c>
      <x:c r="N481" s="26" t="n">
        <x:v>0</x:v>
      </x:c>
      <x:c r="O481" s="26" t="n">
        <x:v>106.59</x:v>
      </x:c>
      <x:c r="P481" s="26" t="n">
        <x:v>25.93</x:v>
      </x:c>
      <x:c r="Q481" s="26" t="n">
        <x:v>48.98</x:v>
      </x:c>
      <x:c r="R481" s="26" t="n">
        <x:v>60.5</x:v>
      </x:c>
      <x:c r="S481" s="26" t="n">
        <x:v>499.55</x:v>
      </x:c>
    </x:row>
    <x:row r="482">
      <x:c r="A482" t="n">
        <x:v>500479</x:v>
      </x:c>
      <x:c r="B482" s="24" t="n">
        <x:v>45759</x:v>
      </x:c>
      <x:c r="C482" t="n">
        <x:v>1025</x:v>
      </x:c>
      <x:c r="D482" t="str">
        <x:v>Seller 1025</x:v>
      </x:c>
      <x:c r="E482" t="str">
        <x:v>Gold</x:v>
      </x:c>
      <x:c r="F482" t="str">
        <x:v>Central</x:v>
      </x:c>
      <x:c r="G482" t="str">
        <x:v>Pet Supplies</x:v>
      </x:c>
      <x:c r="H482" t="n">
        <x:v>1</x:v>
      </x:c>
      <x:c r="I482" s="26" t="n">
        <x:v>3225.6</x:v>
      </x:c>
      <x:c r="J482" s="26" t="n">
        <x:v>3691.8</x:v>
      </x:c>
      <x:c r="K482" s="28" t="n">
        <x:v>0.1273</x:v>
      </x:c>
      <x:c r="L482" s="26" t="n">
        <x:v>469.97</x:v>
      </x:c>
      <x:c r="M482" t="n">
        <x:v>0</x:v>
      </x:c>
      <x:c r="N482" s="26" t="n">
        <x:v>0</x:v>
      </x:c>
      <x:c r="O482" s="26" t="n">
        <x:v>68.3</x:v>
      </x:c>
      <x:c r="P482" s="26" t="n">
        <x:v>16.61</x:v>
      </x:c>
      <x:c r="Q482" s="26" t="n">
        <x:v>31.38</x:v>
      </x:c>
      <x:c r="R482" s="26" t="n">
        <x:v>38.76</x:v>
      </x:c>
      <x:c r="S482" s="26" t="n">
        <x:v>314.91</x:v>
      </x:c>
    </x:row>
    <x:row r="483">
      <x:c r="A483" t="n">
        <x:v>500480</x:v>
      </x:c>
      <x:c r="B483" s="24" t="n">
        <x:v>45774</x:v>
      </x:c>
      <x:c r="C483" t="n">
        <x:v>1041</x:v>
      </x:c>
      <x:c r="D483" t="str">
        <x:v>Seller 1041</x:v>
      </x:c>
      <x:c r="E483" t="str">
        <x:v>Silver</x:v>
      </x:c>
      <x:c r="F483" t="str">
        <x:v>West</x:v>
      </x:c>
      <x:c r="G483" t="str">
        <x:v>Home &amp; Kitchen</x:v>
      </x:c>
      <x:c r="H483" t="n">
        <x:v>3</x:v>
      </x:c>
      <x:c r="I483" s="26" t="n">
        <x:v>1648.8</x:v>
      </x:c>
      <x:c r="J483" s="26" t="n">
        <x:v>4333.2</x:v>
      </x:c>
      <x:c r="K483" s="28" t="n">
        <x:v>0.1283</x:v>
      </x:c>
      <x:c r="L483" s="26" t="n">
        <x:v>555.95</x:v>
      </x:c>
      <x:c r="M483" t="n">
        <x:v>0</x:v>
      </x:c>
      <x:c r="N483" s="26" t="n">
        <x:v>0</x:v>
      </x:c>
      <x:c r="O483" s="26" t="n">
        <x:v>80.16</x:v>
      </x:c>
      <x:c r="P483" s="26" t="n">
        <x:v>19.5</x:v>
      </x:c>
      <x:c r="Q483" s="26" t="n">
        <x:v>36.83</x:v>
      </x:c>
      <x:c r="R483" s="26" t="n">
        <x:v>45.5</x:v>
      </x:c>
      <x:c r="S483" s="26" t="n">
        <x:v>373.96</x:v>
      </x:c>
    </x:row>
    <x:row r="484">
      <x:c r="A484" t="n">
        <x:v>500481</x:v>
      </x:c>
      <x:c r="B484" s="24" t="n">
        <x:v>45765</x:v>
      </x:c>
      <x:c r="C484" t="n">
        <x:v>1047</x:v>
      </x:c>
      <x:c r="D484" t="str">
        <x:v>Seller 1047</x:v>
      </x:c>
      <x:c r="E484" t="str">
        <x:v>Silver</x:v>
      </x:c>
      <x:c r="F484" t="str">
        <x:v>East</x:v>
      </x:c>
      <x:c r="G484" t="str">
        <x:v>Sports</x:v>
      </x:c>
      <x:c r="H484" t="n">
        <x:v>2</x:v>
      </x:c>
      <x:c r="I484" s="26" t="n">
        <x:v>1536</x:v>
      </x:c>
      <x:c r="J484" s="26" t="n">
        <x:v>2691</x:v>
      </x:c>
      <x:c r="K484" s="28" t="n">
        <x:v>0.1271</x:v>
      </x:c>
      <x:c r="L484" s="26" t="n">
        <x:v>342.03</x:v>
      </x:c>
      <x:c r="M484" t="n">
        <x:v>0</x:v>
      </x:c>
      <x:c r="N484" s="26" t="n">
        <x:v>0</x:v>
      </x:c>
      <x:c r="O484" s="26" t="n">
        <x:v>49.78</x:v>
      </x:c>
      <x:c r="P484" s="26" t="n">
        <x:v>12.11</x:v>
      </x:c>
      <x:c r="Q484" s="26" t="n">
        <x:v>22.87</x:v>
      </x:c>
      <x:c r="R484" s="26" t="n">
        <x:v>28.26</x:v>
      </x:c>
      <x:c r="S484" s="26" t="n">
        <x:v>229</x:v>
      </x:c>
    </x:row>
    <x:row r="485">
      <x:c r="A485" t="n">
        <x:v>500482</x:v>
      </x:c>
      <x:c r="B485" s="24" t="n">
        <x:v>45756</x:v>
      </x:c>
      <x:c r="C485" t="n">
        <x:v>1014</x:v>
      </x:c>
      <x:c r="D485" t="str">
        <x:v>Seller 1014</x:v>
      </x:c>
      <x:c r="E485" t="str">
        <x:v>Gold</x:v>
      </x:c>
      <x:c r="F485" t="str">
        <x:v>East</x:v>
      </x:c>
      <x:c r="G485" t="str">
        <x:v>Apparel</x:v>
      </x:c>
      <x:c r="H485" t="n">
        <x:v>1</x:v>
      </x:c>
      <x:c r="I485" s="26" t="n">
        <x:v>3473.4</x:v>
      </x:c>
      <x:c r="J485" s="26" t="n">
        <x:v>3976.2</x:v>
      </x:c>
      <x:c r="K485" s="28" t="n">
        <x:v>0.1286</x:v>
      </x:c>
      <x:c r="L485" s="26" t="n">
        <x:v>511.34</x:v>
      </x:c>
      <x:c r="M485" t="n">
        <x:v>0</x:v>
      </x:c>
      <x:c r="N485" s="26" t="n">
        <x:v>0</x:v>
      </x:c>
      <x:c r="O485" s="26" t="n">
        <x:v>73.56</x:v>
      </x:c>
      <x:c r="P485" s="26" t="n">
        <x:v>17.89</x:v>
      </x:c>
      <x:c r="Q485" s="26" t="n">
        <x:v>33.8</x:v>
      </x:c>
      <x:c r="R485" s="26" t="n">
        <x:v>41.75</x:v>
      </x:c>
      <x:c r="S485" s="26" t="n">
        <x:v>344.34</x:v>
      </x:c>
    </x:row>
    <x:row r="486">
      <x:c r="A486" t="n">
        <x:v>500483</x:v>
      </x:c>
      <x:c r="B486" s="24" t="n">
        <x:v>45772</x:v>
      </x:c>
      <x:c r="C486" t="n">
        <x:v>1010</x:v>
      </x:c>
      <x:c r="D486" t="str">
        <x:v>Seller 1010</x:v>
      </x:c>
      <x:c r="E486" t="str">
        <x:v>Platinum</x:v>
      </x:c>
      <x:c r="F486" t="str">
        <x:v>West</x:v>
      </x:c>
      <x:c r="G486" t="str">
        <x:v>Home &amp; Kitchen</x:v>
      </x:c>
      <x:c r="H486" t="n">
        <x:v>3</x:v>
      </x:c>
      <x:c r="I486" s="26" t="n">
        <x:v>1159.8</x:v>
      </x:c>
      <x:c r="J486" s="26" t="n">
        <x:v>5366.4</x:v>
      </x:c>
      <x:c r="K486" s="28" t="n">
        <x:v>0.1382</x:v>
      </x:c>
      <x:c r="L486" s="26" t="n">
        <x:v>741.64</x:v>
      </x:c>
      <x:c r="M486" t="n">
        <x:v>0</x:v>
      </x:c>
      <x:c r="N486" s="26" t="n">
        <x:v>0</x:v>
      </x:c>
      <x:c r="O486" s="26" t="n">
        <x:v>99.28</x:v>
      </x:c>
      <x:c r="P486" s="26" t="n">
        <x:v>24.15</x:v>
      </x:c>
      <x:c r="Q486" s="26" t="n">
        <x:v>45.61</x:v>
      </x:c>
      <x:c r="R486" s="26" t="n">
        <x:v>56.35</x:v>
      </x:c>
      <x:c r="S486" s="26" t="n">
        <x:v>516.25</x:v>
      </x:c>
    </x:row>
    <x:row r="487">
      <x:c r="A487" t="n">
        <x:v>500484</x:v>
      </x:c>
      <x:c r="B487" s="24" t="n">
        <x:v>45752</x:v>
      </x:c>
      <x:c r="C487" t="n">
        <x:v>1076</x:v>
      </x:c>
      <x:c r="D487" t="str">
        <x:v>Seller 1076</x:v>
      </x:c>
      <x:c r="E487" t="str">
        <x:v>Bronze</x:v>
      </x:c>
      <x:c r="F487" t="str">
        <x:v>Central</x:v>
      </x:c>
      <x:c r="G487" t="str">
        <x:v>Home &amp; Kitchen</x:v>
      </x:c>
      <x:c r="H487" t="n">
        <x:v>3</x:v>
      </x:c>
      <x:c r="I487" s="26" t="n">
        <x:v>1710</x:v>
      </x:c>
      <x:c r="J487" s="26" t="n">
        <x:v>3165.6</x:v>
      </x:c>
      <x:c r="K487" s="28" t="n">
        <x:v>0.1445</x:v>
      </x:c>
      <x:c r="L487" s="26" t="n">
        <x:v>457.43</x:v>
      </x:c>
      <x:c r="M487" t="n">
        <x:v>0</x:v>
      </x:c>
      <x:c r="N487" s="26" t="n">
        <x:v>0</x:v>
      </x:c>
      <x:c r="O487" s="26" t="n">
        <x:v>58.56</x:v>
      </x:c>
      <x:c r="P487" s="26" t="n">
        <x:v>14.25</x:v>
      </x:c>
      <x:c r="Q487" s="26" t="n">
        <x:v>26.91</x:v>
      </x:c>
      <x:c r="R487" s="26" t="n">
        <x:v>33.24</x:v>
      </x:c>
      <x:c r="S487" s="26" t="n">
        <x:v>324.47</x:v>
      </x:c>
    </x:row>
    <x:row r="488">
      <x:c r="A488" t="n">
        <x:v>500485</x:v>
      </x:c>
      <x:c r="B488" s="24" t="n">
        <x:v>45750</x:v>
      </x:c>
      <x:c r="C488" t="n">
        <x:v>1047</x:v>
      </x:c>
      <x:c r="D488" t="str">
        <x:v>Seller 1047</x:v>
      </x:c>
      <x:c r="E488" t="str">
        <x:v>Silver</x:v>
      </x:c>
      <x:c r="F488" t="str">
        <x:v>East</x:v>
      </x:c>
      <x:c r="G488" t="str">
        <x:v>Sports</x:v>
      </x:c>
      <x:c r="H488" t="n">
        <x:v>3</x:v>
      </x:c>
      <x:c r="I488" s="26" t="n">
        <x:v>1213.1999999999998</x:v>
      </x:c>
      <x:c r="J488" s="26" t="n">
        <x:v>3187.8</x:v>
      </x:c>
      <x:c r="K488" s="28" t="n">
        <x:v>0.1366</x:v>
      </x:c>
      <x:c r="L488" s="26" t="n">
        <x:v>435.45</x:v>
      </x:c>
      <x:c r="M488" t="n">
        <x:v>0</x:v>
      </x:c>
      <x:c r="N488" s="26" t="n">
        <x:v>0</x:v>
      </x:c>
      <x:c r="O488" s="26" t="n">
        <x:v>58.97</x:v>
      </x:c>
      <x:c r="P488" s="26" t="n">
        <x:v>14.35</x:v>
      </x:c>
      <x:c r="Q488" s="26" t="n">
        <x:v>27.1</x:v>
      </x:c>
      <x:c r="R488" s="26" t="n">
        <x:v>33.47</x:v>
      </x:c>
      <x:c r="S488" s="26" t="n">
        <x:v>301.57</x:v>
      </x:c>
    </x:row>
    <x:row r="489">
      <x:c r="A489" t="n">
        <x:v>500486</x:v>
      </x:c>
      <x:c r="B489" s="24" t="n">
        <x:v>45772</x:v>
      </x:c>
      <x:c r="C489" t="n">
        <x:v>1051</x:v>
      </x:c>
      <x:c r="D489" t="str">
        <x:v>Seller 1051</x:v>
      </x:c>
      <x:c r="E489" t="str">
        <x:v>Silver</x:v>
      </x:c>
      <x:c r="F489" t="str">
        <x:v>East</x:v>
      </x:c>
      <x:c r="G489" t="str">
        <x:v>Sports</x:v>
      </x:c>
      <x:c r="H489" t="n">
        <x:v>3</x:v>
      </x:c>
      <x:c r="I489" s="26" t="n">
        <x:v>1537.8</x:v>
      </x:c>
      <x:c r="J489" s="26" t="n">
        <x:v>4041</x:v>
      </x:c>
      <x:c r="K489" s="28" t="n">
        <x:v>0.1391</x:v>
      </x:c>
      <x:c r="L489" s="26" t="n">
        <x:v>562.1</x:v>
      </x:c>
      <x:c r="M489" t="n">
        <x:v>0</x:v>
      </x:c>
      <x:c r="N489" s="26" t="n">
        <x:v>0</x:v>
      </x:c>
      <x:c r="O489" s="26" t="n">
        <x:v>74.76</x:v>
      </x:c>
      <x:c r="P489" s="26" t="n">
        <x:v>18.18</x:v>
      </x:c>
      <x:c r="Q489" s="26" t="n">
        <x:v>34.35</x:v>
      </x:c>
      <x:c r="R489" s="26" t="n">
        <x:v>42.43</x:v>
      </x:c>
      <x:c r="S489" s="26" t="n">
        <x:v>392.38</x:v>
      </x:c>
    </x:row>
    <x:row r="490">
      <x:c r="A490" t="n">
        <x:v>500487</x:v>
      </x:c>
      <x:c r="B490" s="24" t="n">
        <x:v>45771</x:v>
      </x:c>
      <x:c r="C490" t="n">
        <x:v>1066</x:v>
      </x:c>
      <x:c r="D490" t="str">
        <x:v>Seller 1066</x:v>
      </x:c>
      <x:c r="E490" t="str">
        <x:v>Bronze</x:v>
      </x:c>
      <x:c r="F490" t="str">
        <x:v>South</x:v>
      </x:c>
      <x:c r="G490" t="str">
        <x:v>Home &amp; Kitchen</x:v>
      </x:c>
      <x:c r="H490" t="n">
        <x:v>3</x:v>
      </x:c>
      <x:c r="I490" s="26" t="n">
        <x:v>2068.2</x:v>
      </x:c>
      <x:c r="J490" s="26" t="n">
        <x:v>3829.2</x:v>
      </x:c>
      <x:c r="K490" s="28" t="n">
        <x:v>0.1366</x:v>
      </x:c>
      <x:c r="L490" s="26" t="n">
        <x:v>523.07</x:v>
      </x:c>
      <x:c r="M490" t="n">
        <x:v>0</x:v>
      </x:c>
      <x:c r="N490" s="26" t="n">
        <x:v>0</x:v>
      </x:c>
      <x:c r="O490" s="26" t="n">
        <x:v>70.84</x:v>
      </x:c>
      <x:c r="P490" s="26" t="n">
        <x:v>17.23</x:v>
      </x:c>
      <x:c r="Q490" s="26" t="n">
        <x:v>32.55</x:v>
      </x:c>
      <x:c r="R490" s="26" t="n">
        <x:v>40.21</x:v>
      </x:c>
      <x:c r="S490" s="26" t="n">
        <x:v>362.24</x:v>
      </x:c>
    </x:row>
    <x:row r="491">
      <x:c r="A491" t="n">
        <x:v>500488</x:v>
      </x:c>
      <x:c r="B491" s="24" t="n">
        <x:v>45777</x:v>
      </x:c>
      <x:c r="C491" t="n">
        <x:v>1062</x:v>
      </x:c>
      <x:c r="D491" t="str">
        <x:v>Seller 1062</x:v>
      </x:c>
      <x:c r="E491" t="str">
        <x:v>Bronze</x:v>
      </x:c>
      <x:c r="F491" t="str">
        <x:v>West</x:v>
      </x:c>
      <x:c r="G491" t="str">
        <x:v>Electronics</x:v>
      </x:c>
      <x:c r="H491" t="n">
        <x:v>2</x:v>
      </x:c>
      <x:c r="I491" s="26" t="n">
        <x:v>5139.599999999999</x:v>
      </x:c>
      <x:c r="J491" s="26" t="n">
        <x:v>6343.2</x:v>
      </x:c>
      <x:c r="K491" s="28" t="n">
        <x:v>0.1145</x:v>
      </x:c>
      <x:c r="L491" s="26" t="n">
        <x:v>726.3</x:v>
      </x:c>
      <x:c r="M491" t="n">
        <x:v>1</x:v>
      </x:c>
      <x:c r="N491" s="26" t="n">
        <x:v>4078.8</x:v>
      </x:c>
      <x:c r="O491" s="26" t="n">
        <x:v>117.35</x:v>
      </x:c>
      <x:c r="P491" s="26" t="n">
        <x:v>28.54</x:v>
      </x:c>
      <x:c r="Q491" s="26" t="n">
        <x:v>53.92</x:v>
      </x:c>
      <x:c r="R491" s="26" t="n">
        <x:v>66.6</x:v>
      </x:c>
      <x:c r="S491" s="26" t="n">
        <x:v>378.31</x:v>
      </x:c>
    </x:row>
    <x:row r="492">
      <x:c r="A492" t="n">
        <x:v>500489</x:v>
      </x:c>
      <x:c r="B492" s="24" t="n">
        <x:v>45764</x:v>
      </x:c>
      <x:c r="C492" t="n">
        <x:v>1047</x:v>
      </x:c>
      <x:c r="D492" t="str">
        <x:v>Seller 1047</x:v>
      </x:c>
      <x:c r="E492" t="str">
        <x:v>Silver</x:v>
      </x:c>
      <x:c r="F492" t="str">
        <x:v>East</x:v>
      </x:c>
      <x:c r="G492" t="str">
        <x:v>Sports</x:v>
      </x:c>
      <x:c r="H492" t="n">
        <x:v>4</x:v>
      </x:c>
      <x:c r="I492" s="26" t="n">
        <x:v>768.6</x:v>
      </x:c>
      <x:c r="J492" s="26" t="n">
        <x:v>2691.6</x:v>
      </x:c>
      <x:c r="K492" s="28" t="n">
        <x:v>0.117</x:v>
      </x:c>
      <x:c r="L492" s="26" t="n">
        <x:v>314.92</x:v>
      </x:c>
      <x:c r="M492" t="n">
        <x:v>0</x:v>
      </x:c>
      <x:c r="N492" s="26" t="n">
        <x:v>0</x:v>
      </x:c>
      <x:c r="O492" s="26" t="n">
        <x:v>49.79</x:v>
      </x:c>
      <x:c r="P492" s="26" t="n">
        <x:v>12.11</x:v>
      </x:c>
      <x:c r="Q492" s="26" t="n">
        <x:v>22.88</x:v>
      </x:c>
      <x:c r="R492" s="26" t="n">
        <x:v>28.26</x:v>
      </x:c>
      <x:c r="S492" s="26" t="n">
        <x:v>201.87</x:v>
      </x:c>
    </x:row>
    <x:row r="493">
      <x:c r="A493" t="n">
        <x:v>500490</x:v>
      </x:c>
      <x:c r="B493" s="24" t="n">
        <x:v>45776</x:v>
      </x:c>
      <x:c r="C493" t="n">
        <x:v>1036</x:v>
      </x:c>
      <x:c r="D493" t="str">
        <x:v>Seller 1036</x:v>
      </x:c>
      <x:c r="E493" t="str">
        <x:v>Silver</x:v>
      </x:c>
      <x:c r="F493" t="str">
        <x:v>Central</x:v>
      </x:c>
      <x:c r="G493" t="str">
        <x:v>Beauty</x:v>
      </x:c>
      <x:c r="H493" t="n">
        <x:v>1</x:v>
      </x:c>
      <x:c r="I493" s="26" t="n">
        <x:v>2509.7999999999997</x:v>
      </x:c>
      <x:c r="J493" s="26" t="n">
        <x:v>2198.4</x:v>
      </x:c>
      <x:c r="K493" s="28" t="n">
        <x:v>0.142</x:v>
      </x:c>
      <x:c r="L493" s="26" t="n">
        <x:v>312.17</x:v>
      </x:c>
      <x:c r="M493" t="n">
        <x:v>0</x:v>
      </x:c>
      <x:c r="N493" s="26" t="n">
        <x:v>0</x:v>
      </x:c>
      <x:c r="O493" s="26" t="n">
        <x:v>40.67</x:v>
      </x:c>
      <x:c r="P493" s="26" t="n">
        <x:v>9.89</x:v>
      </x:c>
      <x:c r="Q493" s="26" t="n">
        <x:v>18.69</x:v>
      </x:c>
      <x:c r="R493" s="26" t="n">
        <x:v>23.08</x:v>
      </x:c>
      <x:c r="S493" s="26" t="n">
        <x:v>219.84</x:v>
      </x:c>
    </x:row>
    <x:row r="494">
      <x:c r="A494" t="n">
        <x:v>500491</x:v>
      </x:c>
      <x:c r="B494" s="24" t="n">
        <x:v>45763</x:v>
      </x:c>
      <x:c r="C494" t="n">
        <x:v>1010</x:v>
      </x:c>
      <x:c r="D494" t="str">
        <x:v>Seller 1010</x:v>
      </x:c>
      <x:c r="E494" t="str">
        <x:v>Platinum</x:v>
      </x:c>
      <x:c r="F494" t="str">
        <x:v>West</x:v>
      </x:c>
      <x:c r="G494" t="str">
        <x:v>Home &amp; Kitchen</x:v>
      </x:c>
      <x:c r="H494" t="n">
        <x:v>1</x:v>
      </x:c>
      <x:c r="I494" s="26" t="n">
        <x:v>5521.8</x:v>
      </x:c>
      <x:c r="J494" s="26" t="n">
        <x:v>8518.8</x:v>
      </x:c>
      <x:c r="K494" s="28" t="n">
        <x:v>0.1354</x:v>
      </x:c>
      <x:c r="L494" s="26" t="n">
        <x:v>1153.45</x:v>
      </x:c>
      <x:c r="M494" t="n">
        <x:v>0</x:v>
      </x:c>
      <x:c r="N494" s="26" t="n">
        <x:v>0</x:v>
      </x:c>
      <x:c r="O494" s="26" t="n">
        <x:v>157.6</x:v>
      </x:c>
      <x:c r="P494" s="26" t="n">
        <x:v>38.33</x:v>
      </x:c>
      <x:c r="Q494" s="26" t="n">
        <x:v>72.41</x:v>
      </x:c>
      <x:c r="R494" s="26" t="n">
        <x:v>89.45</x:v>
      </x:c>
      <x:c r="S494" s="26" t="n">
        <x:v>795.66</x:v>
      </x:c>
    </x:row>
    <x:row r="495">
      <x:c r="A495" t="n">
        <x:v>500492</x:v>
      </x:c>
      <x:c r="B495" s="24" t="n">
        <x:v>45754</x:v>
      </x:c>
      <x:c r="C495" t="n">
        <x:v>1062</x:v>
      </x:c>
      <x:c r="D495" t="str">
        <x:v>Seller 1062</x:v>
      </x:c>
      <x:c r="E495" t="str">
        <x:v>Bronze</x:v>
      </x:c>
      <x:c r="F495" t="str">
        <x:v>West</x:v>
      </x:c>
      <x:c r="G495" t="str">
        <x:v>Electronics</x:v>
      </x:c>
      <x:c r="H495" t="n">
        <x:v>2</x:v>
      </x:c>
      <x:c r="I495" s="26" t="n">
        <x:v>4345.8</x:v>
      </x:c>
      <x:c r="J495" s="26" t="n">
        <x:v>5363.4</x:v>
      </x:c>
      <x:c r="K495" s="28" t="n">
        <x:v>0.117</x:v>
      </x:c>
      <x:c r="L495" s="26" t="n">
        <x:v>627.52</x:v>
      </x:c>
      <x:c r="M495" t="n">
        <x:v>0</x:v>
      </x:c>
      <x:c r="N495" s="26" t="n">
        <x:v>0</x:v>
      </x:c>
      <x:c r="O495" s="26" t="n">
        <x:v>99.22</x:v>
      </x:c>
      <x:c r="P495" s="26" t="n">
        <x:v>24.14</x:v>
      </x:c>
      <x:c r="Q495" s="26" t="n">
        <x:v>45.59</x:v>
      </x:c>
      <x:c r="R495" s="26" t="n">
        <x:v>56.32</x:v>
      </x:c>
      <x:c r="S495" s="26" t="n">
        <x:v>402.25</x:v>
      </x:c>
    </x:row>
    <x:row r="496">
      <x:c r="A496" t="n">
        <x:v>500493</x:v>
      </x:c>
      <x:c r="B496" s="24" t="n">
        <x:v>45771</x:v>
      </x:c>
      <x:c r="C496" t="n">
        <x:v>1020</x:v>
      </x:c>
      <x:c r="D496" t="str">
        <x:v>Seller 1020</x:v>
      </x:c>
      <x:c r="E496" t="str">
        <x:v>Gold</x:v>
      </x:c>
      <x:c r="F496" t="str">
        <x:v>West</x:v>
      </x:c>
      <x:c r="G496" t="str">
        <x:v>Home &amp; Kitchen</x:v>
      </x:c>
      <x:c r="H496" t="n">
        <x:v>1</x:v>
      </x:c>
      <x:c r="I496" s="26" t="n">
        <x:v>5396.4</x:v>
      </x:c>
      <x:c r="J496" s="26" t="n">
        <x:v>6177</x:v>
      </x:c>
      <x:c r="K496" s="28" t="n">
        <x:v>0.1258</x:v>
      </x:c>
      <x:c r="L496" s="26" t="n">
        <x:v>777.07</x:v>
      </x:c>
      <x:c r="M496" t="n">
        <x:v>0</x:v>
      </x:c>
      <x:c r="N496" s="26" t="n">
        <x:v>0</x:v>
      </x:c>
      <x:c r="O496" s="26" t="n">
        <x:v>114.27</x:v>
      </x:c>
      <x:c r="P496" s="26" t="n">
        <x:v>27.8</x:v>
      </x:c>
      <x:c r="Q496" s="26" t="n">
        <x:v>52.5</x:v>
      </x:c>
      <x:c r="R496" s="26" t="n">
        <x:v>64.86</x:v>
      </x:c>
      <x:c r="S496" s="26" t="n">
        <x:v>517.63</x:v>
      </x:c>
    </x:row>
    <x:row r="497">
      <x:c r="A497" t="n">
        <x:v>500494</x:v>
      </x:c>
      <x:c r="B497" s="24" t="n">
        <x:v>45766</x:v>
      </x:c>
      <x:c r="C497" t="n">
        <x:v>1015</x:v>
      </x:c>
      <x:c r="D497" t="str">
        <x:v>Seller 1015</x:v>
      </x:c>
      <x:c r="E497" t="str">
        <x:v>Gold</x:v>
      </x:c>
      <x:c r="F497" t="str">
        <x:v>West</x:v>
      </x:c>
      <x:c r="G497" t="str">
        <x:v>Pet Supplies</x:v>
      </x:c>
      <x:c r="H497" t="n">
        <x:v>1</x:v>
      </x:c>
      <x:c r="I497" s="26" t="n">
        <x:v>3142.8</x:v>
      </x:c>
      <x:c r="J497" s="26" t="n">
        <x:v>3597.6</x:v>
      </x:c>
      <x:c r="K497" s="28" t="n">
        <x:v>0.1239</x:v>
      </x:c>
      <x:c r="L497" s="26" t="n">
        <x:v>445.74</x:v>
      </x:c>
      <x:c r="M497" t="n">
        <x:v>1</x:v>
      </x:c>
      <x:c r="N497" s="26" t="n">
        <x:v>2048.4</x:v>
      </x:c>
      <x:c r="O497" s="26" t="n">
        <x:v>66.56</x:v>
      </x:c>
      <x:c r="P497" s="26" t="n">
        <x:v>16.19</x:v>
      </x:c>
      <x:c r="Q497" s="26" t="n">
        <x:v>30.58</x:v>
      </x:c>
      <x:c r="R497" s="26" t="n">
        <x:v>37.77</x:v>
      </x:c>
      <x:c r="S497" s="26" t="n">
        <x:v>253.68</x:v>
      </x:c>
    </x:row>
    <x:row r="498">
      <x:c r="A498" t="n">
        <x:v>500495</x:v>
      </x:c>
      <x:c r="B498" s="24" t="n">
        <x:v>45753</x:v>
      </x:c>
      <x:c r="C498" t="n">
        <x:v>1076</x:v>
      </x:c>
      <x:c r="D498" t="str">
        <x:v>Seller 1076</x:v>
      </x:c>
      <x:c r="E498" t="str">
        <x:v>Bronze</x:v>
      </x:c>
      <x:c r="F498" t="str">
        <x:v>Central</x:v>
      </x:c>
      <x:c r="G498" t="str">
        <x:v>Home &amp; Kitchen</x:v>
      </x:c>
      <x:c r="H498" t="n">
        <x:v>2</x:v>
      </x:c>
      <x:c r="I498" s="26" t="n">
        <x:v>2379</x:v>
      </x:c>
      <x:c r="J498" s="26" t="n">
        <x:v>2936.4</x:v>
      </x:c>
      <x:c r="K498" s="28" t="n">
        <x:v>0.1367</x:v>
      </x:c>
      <x:c r="L498" s="26" t="n">
        <x:v>401.41</x:v>
      </x:c>
      <x:c r="M498" t="n">
        <x:v>0</x:v>
      </x:c>
      <x:c r="N498" s="26" t="n">
        <x:v>0</x:v>
      </x:c>
      <x:c r="O498" s="26" t="n">
        <x:v>54.32</x:v>
      </x:c>
      <x:c r="P498" s="26" t="n">
        <x:v>13.21</x:v>
      </x:c>
      <x:c r="Q498" s="26" t="n">
        <x:v>24.96</x:v>
      </x:c>
      <x:c r="R498" s="26" t="n">
        <x:v>30.83</x:v>
      </x:c>
      <x:c r="S498" s="26" t="n">
        <x:v>278.08</x:v>
      </x:c>
    </x:row>
    <x:row r="499">
      <x:c r="A499" t="n">
        <x:v>500496</x:v>
      </x:c>
      <x:c r="B499" s="24" t="n">
        <x:v>45750</x:v>
      </x:c>
      <x:c r="C499" t="n">
        <x:v>1067</x:v>
      </x:c>
      <x:c r="D499" t="str">
        <x:v>Seller 1067</x:v>
      </x:c>
      <x:c r="E499" t="str">
        <x:v>Bronze</x:v>
      </x:c>
      <x:c r="F499" t="str">
        <x:v>South</x:v>
      </x:c>
      <x:c r="G499" t="str">
        <x:v>Sports</x:v>
      </x:c>
      <x:c r="H499" t="n">
        <x:v>3</x:v>
      </x:c>
      <x:c r="I499" s="26" t="n">
        <x:v>1420.2</x:v>
      </x:c>
      <x:c r="J499" s="26" t="n">
        <x:v>2629.2</x:v>
      </x:c>
      <x:c r="K499" s="28" t="n">
        <x:v>0.1371</x:v>
      </x:c>
      <x:c r="L499" s="26" t="n">
        <x:v>360.46</x:v>
      </x:c>
      <x:c r="M499" t="n">
        <x:v>0</x:v>
      </x:c>
      <x:c r="N499" s="26" t="n">
        <x:v>0</x:v>
      </x:c>
      <x:c r="O499" s="26" t="n">
        <x:v>48.64</x:v>
      </x:c>
      <x:c r="P499" s="26" t="n">
        <x:v>11.83</x:v>
      </x:c>
      <x:c r="Q499" s="26" t="n">
        <x:v>22.35</x:v>
      </x:c>
      <x:c r="R499" s="26" t="n">
        <x:v>27.61</x:v>
      </x:c>
      <x:c r="S499" s="26" t="n">
        <x:v>250.04</x:v>
      </x:c>
    </x:row>
    <x:row r="500">
      <x:c r="A500" t="n">
        <x:v>500497</x:v>
      </x:c>
      <x:c r="B500" s="24" t="n">
        <x:v>45773</x:v>
      </x:c>
      <x:c r="C500" t="n">
        <x:v>1028</x:v>
      </x:c>
      <x:c r="D500" t="str">
        <x:v>Seller 1028</x:v>
      </x:c>
      <x:c r="E500" t="str">
        <x:v>Gold</x:v>
      </x:c>
      <x:c r="F500" t="str">
        <x:v>Central</x:v>
      </x:c>
      <x:c r="G500" t="str">
        <x:v>Sports</x:v>
      </x:c>
      <x:c r="H500" t="n">
        <x:v>4</x:v>
      </x:c>
      <x:c r="I500" s="26" t="n">
        <x:v>1107</x:v>
      </x:c>
      <x:c r="J500" s="26" t="n">
        <x:v>5067</x:v>
      </x:c>
      <x:c r="K500" s="28" t="n">
        <x:v>0.1201</x:v>
      </x:c>
      <x:c r="L500" s="26" t="n">
        <x:v>608.55</x:v>
      </x:c>
      <x:c r="M500" t="n">
        <x:v>0</x:v>
      </x:c>
      <x:c r="N500" s="26" t="n">
        <x:v>0</x:v>
      </x:c>
      <x:c r="O500" s="26" t="n">
        <x:v>93.74</x:v>
      </x:c>
      <x:c r="P500" s="26" t="n">
        <x:v>22.8</x:v>
      </x:c>
      <x:c r="Q500" s="26" t="n">
        <x:v>43.07</x:v>
      </x:c>
      <x:c r="R500" s="26" t="n">
        <x:v>53.2</x:v>
      </x:c>
      <x:c r="S500" s="26" t="n">
        <x:v>395.73</x:v>
      </x:c>
    </x:row>
    <x:row r="501">
      <x:c r="A501" t="n">
        <x:v>500498</x:v>
      </x:c>
      <x:c r="B501" s="24" t="n">
        <x:v>45767</x:v>
      </x:c>
      <x:c r="C501" t="n">
        <x:v>1075</x:v>
      </x:c>
      <x:c r="D501" t="str">
        <x:v>Seller 1075</x:v>
      </x:c>
      <x:c r="E501" t="str">
        <x:v>Bronze</x:v>
      </x:c>
      <x:c r="F501" t="str">
        <x:v>East</x:v>
      </x:c>
      <x:c r="G501" t="str">
        <x:v>Home &amp; Kitchen</x:v>
      </x:c>
      <x:c r="H501" t="n">
        <x:v>1</x:v>
      </x:c>
      <x:c r="I501" s="26" t="n">
        <x:v>4591.2</x:v>
      </x:c>
      <x:c r="J501" s="26" t="n">
        <x:v>2833.2</x:v>
      </x:c>
      <x:c r="K501" s="28" t="n">
        <x:v>0.127</x:v>
      </x:c>
      <x:c r="L501" s="26" t="n">
        <x:v>359.82</x:v>
      </x:c>
      <x:c r="M501" t="n">
        <x:v>0</x:v>
      </x:c>
      <x:c r="N501" s="26" t="n">
        <x:v>0</x:v>
      </x:c>
      <x:c r="O501" s="26" t="n">
        <x:v>52.41</x:v>
      </x:c>
      <x:c r="P501" s="26" t="n">
        <x:v>12.75</x:v>
      </x:c>
      <x:c r="Q501" s="26" t="n">
        <x:v>24.08</x:v>
      </x:c>
      <x:c r="R501" s="26" t="n">
        <x:v>29.75</x:v>
      </x:c>
      <x:c r="S501" s="26" t="n">
        <x:v>240.82</x:v>
      </x:c>
    </x:row>
    <x:row r="502">
      <x:c r="A502" t="n">
        <x:v>500499</x:v>
      </x:c>
      <x:c r="B502" s="24" t="n">
        <x:v>45769</x:v>
      </x:c>
      <x:c r="C502" t="n">
        <x:v>1076</x:v>
      </x:c>
      <x:c r="D502" t="str">
        <x:v>Seller 1076</x:v>
      </x:c>
      <x:c r="E502" t="str">
        <x:v>Bronze</x:v>
      </x:c>
      <x:c r="F502" t="str">
        <x:v>Central</x:v>
      </x:c>
      <x:c r="G502" t="str">
        <x:v>Home &amp; Kitchen</x:v>
      </x:c>
      <x:c r="H502" t="n">
        <x:v>2</x:v>
      </x:c>
      <x:c r="I502" s="26" t="n">
        <x:v>2605.2000000000003</x:v>
      </x:c>
      <x:c r="J502" s="26" t="n">
        <x:v>3215.4</x:v>
      </x:c>
      <x:c r="K502" s="28" t="n">
        <x:v>0.1234</x:v>
      </x:c>
      <x:c r="L502" s="26" t="n">
        <x:v>396.78</x:v>
      </x:c>
      <x:c r="M502" t="n">
        <x:v>0</x:v>
      </x:c>
      <x:c r="N502" s="26" t="n">
        <x:v>0</x:v>
      </x:c>
      <x:c r="O502" s="26" t="n">
        <x:v>59.48</x:v>
      </x:c>
      <x:c r="P502" s="26" t="n">
        <x:v>14.47</x:v>
      </x:c>
      <x:c r="Q502" s="26" t="n">
        <x:v>27.33</x:v>
      </x:c>
      <x:c r="R502" s="26" t="n">
        <x:v>33.76</x:v>
      </x:c>
      <x:c r="S502" s="26" t="n">
        <x:v>261.73</x:v>
      </x:c>
    </x:row>
    <x:row r="503">
      <x:c r="A503" t="n">
        <x:v>500500</x:v>
      </x:c>
      <x:c r="B503" s="24" t="n">
        <x:v>45764</x:v>
      </x:c>
      <x:c r="C503" t="n">
        <x:v>1054</x:v>
      </x:c>
      <x:c r="D503" t="str">
        <x:v>Seller 1054</x:v>
      </x:c>
      <x:c r="E503" t="str">
        <x:v>Silver</x:v>
      </x:c>
      <x:c r="F503" t="str">
        <x:v>South</x:v>
      </x:c>
      <x:c r="G503" t="str">
        <x:v>Sports</x:v>
      </x:c>
      <x:c r="H503" t="n">
        <x:v>3</x:v>
      </x:c>
      <x:c r="I503" s="26" t="n">
        <x:v>1755.6000000000001</x:v>
      </x:c>
      <x:c r="J503" s="26" t="n">
        <x:v>4614</x:v>
      </x:c>
      <x:c r="K503" s="28" t="n">
        <x:v>0.1308</x:v>
      </x:c>
      <x:c r="L503" s="26" t="n">
        <x:v>603.51</x:v>
      </x:c>
      <x:c r="M503" t="n">
        <x:v>0</x:v>
      </x:c>
      <x:c r="N503" s="26" t="n">
        <x:v>0</x:v>
      </x:c>
      <x:c r="O503" s="26" t="n">
        <x:v>85.36</x:v>
      </x:c>
      <x:c r="P503" s="26" t="n">
        <x:v>20.76</x:v>
      </x:c>
      <x:c r="Q503" s="26" t="n">
        <x:v>39.22</x:v>
      </x:c>
      <x:c r="R503" s="26" t="n">
        <x:v>48.45</x:v>
      </x:c>
      <x:c r="S503" s="26" t="n">
        <x:v>409.72</x:v>
      </x:c>
    </x:row>
    <x:row r="504">
      <x:c r="A504" t="n">
        <x:v>500501</x:v>
      </x:c>
      <x:c r="B504" s="24" t="n">
        <x:v>45769</x:v>
      </x:c>
      <x:c r="C504" t="n">
        <x:v>1016</x:v>
      </x:c>
      <x:c r="D504" t="str">
        <x:v>Seller 1016</x:v>
      </x:c>
      <x:c r="E504" t="str">
        <x:v>Gold</x:v>
      </x:c>
      <x:c r="F504" t="str">
        <x:v>West</x:v>
      </x:c>
      <x:c r="G504" t="str">
        <x:v>Sports</x:v>
      </x:c>
      <x:c r="H504" t="n">
        <x:v>1</x:v>
      </x:c>
      <x:c r="I504" s="26" t="n">
        <x:v>3897.5999999999995</x:v>
      </x:c>
      <x:c r="J504" s="26" t="n">
        <x:v>4461.6</x:v>
      </x:c>
      <x:c r="K504" s="28" t="n">
        <x:v>0.1289</x:v>
      </x:c>
      <x:c r="L504" s="26" t="n">
        <x:v>575.1</x:v>
      </x:c>
      <x:c r="M504" t="n">
        <x:v>0</x:v>
      </x:c>
      <x:c r="N504" s="26" t="n">
        <x:v>0</x:v>
      </x:c>
      <x:c r="O504" s="26" t="n">
        <x:v>82.54</x:v>
      </x:c>
      <x:c r="P504" s="26" t="n">
        <x:v>20.08</x:v>
      </x:c>
      <x:c r="Q504" s="26" t="n">
        <x:v>37.92</x:v>
      </x:c>
      <x:c r="R504" s="26" t="n">
        <x:v>46.85</x:v>
      </x:c>
      <x:c r="S504" s="26" t="n">
        <x:v>387.71</x:v>
      </x:c>
    </x:row>
    <x:row r="505">
      <x:c r="A505" t="n">
        <x:v>500502</x:v>
      </x:c>
      <x:c r="B505" s="24" t="n">
        <x:v>45773</x:v>
      </x:c>
      <x:c r="C505" t="n">
        <x:v>1056</x:v>
      </x:c>
      <x:c r="D505" t="str">
        <x:v>Seller 1056</x:v>
      </x:c>
      <x:c r="E505" t="str">
        <x:v>Bronze</x:v>
      </x:c>
      <x:c r="F505" t="str">
        <x:v>West</x:v>
      </x:c>
      <x:c r="G505" t="str">
        <x:v>Apparel</x:v>
      </x:c>
      <x:c r="H505" t="n">
        <x:v>2</x:v>
      </x:c>
      <x:c r="I505" s="26" t="n">
        <x:v>1986.6</x:v>
      </x:c>
      <x:c r="J505" s="26" t="n">
        <x:v>2451.6</x:v>
      </x:c>
      <x:c r="K505" s="28" t="n">
        <x:v>0.1207</x:v>
      </x:c>
      <x:c r="L505" s="26" t="n">
        <x:v>295.91</x:v>
      </x:c>
      <x:c r="M505" t="n">
        <x:v>0</x:v>
      </x:c>
      <x:c r="N505" s="26" t="n">
        <x:v>0</x:v>
      </x:c>
      <x:c r="O505" s="26" t="n">
        <x:v>45.35</x:v>
      </x:c>
      <x:c r="P505" s="26" t="n">
        <x:v>11.03</x:v>
      </x:c>
      <x:c r="Q505" s="26" t="n">
        <x:v>20.84</x:v>
      </x:c>
      <x:c r="R505" s="26" t="n">
        <x:v>25.74</x:v>
      </x:c>
      <x:c r="S505" s="26" t="n">
        <x:v>192.94</x:v>
      </x:c>
    </x:row>
    <x:row r="506">
      <x:c r="A506" t="n">
        <x:v>500503</x:v>
      </x:c>
      <x:c r="B506" s="24" t="n">
        <x:v>45756</x:v>
      </x:c>
      <x:c r="C506" t="n">
        <x:v>1049</x:v>
      </x:c>
      <x:c r="D506" t="str">
        <x:v>Seller 1049</x:v>
      </x:c>
      <x:c r="E506" t="str">
        <x:v>Silver</x:v>
      </x:c>
      <x:c r="F506" t="str">
        <x:v>West</x:v>
      </x:c>
      <x:c r="G506" t="str">
        <x:v>Home &amp; Kitchen</x:v>
      </x:c>
      <x:c r="H506" t="n">
        <x:v>3</x:v>
      </x:c>
      <x:c r="I506" s="26" t="n">
        <x:v>830.4</x:v>
      </x:c>
      <x:c r="J506" s="26" t="n">
        <x:v>2182.8</x:v>
      </x:c>
      <x:c r="K506" s="28" t="n">
        <x:v>0.1431</x:v>
      </x:c>
      <x:c r="L506" s="26" t="n">
        <x:v>312.36</x:v>
      </x:c>
      <x:c r="M506" t="n">
        <x:v>0</x:v>
      </x:c>
      <x:c r="N506" s="26" t="n">
        <x:v>0</x:v>
      </x:c>
      <x:c r="O506" s="26" t="n">
        <x:v>40.38</x:v>
      </x:c>
      <x:c r="P506" s="26" t="n">
        <x:v>9.82</x:v>
      </x:c>
      <x:c r="Q506" s="26" t="n">
        <x:v>18.55</x:v>
      </x:c>
      <x:c r="R506" s="26" t="n">
        <x:v>22.92</x:v>
      </x:c>
      <x:c r="S506" s="26" t="n">
        <x:v>220.68</x:v>
      </x:c>
    </x:row>
    <x:row r="507">
      <x:c r="A507" t="n">
        <x:v>500504</x:v>
      </x:c>
      <x:c r="B507" s="24" t="n">
        <x:v>45773</x:v>
      </x:c>
      <x:c r="C507" t="n">
        <x:v>1062</x:v>
      </x:c>
      <x:c r="D507" t="str">
        <x:v>Seller 1062</x:v>
      </x:c>
      <x:c r="E507" t="str">
        <x:v>Bronze</x:v>
      </x:c>
      <x:c r="F507" t="str">
        <x:v>West</x:v>
      </x:c>
      <x:c r="G507" t="str">
        <x:v>Electronics</x:v>
      </x:c>
      <x:c r="H507" t="n">
        <x:v>2</x:v>
      </x:c>
      <x:c r="I507" s="26" t="n">
        <x:v>5743.2</x:v>
      </x:c>
      <x:c r="J507" s="26" t="n">
        <x:v>7088.4</x:v>
      </x:c>
      <x:c r="K507" s="28" t="n">
        <x:v>0.1228</x:v>
      </x:c>
      <x:c r="L507" s="26" t="n">
        <x:v>870.46</x:v>
      </x:c>
      <x:c r="M507" t="n">
        <x:v>0</x:v>
      </x:c>
      <x:c r="N507" s="26" t="n">
        <x:v>0</x:v>
      </x:c>
      <x:c r="O507" s="26" t="n">
        <x:v>131.14</x:v>
      </x:c>
      <x:c r="P507" s="26" t="n">
        <x:v>31.9</x:v>
      </x:c>
      <x:c r="Q507" s="26" t="n">
        <x:v>60.25</x:v>
      </x:c>
      <x:c r="R507" s="26" t="n">
        <x:v>74.43</x:v>
      </x:c>
      <x:c r="S507" s="26" t="n">
        <x:v>572.74</x:v>
      </x:c>
    </x:row>
    <x:row r="508">
      <x:c r="A508" t="n">
        <x:v>500505</x:v>
      </x:c>
      <x:c r="B508" s="24" t="n">
        <x:v>45759</x:v>
      </x:c>
      <x:c r="C508" t="n">
        <x:v>1001</x:v>
      </x:c>
      <x:c r="D508" t="str">
        <x:v>Seller 1001</x:v>
      </x:c>
      <x:c r="E508" t="str">
        <x:v>Platinum</x:v>
      </x:c>
      <x:c r="F508" t="str">
        <x:v>East</x:v>
      </x:c>
      <x:c r="G508" t="str">
        <x:v>Electronics</x:v>
      </x:c>
      <x:c r="H508" t="n">
        <x:v>2</x:v>
      </x:c>
      <x:c r="I508" s="26" t="n">
        <x:v>4406.4</x:v>
      </x:c>
      <x:c r="J508" s="26" t="n">
        <x:v>13596</x:v>
      </x:c>
      <x:c r="K508" s="28" t="n">
        <x:v>0.1287</x:v>
      </x:c>
      <x:c r="L508" s="26" t="n">
        <x:v>1749.81</x:v>
      </x:c>
      <x:c r="M508" t="n">
        <x:v>0</x:v>
      </x:c>
      <x:c r="N508" s="26" t="n">
        <x:v>0</x:v>
      </x:c>
      <x:c r="O508" s="26" t="n">
        <x:v>251.53</x:v>
      </x:c>
      <x:c r="P508" s="26" t="n">
        <x:v>61.18</x:v>
      </x:c>
      <x:c r="Q508" s="26" t="n">
        <x:v>115.57</x:v>
      </x:c>
      <x:c r="R508" s="26" t="n">
        <x:v>142.76</x:v>
      </x:c>
      <x:c r="S508" s="26" t="n">
        <x:v>1178.77</x:v>
      </x:c>
    </x:row>
    <x:row r="509">
      <x:c r="A509" t="n">
        <x:v>500506</x:v>
      </x:c>
      <x:c r="B509" s="24" t="n">
        <x:v>45756</x:v>
      </x:c>
      <x:c r="C509" t="n">
        <x:v>1014</x:v>
      </x:c>
      <x:c r="D509" t="str">
        <x:v>Seller 1014</x:v>
      </x:c>
      <x:c r="E509" t="str">
        <x:v>Gold</x:v>
      </x:c>
      <x:c r="F509" t="str">
        <x:v>East</x:v>
      </x:c>
      <x:c r="G509" t="str">
        <x:v>Apparel</x:v>
      </x:c>
      <x:c r="H509" t="n">
        <x:v>2</x:v>
      </x:c>
      <x:c r="I509" s="26" t="n">
        <x:v>1728.6</x:v>
      </x:c>
      <x:c r="J509" s="26" t="n">
        <x:v>3957</x:v>
      </x:c>
      <x:c r="K509" s="28" t="n">
        <x:v>0.1285</x:v>
      </x:c>
      <x:c r="L509" s="26" t="n">
        <x:v>508.47</x:v>
      </x:c>
      <x:c r="M509" t="n">
        <x:v>0</x:v>
      </x:c>
      <x:c r="N509" s="26" t="n">
        <x:v>0</x:v>
      </x:c>
      <x:c r="O509" s="26" t="n">
        <x:v>73.2</x:v>
      </x:c>
      <x:c r="P509" s="26" t="n">
        <x:v>17.81</x:v>
      </x:c>
      <x:c r="Q509" s="26" t="n">
        <x:v>33.63</x:v>
      </x:c>
      <x:c r="R509" s="26" t="n">
        <x:v>41.55</x:v>
      </x:c>
      <x:c r="S509" s="26" t="n">
        <x:v>342.28</x:v>
      </x:c>
    </x:row>
    <x:row r="510">
      <x:c r="A510" t="n">
        <x:v>500507</x:v>
      </x:c>
      <x:c r="B510" s="24" t="n">
        <x:v>45757</x:v>
      </x:c>
      <x:c r="C510" t="n">
        <x:v>1051</x:v>
      </x:c>
      <x:c r="D510" t="str">
        <x:v>Seller 1051</x:v>
      </x:c>
      <x:c r="E510" t="str">
        <x:v>Silver</x:v>
      </x:c>
      <x:c r="F510" t="str">
        <x:v>East</x:v>
      </x:c>
      <x:c r="G510" t="str">
        <x:v>Apparel</x:v>
      </x:c>
      <x:c r="H510" t="n">
        <x:v>1</x:v>
      </x:c>
      <x:c r="I510" s="26" t="n">
        <x:v>3714</x:v>
      </x:c>
      <x:c r="J510" s="26" t="n">
        <x:v>3253.2</x:v>
      </x:c>
      <x:c r="K510" s="28" t="n">
        <x:v>0.1123</x:v>
      </x:c>
      <x:c r="L510" s="26" t="n">
        <x:v>365.33</x:v>
      </x:c>
      <x:c r="M510" t="n">
        <x:v>0</x:v>
      </x:c>
      <x:c r="N510" s="26" t="n">
        <x:v>0</x:v>
      </x:c>
      <x:c r="O510" s="26" t="n">
        <x:v>60.18</x:v>
      </x:c>
      <x:c r="P510" s="26" t="n">
        <x:v>14.64</x:v>
      </x:c>
      <x:c r="Q510" s="26" t="n">
        <x:v>27.65</x:v>
      </x:c>
      <x:c r="R510" s="26" t="n">
        <x:v>34.16</x:v>
      </x:c>
      <x:c r="S510" s="26" t="n">
        <x:v>228.7</x:v>
      </x:c>
    </x:row>
    <x:row r="511">
      <x:c r="A511" t="n">
        <x:v>500508</x:v>
      </x:c>
      <x:c r="B511" s="24" t="n">
        <x:v>45762</x:v>
      </x:c>
      <x:c r="C511" t="n">
        <x:v>1074</x:v>
      </x:c>
      <x:c r="D511" t="str">
        <x:v>Seller 1074</x:v>
      </x:c>
      <x:c r="E511" t="str">
        <x:v>Bronze</x:v>
      </x:c>
      <x:c r="F511" t="str">
        <x:v>East</x:v>
      </x:c>
      <x:c r="G511" t="str">
        <x:v>Electronics</x:v>
      </x:c>
      <x:c r="H511" t="n">
        <x:v>2</x:v>
      </x:c>
      <x:c r="I511" s="26" t="n">
        <x:v>3258.6000000000004</x:v>
      </x:c>
      <x:c r="J511" s="26" t="n">
        <x:v>4021.8</x:v>
      </x:c>
      <x:c r="K511" s="28" t="n">
        <x:v>0.1335</x:v>
      </x:c>
      <x:c r="L511" s="26" t="n">
        <x:v>536.91</x:v>
      </x:c>
      <x:c r="M511" t="n">
        <x:v>0</x:v>
      </x:c>
      <x:c r="N511" s="26" t="n">
        <x:v>0</x:v>
      </x:c>
      <x:c r="O511" s="26" t="n">
        <x:v>74.4</x:v>
      </x:c>
      <x:c r="P511" s="26" t="n">
        <x:v>18.1</x:v>
      </x:c>
      <x:c r="Q511" s="26" t="n">
        <x:v>34.19</x:v>
      </x:c>
      <x:c r="R511" s="26" t="n">
        <x:v>42.23</x:v>
      </x:c>
      <x:c r="S511" s="26" t="n">
        <x:v>367.99</x:v>
      </x:c>
    </x:row>
    <x:row r="512">
      <x:c r="A512" t="n">
        <x:v>500509</x:v>
      </x:c>
      <x:c r="B512" s="24" t="n">
        <x:v>45749</x:v>
      </x:c>
      <x:c r="C512" t="n">
        <x:v>1021</x:v>
      </x:c>
      <x:c r="D512" t="str">
        <x:v>Seller 1021</x:v>
      </x:c>
      <x:c r="E512" t="str">
        <x:v>Gold</x:v>
      </x:c>
      <x:c r="F512" t="str">
        <x:v>Central</x:v>
      </x:c>
      <x:c r="G512" t="str">
        <x:v>Pet Supplies</x:v>
      </x:c>
      <x:c r="H512" t="n">
        <x:v>1</x:v>
      </x:c>
      <x:c r="I512" s="26" t="n">
        <x:v>3097.2</x:v>
      </x:c>
      <x:c r="J512" s="26" t="n">
        <x:v>3544.8</x:v>
      </x:c>
      <x:c r="K512" s="28" t="n">
        <x:v>0.1392</x:v>
      </x:c>
      <x:c r="L512" s="26" t="n">
        <x:v>493.44</x:v>
      </x:c>
      <x:c r="M512" t="n">
        <x:v>0</x:v>
      </x:c>
      <x:c r="N512" s="26" t="n">
        <x:v>0</x:v>
      </x:c>
      <x:c r="O512" s="26" t="n">
        <x:v>65.58</x:v>
      </x:c>
      <x:c r="P512" s="26" t="n">
        <x:v>15.95</x:v>
      </x:c>
      <x:c r="Q512" s="26" t="n">
        <x:v>30.13</x:v>
      </x:c>
      <x:c r="R512" s="26" t="n">
        <x:v>37.22</x:v>
      </x:c>
      <x:c r="S512" s="26" t="n">
        <x:v>344.55</x:v>
      </x:c>
    </x:row>
    <x:row r="513">
      <x:c r="A513" t="n">
        <x:v>500510</x:v>
      </x:c>
      <x:c r="B513" s="24" t="n">
        <x:v>45750</x:v>
      </x:c>
      <x:c r="C513" t="n">
        <x:v>1021</x:v>
      </x:c>
      <x:c r="D513" t="str">
        <x:v>Seller 1021</x:v>
      </x:c>
      <x:c r="E513" t="str">
        <x:v>Gold</x:v>
      </x:c>
      <x:c r="F513" t="str">
        <x:v>Central</x:v>
      </x:c>
      <x:c r="G513" t="str">
        <x:v>Pet Supplies</x:v>
      </x:c>
      <x:c r="H513" t="n">
        <x:v>1</x:v>
      </x:c>
      <x:c r="I513" s="26" t="n">
        <x:v>2780.4</x:v>
      </x:c>
      <x:c r="J513" s="26" t="n">
        <x:v>3182.4</x:v>
      </x:c>
      <x:c r="K513" s="28" t="n">
        <x:v>0.1398</x:v>
      </x:c>
      <x:c r="L513" s="26" t="n">
        <x:v>444.9</x:v>
      </x:c>
      <x:c r="M513" t="n">
        <x:v>0</x:v>
      </x:c>
      <x:c r="N513" s="26" t="n">
        <x:v>0</x:v>
      </x:c>
      <x:c r="O513" s="26" t="n">
        <x:v>58.87</x:v>
      </x:c>
      <x:c r="P513" s="26" t="n">
        <x:v>14.32</x:v>
      </x:c>
      <x:c r="Q513" s="26" t="n">
        <x:v>27.05</x:v>
      </x:c>
      <x:c r="R513" s="26" t="n">
        <x:v>33.42</x:v>
      </x:c>
      <x:c r="S513" s="26" t="n">
        <x:v>311.24</x:v>
      </x:c>
    </x:row>
    <x:row r="514">
      <x:c r="A514" t="n">
        <x:v>500511</x:v>
      </x:c>
      <x:c r="B514" s="24" t="n">
        <x:v>45768</x:v>
      </x:c>
      <x:c r="C514" t="n">
        <x:v>1009</x:v>
      </x:c>
      <x:c r="D514" t="str">
        <x:v>Seller 1009</x:v>
      </x:c>
      <x:c r="E514" t="str">
        <x:v>Platinum</x:v>
      </x:c>
      <x:c r="F514" t="str">
        <x:v>Central</x:v>
      </x:c>
      <x:c r="G514" t="str">
        <x:v>Pet Supplies</x:v>
      </x:c>
      <x:c r="H514" t="n">
        <x:v>1</x:v>
      </x:c>
      <x:c r="I514" s="26" t="n">
        <x:v>3368.4</x:v>
      </x:c>
      <x:c r="J514" s="26" t="n">
        <x:v>5196</x:v>
      </x:c>
      <x:c r="K514" s="28" t="n">
        <x:v>0.1374</x:v>
      </x:c>
      <x:c r="L514" s="26" t="n">
        <x:v>713.93</x:v>
      </x:c>
      <x:c r="M514" t="n">
        <x:v>0</x:v>
      </x:c>
      <x:c r="N514" s="26" t="n">
        <x:v>0</x:v>
      </x:c>
      <x:c r="O514" s="26" t="n">
        <x:v>96.13</x:v>
      </x:c>
      <x:c r="P514" s="26" t="n">
        <x:v>23.38</x:v>
      </x:c>
      <x:c r="Q514" s="26" t="n">
        <x:v>44.17</x:v>
      </x:c>
      <x:c r="R514" s="26" t="n">
        <x:v>54.56</x:v>
      </x:c>
      <x:c r="S514" s="26" t="n">
        <x:v>495.7</x:v>
      </x:c>
    </x:row>
    <x:row r="515">
      <x:c r="A515" t="n">
        <x:v>500512</x:v>
      </x:c>
      <x:c r="B515" s="24" t="n">
        <x:v>45748</x:v>
      </x:c>
      <x:c r="C515" t="n">
        <x:v>1067</x:v>
      </x:c>
      <x:c r="D515" t="str">
        <x:v>Seller 1067</x:v>
      </x:c>
      <x:c r="E515" t="str">
        <x:v>Bronze</x:v>
      </x:c>
      <x:c r="F515" t="str">
        <x:v>South</x:v>
      </x:c>
      <x:c r="G515" t="str">
        <x:v>Beauty</x:v>
      </x:c>
      <x:c r="H515" t="n">
        <x:v>2</x:v>
      </x:c>
      <x:c r="I515" s="26" t="n">
        <x:v>1303.1999999999998</x:v>
      </x:c>
      <x:c r="J515" s="26" t="n">
        <x:v>1608.6</x:v>
      </x:c>
      <x:c r="K515" s="28" t="n">
        <x:v>0.1516</x:v>
      </x:c>
      <x:c r="L515" s="26" t="n">
        <x:v>243.86</x:v>
      </x:c>
      <x:c r="M515" t="n">
        <x:v>0</x:v>
      </x:c>
      <x:c r="N515" s="26" t="n">
        <x:v>0</x:v>
      </x:c>
      <x:c r="O515" s="26" t="n">
        <x:v>29.76</x:v>
      </x:c>
      <x:c r="P515" s="26" t="n">
        <x:v>7.24</x:v>
      </x:c>
      <x:c r="Q515" s="26" t="n">
        <x:v>13.67</x:v>
      </x:c>
      <x:c r="R515" s="26" t="n">
        <x:v>16.89</x:v>
      </x:c>
      <x:c r="S515" s="26" t="n">
        <x:v>176.3</x:v>
      </x:c>
    </x:row>
    <x:row r="516">
      <x:c r="A516" t="n">
        <x:v>500513</x:v>
      </x:c>
      <x:c r="B516" s="24" t="n">
        <x:v>45753</x:v>
      </x:c>
      <x:c r="C516" t="n">
        <x:v>1026</x:v>
      </x:c>
      <x:c r="D516" t="str">
        <x:v>Seller 1026</x:v>
      </x:c>
      <x:c r="E516" t="str">
        <x:v>Gold</x:v>
      </x:c>
      <x:c r="F516" t="str">
        <x:v>East</x:v>
      </x:c>
      <x:c r="G516" t="str">
        <x:v>Sports</x:v>
      </x:c>
      <x:c r="H516" t="n">
        <x:v>2</x:v>
      </x:c>
      <x:c r="I516" s="26" t="n">
        <x:v>2373</x:v>
      </x:c>
      <x:c r="J516" s="26" t="n">
        <x:v>5432.4</x:v>
      </x:c>
      <x:c r="K516" s="28" t="n">
        <x:v>0.1304</x:v>
      </x:c>
      <x:c r="L516" s="26" t="n">
        <x:v>708.38</x:v>
      </x:c>
      <x:c r="M516" t="n">
        <x:v>0</x:v>
      </x:c>
      <x:c r="N516" s="26" t="n">
        <x:v>0</x:v>
      </x:c>
      <x:c r="O516" s="26" t="n">
        <x:v>100.5</x:v>
      </x:c>
      <x:c r="P516" s="26" t="n">
        <x:v>24.45</x:v>
      </x:c>
      <x:c r="Q516" s="26" t="n">
        <x:v>46.18</x:v>
      </x:c>
      <x:c r="R516" s="26" t="n">
        <x:v>57.04</x:v>
      </x:c>
      <x:c r="S516" s="26" t="n">
        <x:v>480.22</x:v>
      </x:c>
    </x:row>
    <x:row r="517">
      <x:c r="A517" t="n">
        <x:v>500514</x:v>
      </x:c>
      <x:c r="B517" s="24" t="n">
        <x:v>45769</x:v>
      </x:c>
      <x:c r="C517" t="n">
        <x:v>1005</x:v>
      </x:c>
      <x:c r="D517" t="str">
        <x:v>Seller 1005</x:v>
      </x:c>
      <x:c r="E517" t="str">
        <x:v>Platinum</x:v>
      </x:c>
      <x:c r="F517" t="str">
        <x:v>East</x:v>
      </x:c>
      <x:c r="G517" t="str">
        <x:v>Electronics</x:v>
      </x:c>
      <x:c r="H517" t="n">
        <x:v>1</x:v>
      </x:c>
      <x:c r="I517" s="26" t="n">
        <x:v>7131</x:v>
      </x:c>
      <x:c r="J517" s="26" t="n">
        <x:v>11001</x:v>
      </x:c>
      <x:c r="K517" s="28" t="n">
        <x:v>0.1151</x:v>
      </x:c>
      <x:c r="L517" s="26" t="n">
        <x:v>1266.22</x:v>
      </x:c>
      <x:c r="M517" t="n">
        <x:v>0</x:v>
      </x:c>
      <x:c r="N517" s="26" t="n">
        <x:v>0</x:v>
      </x:c>
      <x:c r="O517" s="26" t="n">
        <x:v>203.52</x:v>
      </x:c>
      <x:c r="P517" s="26" t="n">
        <x:v>49.5</x:v>
      </x:c>
      <x:c r="Q517" s="26" t="n">
        <x:v>93.51</x:v>
      </x:c>
      <x:c r="R517" s="26" t="n">
        <x:v>115.51</x:v>
      </x:c>
      <x:c r="S517" s="26" t="n">
        <x:v>804.17</x:v>
      </x:c>
    </x:row>
    <x:row r="518">
      <x:c r="A518" t="n">
        <x:v>500515</x:v>
      </x:c>
      <x:c r="B518" s="24" t="n">
        <x:v>45771</x:v>
      </x:c>
      <x:c r="C518" t="n">
        <x:v>1051</x:v>
      </x:c>
      <x:c r="D518" t="str">
        <x:v>Seller 1051</x:v>
      </x:c>
      <x:c r="E518" t="str">
        <x:v>Silver</x:v>
      </x:c>
      <x:c r="F518" t="str">
        <x:v>East</x:v>
      </x:c>
      <x:c r="G518" t="str">
        <x:v>Sports</x:v>
      </x:c>
      <x:c r="H518" t="n">
        <x:v>2</x:v>
      </x:c>
      <x:c r="I518" s="26" t="n">
        <x:v>2341.2000000000003</x:v>
      </x:c>
      <x:c r="J518" s="26" t="n">
        <x:v>4101</x:v>
      </x:c>
      <x:c r="K518" s="28" t="n">
        <x:v>0.1329</x:v>
      </x:c>
      <x:c r="L518" s="26" t="n">
        <x:v>545.02</x:v>
      </x:c>
      <x:c r="M518" t="n">
        <x:v>0</x:v>
      </x:c>
      <x:c r="N518" s="26" t="n">
        <x:v>0</x:v>
      </x:c>
      <x:c r="O518" s="26" t="n">
        <x:v>75.87</x:v>
      </x:c>
      <x:c r="P518" s="26" t="n">
        <x:v>18.45</x:v>
      </x:c>
      <x:c r="Q518" s="26" t="n">
        <x:v>34.86</x:v>
      </x:c>
      <x:c r="R518" s="26" t="n">
        <x:v>43.06</x:v>
      </x:c>
      <x:c r="S518" s="26" t="n">
        <x:v>372.78</x:v>
      </x:c>
    </x:row>
    <x:row r="519">
      <x:c r="A519" t="n">
        <x:v>500516</x:v>
      </x:c>
      <x:c r="B519" s="24" t="n">
        <x:v>45760</x:v>
      </x:c>
      <x:c r="C519" t="n">
        <x:v>1072</x:v>
      </x:c>
      <x:c r="D519" t="str">
        <x:v>Seller 1072</x:v>
      </x:c>
      <x:c r="E519" t="str">
        <x:v>Bronze</x:v>
      </x:c>
      <x:c r="F519" t="str">
        <x:v>South</x:v>
      </x:c>
      <x:c r="G519" t="str">
        <x:v>Beauty</x:v>
      </x:c>
      <x:c r="H519" t="n">
        <x:v>1</x:v>
      </x:c>
      <x:c r="I519" s="26" t="n">
        <x:v>2958</x:v>
      </x:c>
      <x:c r="J519" s="26" t="n">
        <x:v>1825.2</x:v>
      </x:c>
      <x:c r="K519" s="28" t="n">
        <x:v>0.1384</x:v>
      </x:c>
      <x:c r="L519" s="26" t="n">
        <x:v>252.61</x:v>
      </x:c>
      <x:c r="M519" t="n">
        <x:v>0</x:v>
      </x:c>
      <x:c r="N519" s="26" t="n">
        <x:v>0</x:v>
      </x:c>
      <x:c r="O519" s="26" t="n">
        <x:v>33.77</x:v>
      </x:c>
      <x:c r="P519" s="26" t="n">
        <x:v>8.21</x:v>
      </x:c>
      <x:c r="Q519" s="26" t="n">
        <x:v>15.51</x:v>
      </x:c>
      <x:c r="R519" s="26" t="n">
        <x:v>19.16</x:v>
      </x:c>
      <x:c r="S519" s="26" t="n">
        <x:v>175.95</x:v>
      </x:c>
    </x:row>
    <x:row r="520">
      <x:c r="A520" t="n">
        <x:v>500517</x:v>
      </x:c>
      <x:c r="B520" s="24" t="n">
        <x:v>45751</x:v>
      </x:c>
      <x:c r="C520" t="n">
        <x:v>1074</x:v>
      </x:c>
      <x:c r="D520" t="str">
        <x:v>Seller 1074</x:v>
      </x:c>
      <x:c r="E520" t="str">
        <x:v>Bronze</x:v>
      </x:c>
      <x:c r="F520" t="str">
        <x:v>East</x:v>
      </x:c>
      <x:c r="G520" t="str">
        <x:v>Electronics</x:v>
      </x:c>
      <x:c r="H520" t="n">
        <x:v>3</x:v>
      </x:c>
      <x:c r="I520" s="26" t="n">
        <x:v>3636.6</x:v>
      </x:c>
      <x:c r="J520" s="26" t="n">
        <x:v>6733.2</x:v>
      </x:c>
      <x:c r="K520" s="28" t="n">
        <x:v>0.1264</x:v>
      </x:c>
      <x:c r="L520" s="26" t="n">
        <x:v>851.08</x:v>
      </x:c>
      <x:c r="M520" t="n">
        <x:v>0</x:v>
      </x:c>
      <x:c r="N520" s="26" t="n">
        <x:v>0</x:v>
      </x:c>
      <x:c r="O520" s="26" t="n">
        <x:v>124.56</x:v>
      </x:c>
      <x:c r="P520" s="26" t="n">
        <x:v>30.3</x:v>
      </x:c>
      <x:c r="Q520" s="26" t="n">
        <x:v>57.23</x:v>
      </x:c>
      <x:c r="R520" s="26" t="n">
        <x:v>70.7</x:v>
      </x:c>
      <x:c r="S520" s="26" t="n">
        <x:v>568.28</x:v>
      </x:c>
    </x:row>
    <x:row r="521">
      <x:c r="A521" t="n">
        <x:v>500518</x:v>
      </x:c>
      <x:c r="B521" s="24" t="n">
        <x:v>45772</x:v>
      </x:c>
      <x:c r="C521" t="n">
        <x:v>1066</x:v>
      </x:c>
      <x:c r="D521" t="str">
        <x:v>Seller 1066</x:v>
      </x:c>
      <x:c r="E521" t="str">
        <x:v>Bronze</x:v>
      </x:c>
      <x:c r="F521" t="str">
        <x:v>South</x:v>
      </x:c>
      <x:c r="G521" t="str">
        <x:v>Sports</x:v>
      </x:c>
      <x:c r="H521" t="n">
        <x:v>3</x:v>
      </x:c>
      <x:c r="I521" s="26" t="n">
        <x:v>1080</x:v>
      </x:c>
      <x:c r="J521" s="26" t="n">
        <x:v>1999.2</x:v>
      </x:c>
      <x:c r="K521" s="28" t="n">
        <x:v>0.1327</x:v>
      </x:c>
      <x:c r="L521" s="26" t="n">
        <x:v>265.29</x:v>
      </x:c>
      <x:c r="M521" t="n">
        <x:v>0</x:v>
      </x:c>
      <x:c r="N521" s="26" t="n">
        <x:v>0</x:v>
      </x:c>
      <x:c r="O521" s="26" t="n">
        <x:v>36.99</x:v>
      </x:c>
      <x:c r="P521" s="26" t="n">
        <x:v>9</x:v>
      </x:c>
      <x:c r="Q521" s="26" t="n">
        <x:v>16.99</x:v>
      </x:c>
      <x:c r="R521" s="26" t="n">
        <x:v>20.99</x:v>
      </x:c>
      <x:c r="S521" s="26" t="n">
        <x:v>181.33</x:v>
      </x:c>
    </x:row>
    <x:row r="522">
      <x:c r="A522" t="n">
        <x:v>500519</x:v>
      </x:c>
      <x:c r="B522" s="24" t="n">
        <x:v>45760</x:v>
      </x:c>
      <x:c r="C522" t="n">
        <x:v>1032</x:v>
      </x:c>
      <x:c r="D522" t="str">
        <x:v>Seller 1032</x:v>
      </x:c>
      <x:c r="E522" t="str">
        <x:v>Silver</x:v>
      </x:c>
      <x:c r="F522" t="str">
        <x:v>West</x:v>
      </x:c>
      <x:c r="G522" t="str">
        <x:v>Apparel</x:v>
      </x:c>
      <x:c r="H522" t="n">
        <x:v>1</x:v>
      </x:c>
      <x:c r="I522" s="26" t="n">
        <x:v>3245.4</x:v>
      </x:c>
      <x:c r="J522" s="26" t="n">
        <x:v>2842.2</x:v>
      </x:c>
      <x:c r="K522" s="28" t="n">
        <x:v>0.1287</x:v>
      </x:c>
      <x:c r="L522" s="26" t="n">
        <x:v>365.79</x:v>
      </x:c>
      <x:c r="M522" t="n">
        <x:v>0</x:v>
      </x:c>
      <x:c r="N522" s="26" t="n">
        <x:v>0</x:v>
      </x:c>
      <x:c r="O522" s="26" t="n">
        <x:v>52.58</x:v>
      </x:c>
      <x:c r="P522" s="26" t="n">
        <x:v>12.79</x:v>
      </x:c>
      <x:c r="Q522" s="26" t="n">
        <x:v>24.16</x:v>
      </x:c>
      <x:c r="R522" s="26" t="n">
        <x:v>29.84</x:v>
      </x:c>
      <x:c r="S522" s="26" t="n">
        <x:v>246.42</x:v>
      </x:c>
    </x:row>
    <x:row r="523">
      <x:c r="A523" t="n">
        <x:v>500520</x:v>
      </x:c>
      <x:c r="B523" s="24" t="n">
        <x:v>45755</x:v>
      </x:c>
      <x:c r="C523" t="n">
        <x:v>1029</x:v>
      </x:c>
      <x:c r="D523" t="str">
        <x:v>Seller 1029</x:v>
      </x:c>
      <x:c r="E523" t="str">
        <x:v>Gold</x:v>
      </x:c>
      <x:c r="F523" t="str">
        <x:v>West</x:v>
      </x:c>
      <x:c r="G523" t="str">
        <x:v>Home &amp; Kitchen</x:v>
      </x:c>
      <x:c r="H523" t="n">
        <x:v>2</x:v>
      </x:c>
      <x:c r="I523" s="26" t="n">
        <x:v>2800.2000000000003</x:v>
      </x:c>
      <x:c r="J523" s="26" t="n">
        <x:v>6410.4</x:v>
      </x:c>
      <x:c r="K523" s="28" t="n">
        <x:v>0.1459</x:v>
      </x:c>
      <x:c r="L523" s="26" t="n">
        <x:v>935.28</x:v>
      </x:c>
      <x:c r="M523" t="n">
        <x:v>1</x:v>
      </x:c>
      <x:c r="N523" s="26" t="n">
        <x:v>5926.2</x:v>
      </x:c>
      <x:c r="O523" s="26" t="n">
        <x:v>118.59</x:v>
      </x:c>
      <x:c r="P523" s="26" t="n">
        <x:v>28.85</x:v>
      </x:c>
      <x:c r="Q523" s="26" t="n">
        <x:v>54.49</x:v>
      </x:c>
      <x:c r="R523" s="26" t="n">
        <x:v>67.31</x:v>
      </x:c>
      <x:c r="S523" s="26" t="n">
        <x:v>547.52</x:v>
      </x:c>
    </x:row>
    <x:row r="524">
      <x:c r="A524" t="n">
        <x:v>500521</x:v>
      </x:c>
      <x:c r="B524" s="24" t="n">
        <x:v>45759</x:v>
      </x:c>
      <x:c r="C524" t="n">
        <x:v>1037</x:v>
      </x:c>
      <x:c r="D524" t="str">
        <x:v>Seller 1037</x:v>
      </x:c>
      <x:c r="E524" t="str">
        <x:v>Silver</x:v>
      </x:c>
      <x:c r="F524" t="str">
        <x:v>East</x:v>
      </x:c>
      <x:c r="G524" t="str">
        <x:v>Apparel</x:v>
      </x:c>
      <x:c r="H524" t="n">
        <x:v>1</x:v>
      </x:c>
      <x:c r="I524" s="26" t="n">
        <x:v>3334.2</x:v>
      </x:c>
      <x:c r="J524" s="26" t="n">
        <x:v>2920.8</x:v>
      </x:c>
      <x:c r="K524" s="28" t="n">
        <x:v>0.1098</x:v>
      </x:c>
      <x:c r="L524" s="26" t="n">
        <x:v>320.7</x:v>
      </x:c>
      <x:c r="M524" t="n">
        <x:v>0</x:v>
      </x:c>
      <x:c r="N524" s="26" t="n">
        <x:v>0</x:v>
      </x:c>
      <x:c r="O524" s="26" t="n">
        <x:v>54.03</x:v>
      </x:c>
      <x:c r="P524" s="26" t="n">
        <x:v>13.14</x:v>
      </x:c>
      <x:c r="Q524" s="26" t="n">
        <x:v>24.83</x:v>
      </x:c>
      <x:c r="R524" s="26" t="n">
        <x:v>30.67</x:v>
      </x:c>
      <x:c r="S524" s="26" t="n">
        <x:v>198.03</x:v>
      </x:c>
    </x:row>
    <x:row r="525">
      <x:c r="A525" t="n">
        <x:v>500522</x:v>
      </x:c>
      <x:c r="B525" s="24" t="n">
        <x:v>45755</x:v>
      </x:c>
      <x:c r="C525" t="n">
        <x:v>1028</x:v>
      </x:c>
      <x:c r="D525" t="str">
        <x:v>Seller 1028</x:v>
      </x:c>
      <x:c r="E525" t="str">
        <x:v>Gold</x:v>
      </x:c>
      <x:c r="F525" t="str">
        <x:v>Central</x:v>
      </x:c>
      <x:c r="G525" t="str">
        <x:v>Beauty</x:v>
      </x:c>
      <x:c r="H525" t="n">
        <x:v>3</x:v>
      </x:c>
      <x:c r="I525" s="26" t="n">
        <x:v>1198.8</x:v>
      </x:c>
      <x:c r="J525" s="26" t="n">
        <x:v>4117.2</x:v>
      </x:c>
      <x:c r="K525" s="28" t="n">
        <x:v>0.1553</x:v>
      </x:c>
      <x:c r="L525" s="26" t="n">
        <x:v>639.4</x:v>
      </x:c>
      <x:c r="M525" t="n">
        <x:v>0</x:v>
      </x:c>
      <x:c r="N525" s="26" t="n">
        <x:v>0</x:v>
      </x:c>
      <x:c r="O525" s="26" t="n">
        <x:v>76.17</x:v>
      </x:c>
      <x:c r="P525" s="26" t="n">
        <x:v>18.53</x:v>
      </x:c>
      <x:c r="Q525" s="26" t="n">
        <x:v>35</x:v>
      </x:c>
      <x:c r="R525" s="26" t="n">
        <x:v>43.23</x:v>
      </x:c>
      <x:c r="S525" s="26" t="n">
        <x:v>466.48</x:v>
      </x:c>
    </x:row>
    <x:row r="526">
      <x:c r="A526" t="n">
        <x:v>500523</x:v>
      </x:c>
      <x:c r="B526" s="24" t="n">
        <x:v>45751</x:v>
      </x:c>
      <x:c r="C526" t="n">
        <x:v>1031</x:v>
      </x:c>
      <x:c r="D526" t="str">
        <x:v>Seller 1031</x:v>
      </x:c>
      <x:c r="E526" t="str">
        <x:v>Silver</x:v>
      </x:c>
      <x:c r="F526" t="str">
        <x:v>West</x:v>
      </x:c>
      <x:c r="G526" t="str">
        <x:v>Home &amp; Kitchen</x:v>
      </x:c>
      <x:c r="H526" t="n">
        <x:v>2</x:v>
      </x:c>
      <x:c r="I526" s="26" t="n">
        <x:v>3201</x:v>
      </x:c>
      <x:c r="J526" s="26" t="n">
        <x:v>5607</x:v>
      </x:c>
      <x:c r="K526" s="28" t="n">
        <x:v>0.1431</x:v>
      </x:c>
      <x:c r="L526" s="26" t="n">
        <x:v>802.36</x:v>
      </x:c>
      <x:c r="M526" t="n">
        <x:v>0</x:v>
      </x:c>
      <x:c r="N526" s="26" t="n">
        <x:v>0</x:v>
      </x:c>
      <x:c r="O526" s="26" t="n">
        <x:v>103.73</x:v>
      </x:c>
      <x:c r="P526" s="26" t="n">
        <x:v>25.23</x:v>
      </x:c>
      <x:c r="Q526" s="26" t="n">
        <x:v>47.66</x:v>
      </x:c>
      <x:c r="R526" s="26" t="n">
        <x:v>58.87</x:v>
      </x:c>
      <x:c r="S526" s="26" t="n">
        <x:v>566.87</x:v>
      </x:c>
    </x:row>
    <x:row r="527">
      <x:c r="A527" t="n">
        <x:v>500524</x:v>
      </x:c>
      <x:c r="B527" s="24" t="n">
        <x:v>45767</x:v>
      </x:c>
      <x:c r="C527" t="n">
        <x:v>1011</x:v>
      </x:c>
      <x:c r="D527" t="str">
        <x:v>Seller 1011</x:v>
      </x:c>
      <x:c r="E527" t="str">
        <x:v>Platinum</x:v>
      </x:c>
      <x:c r="F527" t="str">
        <x:v>West</x:v>
      </x:c>
      <x:c r="G527" t="str">
        <x:v>Electronics</x:v>
      </x:c>
      <x:c r="H527" t="n">
        <x:v>1</x:v>
      </x:c>
      <x:c r="I527" s="26" t="n">
        <x:v>7878.6</x:v>
      </x:c>
      <x:c r="J527" s="26" t="n">
        <x:v>12154.8</x:v>
      </x:c>
      <x:c r="K527" s="28" t="n">
        <x:v>0.1313</x:v>
      </x:c>
      <x:c r="L527" s="26" t="n">
        <x:v>1595.93</x:v>
      </x:c>
      <x:c r="M527" t="n">
        <x:v>1</x:v>
      </x:c>
      <x:c r="N527" s="26" t="n">
        <x:v>9322.8</x:v>
      </x:c>
      <x:c r="O527" s="26" t="n">
        <x:v>224.86</x:v>
      </x:c>
      <x:c r="P527" s="26" t="n">
        <x:v>54.7</x:v>
      </x:c>
      <x:c r="Q527" s="26" t="n">
        <x:v>103.32</x:v>
      </x:c>
      <x:c r="R527" s="26" t="n">
        <x:v>127.63</x:v>
      </x:c>
      <x:c r="S527" s="26" t="n">
        <x:v>898.97</x:v>
      </x:c>
    </x:row>
    <x:row r="528">
      <x:c r="A528" t="n">
        <x:v>500525</x:v>
      </x:c>
      <x:c r="B528" s="24" t="n">
        <x:v>45777</x:v>
      </x:c>
      <x:c r="C528" t="n">
        <x:v>1041</x:v>
      </x:c>
      <x:c r="D528" t="str">
        <x:v>Seller 1041</x:v>
      </x:c>
      <x:c r="E528" t="str">
        <x:v>Silver</x:v>
      </x:c>
      <x:c r="F528" t="str">
        <x:v>West</x:v>
      </x:c>
      <x:c r="G528" t="str">
        <x:v>Apparel</x:v>
      </x:c>
      <x:c r="H528" t="n">
        <x:v>4</x:v>
      </x:c>
      <x:c r="I528" s="26" t="n">
        <x:v>900</x:v>
      </x:c>
      <x:c r="J528" s="26" t="n">
        <x:v>3152.4</x:v>
      </x:c>
      <x:c r="K528" s="28" t="n">
        <x:v>0.1289</x:v>
      </x:c>
      <x:c r="L528" s="26" t="n">
        <x:v>406.34</x:v>
      </x:c>
      <x:c r="M528" t="n">
        <x:v>0</x:v>
      </x:c>
      <x:c r="N528" s="26" t="n">
        <x:v>0</x:v>
      </x:c>
      <x:c r="O528" s="26" t="n">
        <x:v>58.32</x:v>
      </x:c>
      <x:c r="P528" s="26" t="n">
        <x:v>14.19</x:v>
      </x:c>
      <x:c r="Q528" s="26" t="n">
        <x:v>26.8</x:v>
      </x:c>
      <x:c r="R528" s="26" t="n">
        <x:v>33.1</x:v>
      </x:c>
      <x:c r="S528" s="26" t="n">
        <x:v>273.94</x:v>
      </x:c>
    </x:row>
    <x:row r="529">
      <x:c r="A529" t="n">
        <x:v>500526</x:v>
      </x:c>
      <x:c r="B529" s="24" t="n">
        <x:v>45765</x:v>
      </x:c>
      <x:c r="C529" t="n">
        <x:v>1066</x:v>
      </x:c>
      <x:c r="D529" t="str">
        <x:v>Seller 1066</x:v>
      </x:c>
      <x:c r="E529" t="str">
        <x:v>Bronze</x:v>
      </x:c>
      <x:c r="F529" t="str">
        <x:v>South</x:v>
      </x:c>
      <x:c r="G529" t="str">
        <x:v>Home &amp; Kitchen</x:v>
      </x:c>
      <x:c r="H529" t="n">
        <x:v>2</x:v>
      </x:c>
      <x:c r="I529" s="26" t="n">
        <x:v>2968.2</x:v>
      </x:c>
      <x:c r="J529" s="26" t="n">
        <x:v>3663.6</x:v>
      </x:c>
      <x:c r="K529" s="28" t="n">
        <x:v>0.1243</x:v>
      </x:c>
      <x:c r="L529" s="26" t="n">
        <x:v>455.39</x:v>
      </x:c>
      <x:c r="M529" t="n">
        <x:v>0</x:v>
      </x:c>
      <x:c r="N529" s="26" t="n">
        <x:v>0</x:v>
      </x:c>
      <x:c r="O529" s="26" t="n">
        <x:v>67.78</x:v>
      </x:c>
      <x:c r="P529" s="26" t="n">
        <x:v>16.49</x:v>
      </x:c>
      <x:c r="Q529" s="26" t="n">
        <x:v>31.14</x:v>
      </x:c>
      <x:c r="R529" s="26" t="n">
        <x:v>38.47</x:v>
      </x:c>
      <x:c r="S529" s="26" t="n">
        <x:v>301.51</x:v>
      </x:c>
    </x:row>
    <x:row r="530">
      <x:c r="A530" t="n">
        <x:v>500527</x:v>
      </x:c>
      <x:c r="B530" s="24" t="n">
        <x:v>45762</x:v>
      </x:c>
      <x:c r="C530" t="n">
        <x:v>1005</x:v>
      </x:c>
      <x:c r="D530" t="str">
        <x:v>Seller 1005</x:v>
      </x:c>
      <x:c r="E530" t="str">
        <x:v>Platinum</x:v>
      </x:c>
      <x:c r="F530" t="str">
        <x:v>East</x:v>
      </x:c>
      <x:c r="G530" t="str">
        <x:v>Electronics</x:v>
      </x:c>
      <x:c r="H530" t="n">
        <x:v>1</x:v>
      </x:c>
      <x:c r="I530" s="26" t="n">
        <x:v>9356.4</x:v>
      </x:c>
      <x:c r="J530" s="26" t="n">
        <x:v>14434.8</x:v>
      </x:c>
      <x:c r="K530" s="28" t="n">
        <x:v>0.1172</x:v>
      </x:c>
      <x:c r="L530" s="26" t="n">
        <x:v>1691.76</x:v>
      </x:c>
      <x:c r="M530" t="n">
        <x:v>0</x:v>
      </x:c>
      <x:c r="N530" s="26" t="n">
        <x:v>0</x:v>
      </x:c>
      <x:c r="O530" s="26" t="n">
        <x:v>267.04</x:v>
      </x:c>
      <x:c r="P530" s="26" t="n">
        <x:v>64.96</x:v>
      </x:c>
      <x:c r="Q530" s="26" t="n">
        <x:v>122.7</x:v>
      </x:c>
      <x:c r="R530" s="26" t="n">
        <x:v>151.57</x:v>
      </x:c>
      <x:c r="S530" s="26" t="n">
        <x:v>1085.5</x:v>
      </x:c>
    </x:row>
    <x:row r="531">
      <x:c r="A531" t="n">
        <x:v>500528</x:v>
      </x:c>
      <x:c r="B531" s="24" t="n">
        <x:v>45756</x:v>
      </x:c>
      <x:c r="C531" t="n">
        <x:v>1041</x:v>
      </x:c>
      <x:c r="D531" t="str">
        <x:v>Seller 1041</x:v>
      </x:c>
      <x:c r="E531" t="str">
        <x:v>Silver</x:v>
      </x:c>
      <x:c r="F531" t="str">
        <x:v>West</x:v>
      </x:c>
      <x:c r="G531" t="str">
        <x:v>Apparel</x:v>
      </x:c>
      <x:c r="H531" t="n">
        <x:v>3</x:v>
      </x:c>
      <x:c r="I531" s="26" t="n">
        <x:v>1295.4</x:v>
      </x:c>
      <x:c r="J531" s="26" t="n">
        <x:v>3404.4</x:v>
      </x:c>
      <x:c r="K531" s="28" t="n">
        <x:v>0.1219</x:v>
      </x:c>
      <x:c r="L531" s="26" t="n">
        <x:v>415</x:v>
      </x:c>
      <x:c r="M531" t="n">
        <x:v>0</x:v>
      </x:c>
      <x:c r="N531" s="26" t="n">
        <x:v>0</x:v>
      </x:c>
      <x:c r="O531" s="26" t="n">
        <x:v>62.98</x:v>
      </x:c>
      <x:c r="P531" s="26" t="n">
        <x:v>15.32</x:v>
      </x:c>
      <x:c r="Q531" s="26" t="n">
        <x:v>28.94</x:v>
      </x:c>
      <x:c r="R531" s="26" t="n">
        <x:v>35.75</x:v>
      </x:c>
      <x:c r="S531" s="26" t="n">
        <x:v>272.01</x:v>
      </x:c>
    </x:row>
    <x:row r="532">
      <x:c r="A532" t="n">
        <x:v>500529</x:v>
      </x:c>
      <x:c r="B532" s="24" t="n">
        <x:v>45754</x:v>
      </x:c>
      <x:c r="C532" t="n">
        <x:v>1024</x:v>
      </x:c>
      <x:c r="D532" t="str">
        <x:v>Seller 1024</x:v>
      </x:c>
      <x:c r="E532" t="str">
        <x:v>Gold</x:v>
      </x:c>
      <x:c r="F532" t="str">
        <x:v>West</x:v>
      </x:c>
      <x:c r="G532" t="str">
        <x:v>Pet Supplies</x:v>
      </x:c>
      <x:c r="H532" t="n">
        <x:v>2</x:v>
      </x:c>
      <x:c r="I532" s="26" t="n">
        <x:v>1840.8</x:v>
      </x:c>
      <x:c r="J532" s="26" t="n">
        <x:v>4214.4</x:v>
      </x:c>
      <x:c r="K532" s="28" t="n">
        <x:v>0.1347</x:v>
      </x:c>
      <x:c r="L532" s="26" t="n">
        <x:v>567.68</x:v>
      </x:c>
      <x:c r="M532" t="n">
        <x:v>0</x:v>
      </x:c>
      <x:c r="N532" s="26" t="n">
        <x:v>0</x:v>
      </x:c>
      <x:c r="O532" s="26" t="n">
        <x:v>77.97</x:v>
      </x:c>
      <x:c r="P532" s="26" t="n">
        <x:v>18.96</x:v>
      </x:c>
      <x:c r="Q532" s="26" t="n">
        <x:v>35.82</x:v>
      </x:c>
      <x:c r="R532" s="26" t="n">
        <x:v>44.25</x:v>
      </x:c>
      <x:c r="S532" s="26" t="n">
        <x:v>390.67</x:v>
      </x:c>
    </x:row>
    <x:row r="533">
      <x:c r="A533" t="n">
        <x:v>500530</x:v>
      </x:c>
      <x:c r="B533" s="24" t="n">
        <x:v>45766</x:v>
      </x:c>
      <x:c r="C533" t="n">
        <x:v>1054</x:v>
      </x:c>
      <x:c r="D533" t="str">
        <x:v>Seller 1054</x:v>
      </x:c>
      <x:c r="E533" t="str">
        <x:v>Silver</x:v>
      </x:c>
      <x:c r="F533" t="str">
        <x:v>South</x:v>
      </x:c>
      <x:c r="G533" t="str">
        <x:v>Home &amp; Kitchen</x:v>
      </x:c>
      <x:c r="H533" t="n">
        <x:v>1</x:v>
      </x:c>
      <x:c r="I533" s="26" t="n">
        <x:v>5475.6</x:v>
      </x:c>
      <x:c r="J533" s="26" t="n">
        <x:v>4795.8</x:v>
      </x:c>
      <x:c r="K533" s="28" t="n">
        <x:v>0.1297</x:v>
      </x:c>
      <x:c r="L533" s="26" t="n">
        <x:v>622.02</x:v>
      </x:c>
      <x:c r="M533" t="n">
        <x:v>0</x:v>
      </x:c>
      <x:c r="N533" s="26" t="n">
        <x:v>0</x:v>
      </x:c>
      <x:c r="O533" s="26" t="n">
        <x:v>88.72</x:v>
      </x:c>
      <x:c r="P533" s="26" t="n">
        <x:v>21.58</x:v>
      </x:c>
      <x:c r="Q533" s="26" t="n">
        <x:v>40.76</x:v>
      </x:c>
      <x:c r="R533" s="26" t="n">
        <x:v>50.36</x:v>
      </x:c>
      <x:c r="S533" s="26" t="n">
        <x:v>420.59</x:v>
      </x:c>
    </x:row>
    <x:row r="534">
      <x:c r="A534" t="n">
        <x:v>500531</x:v>
      </x:c>
      <x:c r="B534" s="24" t="n">
        <x:v>45771</x:v>
      </x:c>
      <x:c r="C534" t="n">
        <x:v>1030</x:v>
      </x:c>
      <x:c r="D534" t="str">
        <x:v>Seller 1030</x:v>
      </x:c>
      <x:c r="E534" t="str">
        <x:v>Gold</x:v>
      </x:c>
      <x:c r="F534" t="str">
        <x:v>South</x:v>
      </x:c>
      <x:c r="G534" t="str">
        <x:v>Pet Supplies</x:v>
      </x:c>
      <x:c r="H534" t="n">
        <x:v>2</x:v>
      </x:c>
      <x:c r="I534" s="26" t="n">
        <x:v>1741.8000000000002</x:v>
      </x:c>
      <x:c r="J534" s="26" t="n">
        <x:v>3987</x:v>
      </x:c>
      <x:c r="K534" s="28" t="n">
        <x:v>0.1304</x:v>
      </x:c>
      <x:c r="L534" s="26" t="n">
        <x:v>519.9</x:v>
      </x:c>
      <x:c r="M534" t="n">
        <x:v>0</x:v>
      </x:c>
      <x:c r="N534" s="26" t="n">
        <x:v>0</x:v>
      </x:c>
      <x:c r="O534" s="26" t="n">
        <x:v>73.76</x:v>
      </x:c>
      <x:c r="P534" s="26" t="n">
        <x:v>17.94</x:v>
      </x:c>
      <x:c r="Q534" s="26" t="n">
        <x:v>33.89</x:v>
      </x:c>
      <x:c r="R534" s="26" t="n">
        <x:v>41.86</x:v>
      </x:c>
      <x:c r="S534" s="26" t="n">
        <x:v>352.45</x:v>
      </x:c>
    </x:row>
    <x:row r="535">
      <x:c r="A535" t="n">
        <x:v>500532</x:v>
      </x:c>
      <x:c r="B535" s="24" t="n">
        <x:v>45765</x:v>
      </x:c>
      <x:c r="C535" t="n">
        <x:v>1020</x:v>
      </x:c>
      <x:c r="D535" t="str">
        <x:v>Seller 1020</x:v>
      </x:c>
      <x:c r="E535" t="str">
        <x:v>Gold</x:v>
      </x:c>
      <x:c r="F535" t="str">
        <x:v>West</x:v>
      </x:c>
      <x:c r="G535" t="str">
        <x:v>Home &amp; Kitchen</x:v>
      </x:c>
      <x:c r="H535" t="n">
        <x:v>3</x:v>
      </x:c>
      <x:c r="I535" s="26" t="n">
        <x:v>1665</x:v>
      </x:c>
      <x:c r="J535" s="26" t="n">
        <x:v>5718</x:v>
      </x:c>
      <x:c r="K535" s="28" t="n">
        <x:v>0.1262</x:v>
      </x:c>
      <x:c r="L535" s="26" t="n">
        <x:v>721.61</x:v>
      </x:c>
      <x:c r="M535" t="n">
        <x:v>0</x:v>
      </x:c>
      <x:c r="N535" s="26" t="n">
        <x:v>0</x:v>
      </x:c>
      <x:c r="O535" s="26" t="n">
        <x:v>105.78</x:v>
      </x:c>
      <x:c r="P535" s="26" t="n">
        <x:v>25.73</x:v>
      </x:c>
      <x:c r="Q535" s="26" t="n">
        <x:v>48.6</x:v>
      </x:c>
      <x:c r="R535" s="26" t="n">
        <x:v>60.04</x:v>
      </x:c>
      <x:c r="S535" s="26" t="n">
        <x:v>481.46</x:v>
      </x:c>
    </x:row>
    <x:row r="536">
      <x:c r="A536" t="n">
        <x:v>500533</x:v>
      </x:c>
      <x:c r="B536" s="24" t="n">
        <x:v>45754</x:v>
      </x:c>
      <x:c r="C536" t="n">
        <x:v>1041</x:v>
      </x:c>
      <x:c r="D536" t="str">
        <x:v>Seller 1041</x:v>
      </x:c>
      <x:c r="E536" t="str">
        <x:v>Silver</x:v>
      </x:c>
      <x:c r="F536" t="str">
        <x:v>West</x:v>
      </x:c>
      <x:c r="G536" t="str">
        <x:v>Beauty</x:v>
      </x:c>
      <x:c r="H536" t="n">
        <x:v>2</x:v>
      </x:c>
      <x:c r="I536" s="26" t="n">
        <x:v>1737.6000000000001</x:v>
      </x:c>
      <x:c r="J536" s="26" t="n">
        <x:v>3043.8</x:v>
      </x:c>
      <x:c r="K536" s="28" t="n">
        <x:v>0.1341</x:v>
      </x:c>
      <x:c r="L536" s="26" t="n">
        <x:v>408.17</x:v>
      </x:c>
      <x:c r="M536" t="n">
        <x:v>0</x:v>
      </x:c>
      <x:c r="N536" s="26" t="n">
        <x:v>0</x:v>
      </x:c>
      <x:c r="O536" s="26" t="n">
        <x:v>56.31</x:v>
      </x:c>
      <x:c r="P536" s="26" t="n">
        <x:v>13.7</x:v>
      </x:c>
      <x:c r="Q536" s="26" t="n">
        <x:v>25.87</x:v>
      </x:c>
      <x:c r="R536" s="26" t="n">
        <x:v>31.96</x:v>
      </x:c>
      <x:c r="S536" s="26" t="n">
        <x:v>280.33</x:v>
      </x:c>
    </x:row>
    <x:row r="537">
      <x:c r="A537" t="n">
        <x:v>500534</x:v>
      </x:c>
      <x:c r="B537" s="24" t="n">
        <x:v>45777</x:v>
      </x:c>
      <x:c r="C537" t="n">
        <x:v>1033</x:v>
      </x:c>
      <x:c r="D537" t="str">
        <x:v>Seller 1033</x:v>
      </x:c>
      <x:c r="E537" t="str">
        <x:v>Silver</x:v>
      </x:c>
      <x:c r="F537" t="str">
        <x:v>South</x:v>
      </x:c>
      <x:c r="G537" t="str">
        <x:v>Beauty</x:v>
      </x:c>
      <x:c r="H537" t="n">
        <x:v>1</x:v>
      </x:c>
      <x:c r="I537" s="26" t="n">
        <x:v>2472</x:v>
      </x:c>
      <x:c r="J537" s="26" t="n">
        <x:v>2164.8</x:v>
      </x:c>
      <x:c r="K537" s="28" t="n">
        <x:v>0.141</x:v>
      </x:c>
      <x:c r="L537" s="26" t="n">
        <x:v>305.24</x:v>
      </x:c>
      <x:c r="M537" t="n">
        <x:v>0</x:v>
      </x:c>
      <x:c r="N537" s="26" t="n">
        <x:v>0</x:v>
      </x:c>
      <x:c r="O537" s="26" t="n">
        <x:v>40.05</x:v>
      </x:c>
      <x:c r="P537" s="26" t="n">
        <x:v>9.74</x:v>
      </x:c>
      <x:c r="Q537" s="26" t="n">
        <x:v>18.4</x:v>
      </x:c>
      <x:c r="R537" s="26" t="n">
        <x:v>22.73</x:v>
      </x:c>
      <x:c r="S537" s="26" t="n">
        <x:v>214.32</x:v>
      </x:c>
    </x:row>
    <x:row r="538">
      <x:c r="A538" t="n">
        <x:v>500535</x:v>
      </x:c>
      <x:c r="B538" s="24" t="n">
        <x:v>45768</x:v>
      </x:c>
      <x:c r="C538" t="n">
        <x:v>1033</x:v>
      </x:c>
      <x:c r="D538" t="str">
        <x:v>Seller 1033</x:v>
      </x:c>
      <x:c r="E538" t="str">
        <x:v>Silver</x:v>
      </x:c>
      <x:c r="F538" t="str">
        <x:v>South</x:v>
      </x:c>
      <x:c r="G538" t="str">
        <x:v>Beauty</x:v>
      </x:c>
      <x:c r="H538" t="n">
        <x:v>1</x:v>
      </x:c>
      <x:c r="I538" s="26" t="n">
        <x:v>2743.2</x:v>
      </x:c>
      <x:c r="J538" s="26" t="n">
        <x:v>2403</x:v>
      </x:c>
      <x:c r="K538" s="28" t="n">
        <x:v>0.1493</x:v>
      </x:c>
      <x:c r="L538" s="26" t="n">
        <x:v>358.77</x:v>
      </x:c>
      <x:c r="M538" t="n">
        <x:v>0</x:v>
      </x:c>
      <x:c r="N538" s="26" t="n">
        <x:v>0</x:v>
      </x:c>
      <x:c r="O538" s="26" t="n">
        <x:v>44.46</x:v>
      </x:c>
      <x:c r="P538" s="26" t="n">
        <x:v>10.81</x:v>
      </x:c>
      <x:c r="Q538" s="26" t="n">
        <x:v>20.43</x:v>
      </x:c>
      <x:c r="R538" s="26" t="n">
        <x:v>25.23</x:v>
      </x:c>
      <x:c r="S538" s="26" t="n">
        <x:v>257.84</x:v>
      </x:c>
    </x:row>
    <x:row r="539">
      <x:c r="A539" t="n">
        <x:v>500536</x:v>
      </x:c>
      <x:c r="B539" s="24" t="n">
        <x:v>45776</x:v>
      </x:c>
      <x:c r="C539" t="n">
        <x:v>1069</x:v>
      </x:c>
      <x:c r="D539" t="str">
        <x:v>Seller 1069</x:v>
      </x:c>
      <x:c r="E539" t="str">
        <x:v>Bronze</x:v>
      </x:c>
      <x:c r="F539" t="str">
        <x:v>East</x:v>
      </x:c>
      <x:c r="G539" t="str">
        <x:v>Electronics</x:v>
      </x:c>
      <x:c r="H539" t="n">
        <x:v>2</x:v>
      </x:c>
      <x:c r="I539" s="26" t="n">
        <x:v>3709.7999999999997</x:v>
      </x:c>
      <x:c r="J539" s="26" t="n">
        <x:v>4578.6</x:v>
      </x:c>
      <x:c r="K539" s="28" t="n">
        <x:v>0.1292</x:v>
      </x:c>
      <x:c r="L539" s="26" t="n">
        <x:v>591.56</x:v>
      </x:c>
      <x:c r="M539" t="n">
        <x:v>0</x:v>
      </x:c>
      <x:c r="N539" s="26" t="n">
        <x:v>0</x:v>
      </x:c>
      <x:c r="O539" s="26" t="n">
        <x:v>84.7</x:v>
      </x:c>
      <x:c r="P539" s="26" t="n">
        <x:v>20.6</x:v>
      </x:c>
      <x:c r="Q539" s="26" t="n">
        <x:v>38.92</x:v>
      </x:c>
      <x:c r="R539" s="26" t="n">
        <x:v>48.08</x:v>
      </x:c>
      <x:c r="S539" s="26" t="n">
        <x:v>399.25</x:v>
      </x:c>
    </x:row>
    <x:row r="540">
      <x:c r="A540" t="n">
        <x:v>500537</x:v>
      </x:c>
      <x:c r="B540" s="24" t="n">
        <x:v>45758</x:v>
      </x:c>
      <x:c r="C540" t="n">
        <x:v>1011</x:v>
      </x:c>
      <x:c r="D540" t="str">
        <x:v>Seller 1011</x:v>
      </x:c>
      <x:c r="E540" t="str">
        <x:v>Platinum</x:v>
      </x:c>
      <x:c r="F540" t="str">
        <x:v>West</x:v>
      </x:c>
      <x:c r="G540" t="str">
        <x:v>Electronics</x:v>
      </x:c>
      <x:c r="H540" t="n">
        <x:v>2</x:v>
      </x:c>
      <x:c r="I540" s="26" t="n">
        <x:v>5308.2</x:v>
      </x:c>
      <x:c r="J540" s="26" t="n">
        <x:v>16377.6</x:v>
      </x:c>
      <x:c r="K540" s="28" t="n">
        <x:v>0.1165</x:v>
      </x:c>
      <x:c r="L540" s="26" t="n">
        <x:v>1907.99</x:v>
      </x:c>
      <x:c r="M540" t="n">
        <x:v>0</x:v>
      </x:c>
      <x:c r="N540" s="26" t="n">
        <x:v>0</x:v>
      </x:c>
      <x:c r="O540" s="26" t="n">
        <x:v>302.99</x:v>
      </x:c>
      <x:c r="P540" s="26" t="n">
        <x:v>73.7</x:v>
      </x:c>
      <x:c r="Q540" s="26" t="n">
        <x:v>139.21</x:v>
      </x:c>
      <x:c r="R540" s="26" t="n">
        <x:v>171.96</x:v>
      </x:c>
      <x:c r="S540" s="26" t="n">
        <x:v>1220.13</x:v>
      </x:c>
    </x:row>
    <x:row r="541">
      <x:c r="A541" t="n">
        <x:v>500538</x:v>
      </x:c>
      <x:c r="B541" s="24" t="n">
        <x:v>45758</x:v>
      </x:c>
      <x:c r="C541" t="n">
        <x:v>1054</x:v>
      </x:c>
      <x:c r="D541" t="str">
        <x:v>Seller 1054</x:v>
      </x:c>
      <x:c r="E541" t="str">
        <x:v>Silver</x:v>
      </x:c>
      <x:c r="F541" t="str">
        <x:v>South</x:v>
      </x:c>
      <x:c r="G541" t="str">
        <x:v>Home &amp; Kitchen</x:v>
      </x:c>
      <x:c r="H541" t="n">
        <x:v>1</x:v>
      </x:c>
      <x:c r="I541" s="26" t="n">
        <x:v>4587</x:v>
      </x:c>
      <x:c r="J541" s="26" t="n">
        <x:v>4017.6</x:v>
      </x:c>
      <x:c r="K541" s="28" t="n">
        <x:v>0.1247</x:v>
      </x:c>
      <x:c r="L541" s="26" t="n">
        <x:v>500.99</x:v>
      </x:c>
      <x:c r="M541" t="n">
        <x:v>0</x:v>
      </x:c>
      <x:c r="N541" s="26" t="n">
        <x:v>0</x:v>
      </x:c>
      <x:c r="O541" s="26" t="n">
        <x:v>74.33</x:v>
      </x:c>
      <x:c r="P541" s="26" t="n">
        <x:v>18.08</x:v>
      </x:c>
      <x:c r="Q541" s="26" t="n">
        <x:v>34.15</x:v>
      </x:c>
      <x:c r="R541" s="26" t="n">
        <x:v>42.18</x:v>
      </x:c>
      <x:c r="S541" s="26" t="n">
        <x:v>332.26</x:v>
      </x:c>
    </x:row>
    <x:row r="542">
      <x:c r="A542" t="n">
        <x:v>500539</x:v>
      </x:c>
      <x:c r="B542" s="24" t="n">
        <x:v>45771</x:v>
      </x:c>
      <x:c r="C542" t="n">
        <x:v>1038</x:v>
      </x:c>
      <x:c r="D542" t="str">
        <x:v>Seller 1038</x:v>
      </x:c>
      <x:c r="E542" t="str">
        <x:v>Silver</x:v>
      </x:c>
      <x:c r="F542" t="str">
        <x:v>South</x:v>
      </x:c>
      <x:c r="G542" t="str">
        <x:v>Sports</x:v>
      </x:c>
      <x:c r="H542" t="n">
        <x:v>1</x:v>
      </x:c>
      <x:c r="I542" s="26" t="n">
        <x:v>4335</x:v>
      </x:c>
      <x:c r="J542" s="26" t="n">
        <x:v>3796.8</x:v>
      </x:c>
      <x:c r="K542" s="28" t="n">
        <x:v>0.1373</x:v>
      </x:c>
      <x:c r="L542" s="26" t="n">
        <x:v>521.3</x:v>
      </x:c>
      <x:c r="M542" t="n">
        <x:v>0</x:v>
      </x:c>
      <x:c r="N542" s="26" t="n">
        <x:v>0</x:v>
      </x:c>
      <x:c r="O542" s="26" t="n">
        <x:v>70.24</x:v>
      </x:c>
      <x:c r="P542" s="26" t="n">
        <x:v>17.09</x:v>
      </x:c>
      <x:c r="Q542" s="26" t="n">
        <x:v>32.27</x:v>
      </x:c>
      <x:c r="R542" s="26" t="n">
        <x:v>39.87</x:v>
      </x:c>
      <x:c r="S542" s="26" t="n">
        <x:v>361.84</x:v>
      </x:c>
    </x:row>
    <x:row r="543">
      <x:c r="A543" t="n">
        <x:v>500540</x:v>
      </x:c>
      <x:c r="B543" s="24" t="n">
        <x:v>45756</x:v>
      </x:c>
      <x:c r="C543" t="n">
        <x:v>1076</x:v>
      </x:c>
      <x:c r="D543" t="str">
        <x:v>Seller 1076</x:v>
      </x:c>
      <x:c r="E543" t="str">
        <x:v>Bronze</x:v>
      </x:c>
      <x:c r="F543" t="str">
        <x:v>Central</x:v>
      </x:c>
      <x:c r="G543" t="str">
        <x:v>Home &amp; Kitchen</x:v>
      </x:c>
      <x:c r="H543" t="n">
        <x:v>2</x:v>
      </x:c>
      <x:c r="I543" s="26" t="n">
        <x:v>2533.2</x:v>
      </x:c>
      <x:c r="J543" s="26" t="n">
        <x:v>3126.6</x:v>
      </x:c>
      <x:c r="K543" s="28" t="n">
        <x:v>0.1435</x:v>
      </x:c>
      <x:c r="L543" s="26" t="n">
        <x:v>448.67</x:v>
      </x:c>
      <x:c r="M543" t="n">
        <x:v>0</x:v>
      </x:c>
      <x:c r="N543" s="26" t="n">
        <x:v>0</x:v>
      </x:c>
      <x:c r="O543" s="26" t="n">
        <x:v>57.84</x:v>
      </x:c>
      <x:c r="P543" s="26" t="n">
        <x:v>14.07</x:v>
      </x:c>
      <x:c r="Q543" s="26" t="n">
        <x:v>26.58</x:v>
      </x:c>
      <x:c r="R543" s="26" t="n">
        <x:v>32.83</x:v>
      </x:c>
      <x:c r="S543" s="26" t="n">
        <x:v>317.35</x:v>
      </x:c>
    </x:row>
    <x:row r="544">
      <x:c r="A544" t="n">
        <x:v>500541</x:v>
      </x:c>
      <x:c r="B544" s="24" t="n">
        <x:v>45772</x:v>
      </x:c>
      <x:c r="C544" t="n">
        <x:v>1011</x:v>
      </x:c>
      <x:c r="D544" t="str">
        <x:v>Seller 1011</x:v>
      </x:c>
      <x:c r="E544" t="str">
        <x:v>Platinum</x:v>
      </x:c>
      <x:c r="F544" t="str">
        <x:v>West</x:v>
      </x:c>
      <x:c r="G544" t="str">
        <x:v>Electronics</x:v>
      </x:c>
      <x:c r="H544" t="n">
        <x:v>2</x:v>
      </x:c>
      <x:c r="I544" s="26" t="n">
        <x:v>4537.799999999999</x:v>
      </x:c>
      <x:c r="J544" s="26" t="n">
        <x:v>14002.2</x:v>
      </x:c>
      <x:c r="K544" s="28" t="n">
        <x:v>0.1355</x:v>
      </x:c>
      <x:c r="L544" s="26" t="n">
        <x:v>1897.3</x:v>
      </x:c>
      <x:c r="M544" t="n">
        <x:v>0</x:v>
      </x:c>
      <x:c r="N544" s="26" t="n">
        <x:v>0</x:v>
      </x:c>
      <x:c r="O544" s="26" t="n">
        <x:v>259.04</x:v>
      </x:c>
      <x:c r="P544" s="26" t="n">
        <x:v>63.01</x:v>
      </x:c>
      <x:c r="Q544" s="26" t="n">
        <x:v>119.02</x:v>
      </x:c>
      <x:c r="R544" s="26" t="n">
        <x:v>147.02</x:v>
      </x:c>
      <x:c r="S544" s="26" t="n">
        <x:v>1309.21</x:v>
      </x:c>
    </x:row>
    <x:row r="545">
      <x:c r="A545" t="n">
        <x:v>500542</x:v>
      </x:c>
      <x:c r="B545" s="24" t="n">
        <x:v>45760</x:v>
      </x:c>
      <x:c r="C545" t="n">
        <x:v>1051</x:v>
      </x:c>
      <x:c r="D545" t="str">
        <x:v>Seller 1051</x:v>
      </x:c>
      <x:c r="E545" t="str">
        <x:v>Silver</x:v>
      </x:c>
      <x:c r="F545" t="str">
        <x:v>East</x:v>
      </x:c>
      <x:c r="G545" t="str">
        <x:v>Sports</x:v>
      </x:c>
      <x:c r="H545" t="n">
        <x:v>3</x:v>
      </x:c>
      <x:c r="I545" s="26" t="n">
        <x:v>1515.6000000000001</x:v>
      </x:c>
      <x:c r="J545" s="26" t="n">
        <x:v>3982.8</x:v>
      </x:c>
      <x:c r="K545" s="28" t="n">
        <x:v>0.1308</x:v>
      </x:c>
      <x:c r="L545" s="26" t="n">
        <x:v>520.95</x:v>
      </x:c>
      <x:c r="M545" t="n">
        <x:v>0</x:v>
      </x:c>
      <x:c r="N545" s="26" t="n">
        <x:v>0</x:v>
      </x:c>
      <x:c r="O545" s="26" t="n">
        <x:v>73.68</x:v>
      </x:c>
      <x:c r="P545" s="26" t="n">
        <x:v>17.92</x:v>
      </x:c>
      <x:c r="Q545" s="26" t="n">
        <x:v>33.85</x:v>
      </x:c>
      <x:c r="R545" s="26" t="n">
        <x:v>41.82</x:v>
      </x:c>
      <x:c r="S545" s="26" t="n">
        <x:v>353.67</x:v>
      </x:c>
    </x:row>
    <x:row r="546">
      <x:c r="A546" t="n">
        <x:v>500543</x:v>
      </x:c>
      <x:c r="B546" s="24" t="n">
        <x:v>45749</x:v>
      </x:c>
      <x:c r="C546" t="n">
        <x:v>1040</x:v>
      </x:c>
      <x:c r="D546" t="str">
        <x:v>Seller 1040</x:v>
      </x:c>
      <x:c r="E546" t="str">
        <x:v>Silver</x:v>
      </x:c>
      <x:c r="F546" t="str">
        <x:v>West</x:v>
      </x:c>
      <x:c r="G546" t="str">
        <x:v>Pet Supplies</x:v>
      </x:c>
      <x:c r="H546" t="n">
        <x:v>2</x:v>
      </x:c>
      <x:c r="I546" s="26" t="n">
        <x:v>1290.6000000000001</x:v>
      </x:c>
      <x:c r="J546" s="26" t="n">
        <x:v>2260.8</x:v>
      </x:c>
      <x:c r="K546" s="28" t="n">
        <x:v>0.123</x:v>
      </x:c>
      <x:c r="L546" s="26" t="n">
        <x:v>278.08</x:v>
      </x:c>
      <x:c r="M546" t="n">
        <x:v>0</x:v>
      </x:c>
      <x:c r="N546" s="26" t="n">
        <x:v>0</x:v>
      </x:c>
      <x:c r="O546" s="26" t="n">
        <x:v>41.82</x:v>
      </x:c>
      <x:c r="P546" s="26" t="n">
        <x:v>10.17</x:v>
      </x:c>
      <x:c r="Q546" s="26" t="n">
        <x:v>19.22</x:v>
      </x:c>
      <x:c r="R546" s="26" t="n">
        <x:v>23.74</x:v>
      </x:c>
      <x:c r="S546" s="26" t="n">
        <x:v>183.12</x:v>
      </x:c>
    </x:row>
    <x:row r="547">
      <x:c r="A547" t="n">
        <x:v>500544</x:v>
      </x:c>
      <x:c r="B547" s="24" t="n">
        <x:v>45752</x:v>
      </x:c>
      <x:c r="C547" t="n">
        <x:v>1046</x:v>
      </x:c>
      <x:c r="D547" t="str">
        <x:v>Seller 1046</x:v>
      </x:c>
      <x:c r="E547" t="str">
        <x:v>Silver</x:v>
      </x:c>
      <x:c r="F547" t="str">
        <x:v>Central</x:v>
      </x:c>
      <x:c r="G547" t="str">
        <x:v>Beauty</x:v>
      </x:c>
      <x:c r="H547" t="n">
        <x:v>3</x:v>
      </x:c>
      <x:c r="I547" s="26" t="n">
        <x:v>701.4</x:v>
      </x:c>
      <x:c r="J547" s="26" t="n">
        <x:v>1843.2</x:v>
      </x:c>
      <x:c r="K547" s="28" t="n">
        <x:v>0.1539</x:v>
      </x:c>
      <x:c r="L547" s="26" t="n">
        <x:v>283.67</x:v>
      </x:c>
      <x:c r="M547" t="n">
        <x:v>0</x:v>
      </x:c>
      <x:c r="N547" s="26" t="n">
        <x:v>0</x:v>
      </x:c>
      <x:c r="O547" s="26" t="n">
        <x:v>34.1</x:v>
      </x:c>
      <x:c r="P547" s="26" t="n">
        <x:v>8.29</x:v>
      </x:c>
      <x:c r="Q547" s="26" t="n">
        <x:v>15.67</x:v>
      </x:c>
      <x:c r="R547" s="26" t="n">
        <x:v>19.35</x:v>
      </x:c>
      <x:c r="S547" s="26" t="n">
        <x:v>206.25</x:v>
      </x:c>
    </x:row>
    <x:row r="548">
      <x:c r="A548" t="n">
        <x:v>500545</x:v>
      </x:c>
      <x:c r="B548" s="24" t="n">
        <x:v>45768</x:v>
      </x:c>
      <x:c r="C548" t="n">
        <x:v>1070</x:v>
      </x:c>
      <x:c r="D548" t="str">
        <x:v>Seller 1070</x:v>
      </x:c>
      <x:c r="E548" t="str">
        <x:v>Bronze</x:v>
      </x:c>
      <x:c r="F548" t="str">
        <x:v>West</x:v>
      </x:c>
      <x:c r="G548" t="str">
        <x:v>Electronics</x:v>
      </x:c>
      <x:c r="H548" t="n">
        <x:v>1</x:v>
      </x:c>
      <x:c r="I548" s="26" t="n">
        <x:v>8134.2</x:v>
      </x:c>
      <x:c r="J548" s="26" t="n">
        <x:v>5019.6</x:v>
      </x:c>
      <x:c r="K548" s="28" t="n">
        <x:v>0.1283</x:v>
      </x:c>
      <x:c r="L548" s="26" t="n">
        <x:v>644.01</x:v>
      </x:c>
      <x:c r="M548" t="n">
        <x:v>0</x:v>
      </x:c>
      <x:c r="N548" s="26" t="n">
        <x:v>0</x:v>
      </x:c>
      <x:c r="O548" s="26" t="n">
        <x:v>92.86</x:v>
      </x:c>
      <x:c r="P548" s="26" t="n">
        <x:v>22.59</x:v>
      </x:c>
      <x:c r="Q548" s="26" t="n">
        <x:v>42.67</x:v>
      </x:c>
      <x:c r="R548" s="26" t="n">
        <x:v>52.71</x:v>
      </x:c>
      <x:c r="S548" s="26" t="n">
        <x:v>433.19</x:v>
      </x:c>
    </x:row>
    <x:row r="549">
      <x:c r="A549" t="n">
        <x:v>500546</x:v>
      </x:c>
      <x:c r="B549" s="24" t="n">
        <x:v>45756</x:v>
      </x:c>
      <x:c r="C549" t="n">
        <x:v>1069</x:v>
      </x:c>
      <x:c r="D549" t="str">
        <x:v>Seller 1069</x:v>
      </x:c>
      <x:c r="E549" t="str">
        <x:v>Bronze</x:v>
      </x:c>
      <x:c r="F549" t="str">
        <x:v>East</x:v>
      </x:c>
      <x:c r="G549" t="str">
        <x:v>Electronics</x:v>
      </x:c>
      <x:c r="H549" t="n">
        <x:v>1</x:v>
      </x:c>
      <x:c r="I549" s="26" t="n">
        <x:v>9410.4</x:v>
      </x:c>
      <x:c r="J549" s="26" t="n">
        <x:v>5807.4</x:v>
      </x:c>
      <x:c r="K549" s="28" t="n">
        <x:v>0.1323</x:v>
      </x:c>
      <x:c r="L549" s="26" t="n">
        <x:v>768.32</x:v>
      </x:c>
      <x:c r="M549" t="n">
        <x:v>0</x:v>
      </x:c>
      <x:c r="N549" s="26" t="n">
        <x:v>0</x:v>
      </x:c>
      <x:c r="O549" s="26" t="n">
        <x:v>107.44</x:v>
      </x:c>
      <x:c r="P549" s="26" t="n">
        <x:v>26.13</x:v>
      </x:c>
      <x:c r="Q549" s="26" t="n">
        <x:v>49.36</x:v>
      </x:c>
      <x:c r="R549" s="26" t="n">
        <x:v>60.98</x:v>
      </x:c>
      <x:c r="S549" s="26" t="n">
        <x:v>524.41</x:v>
      </x:c>
    </x:row>
    <x:row r="550">
      <x:c r="A550" t="n">
        <x:v>500547</x:v>
      </x:c>
      <x:c r="B550" s="24" t="n">
        <x:v>45748</x:v>
      </x:c>
      <x:c r="C550" t="n">
        <x:v>1020</x:v>
      </x:c>
      <x:c r="D550" t="str">
        <x:v>Seller 1020</x:v>
      </x:c>
      <x:c r="E550" t="str">
        <x:v>Gold</x:v>
      </x:c>
      <x:c r="F550" t="str">
        <x:v>West</x:v>
      </x:c>
      <x:c r="G550" t="str">
        <x:v>Home &amp; Kitchen</x:v>
      </x:c>
      <x:c r="H550" t="n">
        <x:v>4</x:v>
      </x:c>
      <x:c r="I550" s="26" t="n">
        <x:v>1230.6000000000001</x:v>
      </x:c>
      <x:c r="J550" s="26" t="n">
        <x:v>5633.4</x:v>
      </x:c>
      <x:c r="K550" s="28" t="n">
        <x:v>0.1434</x:v>
      </x:c>
      <x:c r="L550" s="26" t="n">
        <x:v>807.83</x:v>
      </x:c>
      <x:c r="M550" t="n">
        <x:v>0</x:v>
      </x:c>
      <x:c r="N550" s="26" t="n">
        <x:v>0</x:v>
      </x:c>
      <x:c r="O550" s="26" t="n">
        <x:v>104.22</x:v>
      </x:c>
      <x:c r="P550" s="26" t="n">
        <x:v>25.35</x:v>
      </x:c>
      <x:c r="Q550" s="26" t="n">
        <x:v>47.88</x:v>
      </x:c>
      <x:c r="R550" s="26" t="n">
        <x:v>59.15</x:v>
      </x:c>
      <x:c r="S550" s="26" t="n">
        <x:v>571.23</x:v>
      </x:c>
    </x:row>
    <x:row r="551">
      <x:c r="A551" t="n">
        <x:v>500548</x:v>
      </x:c>
      <x:c r="B551" s="24" t="n">
        <x:v>45765</x:v>
      </x:c>
      <x:c r="C551" t="n">
        <x:v>1063</x:v>
      </x:c>
      <x:c r="D551" t="str">
        <x:v>Seller 1063</x:v>
      </x:c>
      <x:c r="E551" t="str">
        <x:v>Bronze</x:v>
      </x:c>
      <x:c r="F551" t="str">
        <x:v>West</x:v>
      </x:c>
      <x:c r="G551" t="str">
        <x:v>Apparel</x:v>
      </x:c>
      <x:c r="H551" t="n">
        <x:v>2</x:v>
      </x:c>
      <x:c r="I551" s="26" t="n">
        <x:v>2418</x:v>
      </x:c>
      <x:c r="J551" s="26" t="n">
        <x:v>2984.4</x:v>
      </x:c>
      <x:c r="K551" s="28" t="n">
        <x:v>0.1272</x:v>
      </x:c>
      <x:c r="L551" s="26" t="n">
        <x:v>379.62</x:v>
      </x:c>
      <x:c r="M551" t="n">
        <x:v>0</x:v>
      </x:c>
      <x:c r="N551" s="26" t="n">
        <x:v>0</x:v>
      </x:c>
      <x:c r="O551" s="26" t="n">
        <x:v>55.21</x:v>
      </x:c>
      <x:c r="P551" s="26" t="n">
        <x:v>13.43</x:v>
      </x:c>
      <x:c r="Q551" s="26" t="n">
        <x:v>25.37</x:v>
      </x:c>
      <x:c r="R551" s="26" t="n">
        <x:v>31.34</x:v>
      </x:c>
      <x:c r="S551" s="26" t="n">
        <x:v>254.27</x:v>
      </x:c>
    </x:row>
    <x:row r="552">
      <x:c r="A552" t="n">
        <x:v>500549</x:v>
      </x:c>
      <x:c r="B552" s="24" t="n">
        <x:v>45774</x:v>
      </x:c>
      <x:c r="C552" t="n">
        <x:v>1048</x:v>
      </x:c>
      <x:c r="D552" t="str">
        <x:v>Seller 1048</x:v>
      </x:c>
      <x:c r="E552" t="str">
        <x:v>Silver</x:v>
      </x:c>
      <x:c r="F552" t="str">
        <x:v>East</x:v>
      </x:c>
      <x:c r="G552" t="str">
        <x:v>Electronics</x:v>
      </x:c>
      <x:c r="H552" t="n">
        <x:v>3</x:v>
      </x:c>
      <x:c r="I552" s="26" t="n">
        <x:v>2396.3999999999996</x:v>
      </x:c>
      <x:c r="J552" s="26" t="n">
        <x:v>6297.6</x:v>
      </x:c>
      <x:c r="K552" s="28" t="n">
        <x:v>0.119</x:v>
      </x:c>
      <x:c r="L552" s="26" t="n">
        <x:v>749.41</x:v>
      </x:c>
      <x:c r="M552" t="n">
        <x:v>0</x:v>
      </x:c>
      <x:c r="N552" s="26" t="n">
        <x:v>0</x:v>
      </x:c>
      <x:c r="O552" s="26" t="n">
        <x:v>116.51</x:v>
      </x:c>
      <x:c r="P552" s="26" t="n">
        <x:v>28.34</x:v>
      </x:c>
      <x:c r="Q552" s="26" t="n">
        <x:v>53.53</x:v>
      </x:c>
      <x:c r="R552" s="26" t="n">
        <x:v>66.12</x:v>
      </x:c>
      <x:c r="S552" s="26" t="n">
        <x:v>484.92</x:v>
      </x:c>
    </x:row>
    <x:row r="553">
      <x:c r="A553" t="n">
        <x:v>500550</x:v>
      </x:c>
      <x:c r="B553" s="24" t="n">
        <x:v>45770</x:v>
      </x:c>
      <x:c r="C553" t="n">
        <x:v>1049</x:v>
      </x:c>
      <x:c r="D553" t="str">
        <x:v>Seller 1049</x:v>
      </x:c>
      <x:c r="E553" t="str">
        <x:v>Silver</x:v>
      </x:c>
      <x:c r="F553" t="str">
        <x:v>West</x:v>
      </x:c>
      <x:c r="G553" t="str">
        <x:v>Home &amp; Kitchen</x:v>
      </x:c>
      <x:c r="H553" t="n">
        <x:v>3</x:v>
      </x:c>
      <x:c r="I553" s="26" t="n">
        <x:v>1903.1999999999998</x:v>
      </x:c>
      <x:c r="J553" s="26" t="n">
        <x:v>5001</x:v>
      </x:c>
      <x:c r="K553" s="28" t="n">
        <x:v>0.1354</x:v>
      </x:c>
      <x:c r="L553" s="26" t="n">
        <x:v>677.14</x:v>
      </x:c>
      <x:c r="M553" t="n">
        <x:v>0</x:v>
      </x:c>
      <x:c r="N553" s="26" t="n">
        <x:v>0</x:v>
      </x:c>
      <x:c r="O553" s="26" t="n">
        <x:v>92.52</x:v>
      </x:c>
      <x:c r="P553" s="26" t="n">
        <x:v>22.5</x:v>
      </x:c>
      <x:c r="Q553" s="26" t="n">
        <x:v>42.51</x:v>
      </x:c>
      <x:c r="R553" s="26" t="n">
        <x:v>52.51</x:v>
      </x:c>
      <x:c r="S553" s="26" t="n">
        <x:v>467.09</x:v>
      </x:c>
    </x:row>
    <x:row r="554">
      <x:c r="A554" t="n">
        <x:v>500551</x:v>
      </x:c>
      <x:c r="B554" s="24" t="n">
        <x:v>45757</x:v>
      </x:c>
      <x:c r="C554" t="n">
        <x:v>1035</x:v>
      </x:c>
      <x:c r="D554" t="str">
        <x:v>Seller 1035</x:v>
      </x:c>
      <x:c r="E554" t="str">
        <x:v>Silver</x:v>
      </x:c>
      <x:c r="F554" t="str">
        <x:v>East</x:v>
      </x:c>
      <x:c r="G554" t="str">
        <x:v>Electronics</x:v>
      </x:c>
      <x:c r="H554" t="n">
        <x:v>2</x:v>
      </x:c>
      <x:c r="I554" s="26" t="n">
        <x:v>3085.2000000000003</x:v>
      </x:c>
      <x:c r="J554" s="26" t="n">
        <x:v>5404.8</x:v>
      </x:c>
      <x:c r="K554" s="28" t="n">
        <x:v>0.1229</x:v>
      </x:c>
      <x:c r="L554" s="26" t="n">
        <x:v>664.25</x:v>
      </x:c>
      <x:c r="M554" t="n">
        <x:v>0</x:v>
      </x:c>
      <x:c r="N554" s="26" t="n">
        <x:v>0</x:v>
      </x:c>
      <x:c r="O554" s="26" t="n">
        <x:v>99.99</x:v>
      </x:c>
      <x:c r="P554" s="26" t="n">
        <x:v>24.32</x:v>
      </x:c>
      <x:c r="Q554" s="26" t="n">
        <x:v>45.94</x:v>
      </x:c>
      <x:c r="R554" s="26" t="n">
        <x:v>56.75</x:v>
      </x:c>
      <x:c r="S554" s="26" t="n">
        <x:v>437.25</x:v>
      </x:c>
    </x:row>
    <x:row r="555">
      <x:c r="A555" t="n">
        <x:v>500552</x:v>
      </x:c>
      <x:c r="B555" s="24" t="n">
        <x:v>45765</x:v>
      </x:c>
      <x:c r="C555" t="n">
        <x:v>1015</x:v>
      </x:c>
      <x:c r="D555" t="str">
        <x:v>Seller 1015</x:v>
      </x:c>
      <x:c r="E555" t="str">
        <x:v>Gold</x:v>
      </x:c>
      <x:c r="F555" t="str">
        <x:v>West</x:v>
      </x:c>
      <x:c r="G555" t="str">
        <x:v>Pet Supplies</x:v>
      </x:c>
      <x:c r="H555" t="n">
        <x:v>2</x:v>
      </x:c>
      <x:c r="I555" s="26" t="n">
        <x:v>1425.6000000000001</x:v>
      </x:c>
      <x:c r="J555" s="26" t="n">
        <x:v>3264</x:v>
      </x:c>
      <x:c r="K555" s="28" t="n">
        <x:v>0.1349</x:v>
      </x:c>
      <x:c r="L555" s="26" t="n">
        <x:v>440.31</x:v>
      </x:c>
      <x:c r="M555" t="n">
        <x:v>1</x:v>
      </x:c>
      <x:c r="N555" s="26" t="n">
        <x:v>1868.4</x:v>
      </x:c>
      <x:c r="O555" s="26" t="n">
        <x:v>60.38</x:v>
      </x:c>
      <x:c r="P555" s="26" t="n">
        <x:v>14.69</x:v>
      </x:c>
      <x:c r="Q555" s="26" t="n">
        <x:v>27.74</x:v>
      </x:c>
      <x:c r="R555" s="26" t="n">
        <x:v>34.27</x:v>
      </x:c>
      <x:c r="S555" s="26" t="n">
        <x:v>265.86</x:v>
      </x:c>
    </x:row>
    <x:row r="556">
      <x:c r="A556" t="n">
        <x:v>500553</x:v>
      </x:c>
      <x:c r="B556" s="24" t="n">
        <x:v>45752</x:v>
      </x:c>
      <x:c r="C556" t="n">
        <x:v>1003</x:v>
      </x:c>
      <x:c r="D556" t="str">
        <x:v>Seller 1003</x:v>
      </x:c>
      <x:c r="E556" t="str">
        <x:v>Platinum</x:v>
      </x:c>
      <x:c r="F556" t="str">
        <x:v>East</x:v>
      </x:c>
      <x:c r="G556" t="str">
        <x:v>Pet Supplies</x:v>
      </x:c>
      <x:c r="H556" t="n">
        <x:v>3</x:v>
      </x:c>
      <x:c r="I556" s="26" t="n">
        <x:v>1158.6</x:v>
      </x:c>
      <x:c r="J556" s="26" t="n">
        <x:v>5361.6</x:v>
      </x:c>
      <x:c r="K556" s="28" t="n">
        <x:v>0.1372</x:v>
      </x:c>
      <x:c r="L556" s="26" t="n">
        <x:v>735.61</x:v>
      </x:c>
      <x:c r="M556" t="n">
        <x:v>0</x:v>
      </x:c>
      <x:c r="N556" s="26" t="n">
        <x:v>0</x:v>
      </x:c>
      <x:c r="O556" s="26" t="n">
        <x:v>99.19</x:v>
      </x:c>
      <x:c r="P556" s="26" t="n">
        <x:v>24.13</x:v>
      </x:c>
      <x:c r="Q556" s="26" t="n">
        <x:v>45.57</x:v>
      </x:c>
      <x:c r="R556" s="26" t="n">
        <x:v>56.3</x:v>
      </x:c>
      <x:c r="S556" s="26" t="n">
        <x:v>510.42</x:v>
      </x:c>
    </x:row>
    <x:row r="557">
      <x:c r="A557" t="n">
        <x:v>500554</x:v>
      </x:c>
      <x:c r="B557" s="24" t="n">
        <x:v>45773</x:v>
      </x:c>
      <x:c r="C557" t="n">
        <x:v>1002</x:v>
      </x:c>
      <x:c r="D557" t="str">
        <x:v>Seller 1002</x:v>
      </x:c>
      <x:c r="E557" t="str">
        <x:v>Platinum</x:v>
      </x:c>
      <x:c r="F557" t="str">
        <x:v>Central</x:v>
      </x:c>
      <x:c r="G557" t="str">
        <x:v>Home &amp; Kitchen</x:v>
      </x:c>
      <x:c r="H557" t="n">
        <x:v>2</x:v>
      </x:c>
      <x:c r="I557" s="26" t="n">
        <x:v>2745</x:v>
      </x:c>
      <x:c r="J557" s="26" t="n">
        <x:v>8469.6</x:v>
      </x:c>
      <x:c r="K557" s="28" t="n">
        <x:v>0.1422</x:v>
      </x:c>
      <x:c r="L557" s="26" t="n">
        <x:v>1204.38</x:v>
      </x:c>
      <x:c r="M557" t="n">
        <x:v>0</x:v>
      </x:c>
      <x:c r="N557" s="26" t="n">
        <x:v>0</x:v>
      </x:c>
      <x:c r="O557" s="26" t="n">
        <x:v>156.69</x:v>
      </x:c>
      <x:c r="P557" s="26" t="n">
        <x:v>38.11</x:v>
      </x:c>
      <x:c r="Q557" s="26" t="n">
        <x:v>71.99</x:v>
      </x:c>
      <x:c r="R557" s="26" t="n">
        <x:v>88.93</x:v>
      </x:c>
      <x:c r="S557" s="26" t="n">
        <x:v>848.65</x:v>
      </x:c>
    </x:row>
    <x:row r="558">
      <x:c r="A558" t="n">
        <x:v>500555</x:v>
      </x:c>
      <x:c r="B558" s="24" t="n">
        <x:v>45763</x:v>
      </x:c>
      <x:c r="C558" t="n">
        <x:v>1005</x:v>
      </x:c>
      <x:c r="D558" t="str">
        <x:v>Seller 1005</x:v>
      </x:c>
      <x:c r="E558" t="str">
        <x:v>Platinum</x:v>
      </x:c>
      <x:c r="F558" t="str">
        <x:v>East</x:v>
      </x:c>
      <x:c r="G558" t="str">
        <x:v>Electronics</x:v>
      </x:c>
      <x:c r="H558" t="n">
        <x:v>3</x:v>
      </x:c>
      <x:c r="I558" s="26" t="n">
        <x:v>1474.2</x:v>
      </x:c>
      <x:c r="J558" s="26" t="n">
        <x:v>6823.8</x:v>
      </x:c>
      <x:c r="K558" s="28" t="n">
        <x:v>0.1143</x:v>
      </x:c>
      <x:c r="L558" s="26" t="n">
        <x:v>779.96</x:v>
      </x:c>
      <x:c r="M558" t="n">
        <x:v>0</x:v>
      </x:c>
      <x:c r="N558" s="26" t="n">
        <x:v>0</x:v>
      </x:c>
      <x:c r="O558" s="26" t="n">
        <x:v>126.24</x:v>
      </x:c>
      <x:c r="P558" s="26" t="n">
        <x:v>30.71</x:v>
      </x:c>
      <x:c r="Q558" s="26" t="n">
        <x:v>58</x:v>
      </x:c>
      <x:c r="R558" s="26" t="n">
        <x:v>71.65</x:v>
      </x:c>
      <x:c r="S558" s="26" t="n">
        <x:v>493.36</x:v>
      </x:c>
    </x:row>
    <x:row r="559">
      <x:c r="A559" t="n">
        <x:v>500556</x:v>
      </x:c>
      <x:c r="B559" s="24" t="n">
        <x:v>45755</x:v>
      </x:c>
      <x:c r="C559" t="n">
        <x:v>1024</x:v>
      </x:c>
      <x:c r="D559" t="str">
        <x:v>Seller 1024</x:v>
      </x:c>
      <x:c r="E559" t="str">
        <x:v>Gold</x:v>
      </x:c>
      <x:c r="F559" t="str">
        <x:v>West</x:v>
      </x:c>
      <x:c r="G559" t="str">
        <x:v>Pet Supplies</x:v>
      </x:c>
      <x:c r="H559" t="n">
        <x:v>3</x:v>
      </x:c>
      <x:c r="I559" s="26" t="n">
        <x:v>654</x:v>
      </x:c>
      <x:c r="J559" s="26" t="n">
        <x:v>2245.2</x:v>
      </x:c>
      <x:c r="K559" s="28" t="n">
        <x:v>0.1399</x:v>
      </x:c>
      <x:c r="L559" s="26" t="n">
        <x:v>314.1</x:v>
      </x:c>
      <x:c r="M559" t="n">
        <x:v>0</x:v>
      </x:c>
      <x:c r="N559" s="26" t="n">
        <x:v>0</x:v>
      </x:c>
      <x:c r="O559" s="26" t="n">
        <x:v>41.54</x:v>
      </x:c>
      <x:c r="P559" s="26" t="n">
        <x:v>10.1</x:v>
      </x:c>
      <x:c r="Q559" s="26" t="n">
        <x:v>19.08</x:v>
      </x:c>
      <x:c r="R559" s="26" t="n">
        <x:v>23.57</x:v>
      </x:c>
      <x:c r="S559" s="26" t="n">
        <x:v>219.81</x:v>
      </x:c>
    </x:row>
    <x:row r="560">
      <x:c r="A560" t="n">
        <x:v>500557</x:v>
      </x:c>
      <x:c r="B560" s="24" t="n">
        <x:v>45769</x:v>
      </x:c>
      <x:c r="C560" t="n">
        <x:v>1050</x:v>
      </x:c>
      <x:c r="D560" t="str">
        <x:v>Seller 1050</x:v>
      </x:c>
      <x:c r="E560" t="str">
        <x:v>Silver</x:v>
      </x:c>
      <x:c r="F560" t="str">
        <x:v>East</x:v>
      </x:c>
      <x:c r="G560" t="str">
        <x:v>Apparel</x:v>
      </x:c>
      <x:c r="H560" t="n">
        <x:v>2</x:v>
      </x:c>
      <x:c r="I560" s="26" t="n">
        <x:v>2911.2000000000003</x:v>
      </x:c>
      <x:c r="J560" s="26" t="n">
        <x:v>5100</x:v>
      </x:c>
      <x:c r="K560" s="28" t="n">
        <x:v>0.1128</x:v>
      </x:c>
      <x:c r="L560" s="26" t="n">
        <x:v>575.28</x:v>
      </x:c>
      <x:c r="M560" t="n">
        <x:v>0</x:v>
      </x:c>
      <x:c r="N560" s="26" t="n">
        <x:v>0</x:v>
      </x:c>
      <x:c r="O560" s="26" t="n">
        <x:v>94.35</x:v>
      </x:c>
      <x:c r="P560" s="26" t="n">
        <x:v>22.95</x:v>
      </x:c>
      <x:c r="Q560" s="26" t="n">
        <x:v>43.35</x:v>
      </x:c>
      <x:c r="R560" s="26" t="n">
        <x:v>53.55</x:v>
      </x:c>
      <x:c r="S560" s="26" t="n">
        <x:v>361.08</x:v>
      </x:c>
    </x:row>
    <x:row r="561">
      <x:c r="A561" t="n">
        <x:v>500558</x:v>
      </x:c>
      <x:c r="B561" s="24" t="n">
        <x:v>45764</x:v>
      </x:c>
      <x:c r="C561" t="n">
        <x:v>1027</x:v>
      </x:c>
      <x:c r="D561" t="str">
        <x:v>Seller 1027</x:v>
      </x:c>
      <x:c r="E561" t="str">
        <x:v>Gold</x:v>
      </x:c>
      <x:c r="F561" t="str">
        <x:v>West</x:v>
      </x:c>
      <x:c r="G561" t="str">
        <x:v>Apparel</x:v>
      </x:c>
      <x:c r="H561" t="n">
        <x:v>2</x:v>
      </x:c>
      <x:c r="I561" s="26" t="n">
        <x:v>1678.8</x:v>
      </x:c>
      <x:c r="J561" s="26" t="n">
        <x:v>3842.4</x:v>
      </x:c>
      <x:c r="K561" s="28" t="n">
        <x:v>0.1158</x:v>
      </x:c>
      <x:c r="L561" s="26" t="n">
        <x:v>444.95</x:v>
      </x:c>
      <x:c r="M561" t="n">
        <x:v>1</x:v>
      </x:c>
      <x:c r="N561" s="26" t="n">
        <x:v>3734.4</x:v>
      </x:c>
      <x:c r="O561" s="26" t="n">
        <x:v>71.08</x:v>
      </x:c>
      <x:c r="P561" s="26" t="n">
        <x:v>17.29</x:v>
      </x:c>
      <x:c r="Q561" s="26" t="n">
        <x:v>32.66</x:v>
      </x:c>
      <x:c r="R561" s="26" t="n">
        <x:v>40.35</x:v>
      </x:c>
      <x:c r="S561" s="26" t="n">
        <x:v>208.88</x:v>
      </x:c>
    </x:row>
    <x:row r="562">
      <x:c r="A562" t="n">
        <x:v>500559</x:v>
      </x:c>
      <x:c r="B562" s="24" t="n">
        <x:v>45751</x:v>
      </x:c>
      <x:c r="C562" t="n">
        <x:v>1016</x:v>
      </x:c>
      <x:c r="D562" t="str">
        <x:v>Seller 1016</x:v>
      </x:c>
      <x:c r="E562" t="str">
        <x:v>Gold</x:v>
      </x:c>
      <x:c r="F562" t="str">
        <x:v>West</x:v>
      </x:c>
      <x:c r="G562" t="str">
        <x:v>Sports</x:v>
      </x:c>
      <x:c r="H562" t="n">
        <x:v>2</x:v>
      </x:c>
      <x:c r="I562" s="26" t="n">
        <x:v>2094.6</x:v>
      </x:c>
      <x:c r="J562" s="26" t="n">
        <x:v>4794.6</x:v>
      </x:c>
      <x:c r="K562" s="28" t="n">
        <x:v>0.1373</x:v>
      </x:c>
      <x:c r="L562" s="26" t="n">
        <x:v>658.3</x:v>
      </x:c>
      <x:c r="M562" t="n">
        <x:v>0</x:v>
      </x:c>
      <x:c r="N562" s="26" t="n">
        <x:v>0</x:v>
      </x:c>
      <x:c r="O562" s="26" t="n">
        <x:v>88.7</x:v>
      </x:c>
      <x:c r="P562" s="26" t="n">
        <x:v>21.58</x:v>
      </x:c>
      <x:c r="Q562" s="26" t="n">
        <x:v>40.75</x:v>
      </x:c>
      <x:c r="R562" s="26" t="n">
        <x:v>50.34</x:v>
      </x:c>
      <x:c r="S562" s="26" t="n">
        <x:v>456.93</x:v>
      </x:c>
    </x:row>
    <x:row r="563">
      <x:c r="A563" t="n">
        <x:v>500560</x:v>
      </x:c>
      <x:c r="B563" s="24" t="n">
        <x:v>45748</x:v>
      </x:c>
      <x:c r="C563" t="n">
        <x:v>1031</x:v>
      </x:c>
      <x:c r="D563" t="str">
        <x:v>Seller 1031</x:v>
      </x:c>
      <x:c r="E563" t="str">
        <x:v>Silver</x:v>
      </x:c>
      <x:c r="F563" t="str">
        <x:v>West</x:v>
      </x:c>
      <x:c r="G563" t="str">
        <x:v>Home &amp; Kitchen</x:v>
      </x:c>
      <x:c r="H563" t="n">
        <x:v>2</x:v>
      </x:c>
      <x:c r="I563" s="26" t="n">
        <x:v>2672.4</x:v>
      </x:c>
      <x:c r="J563" s="26" t="n">
        <x:v>4681.8</x:v>
      </x:c>
      <x:c r="K563" s="28" t="n">
        <x:v>0.1296</x:v>
      </x:c>
      <x:c r="L563" s="26" t="n">
        <x:v>606.76</x:v>
      </x:c>
      <x:c r="M563" t="n">
        <x:v>0</x:v>
      </x:c>
      <x:c r="N563" s="26" t="n">
        <x:v>0</x:v>
      </x:c>
      <x:c r="O563" s="26" t="n">
        <x:v>86.61</x:v>
      </x:c>
      <x:c r="P563" s="26" t="n">
        <x:v>21.07</x:v>
      </x:c>
      <x:c r="Q563" s="26" t="n">
        <x:v>39.8</x:v>
      </x:c>
      <x:c r="R563" s="26" t="n">
        <x:v>49.16</x:v>
      </x:c>
      <x:c r="S563" s="26" t="n">
        <x:v>410.13</x:v>
      </x:c>
    </x:row>
    <x:row r="564">
      <x:c r="A564" t="n">
        <x:v>500561</x:v>
      </x:c>
      <x:c r="B564" s="24" t="n">
        <x:v>45763</x:v>
      </x:c>
      <x:c r="C564" t="n">
        <x:v>1006</x:v>
      </x:c>
      <x:c r="D564" t="str">
        <x:v>Seller 1006</x:v>
      </x:c>
      <x:c r="E564" t="str">
        <x:v>Platinum</x:v>
      </x:c>
      <x:c r="F564" t="str">
        <x:v>East</x:v>
      </x:c>
      <x:c r="G564" t="str">
        <x:v>Sports</x:v>
      </x:c>
      <x:c r="H564" t="n">
        <x:v>2</x:v>
      </x:c>
      <x:c r="I564" s="26" t="n">
        <x:v>1761</x:v>
      </x:c>
      <x:c r="J564" s="26" t="n">
        <x:v>5433.6</x:v>
      </x:c>
      <x:c r="K564" s="28" t="n">
        <x:v>0.1197</x:v>
      </x:c>
      <x:c r="L564" s="26" t="n">
        <x:v>650.4</x:v>
      </x:c>
      <x:c r="M564" t="n">
        <x:v>0</x:v>
      </x:c>
      <x:c r="N564" s="26" t="n">
        <x:v>0</x:v>
      </x:c>
      <x:c r="O564" s="26" t="n">
        <x:v>100.52</x:v>
      </x:c>
      <x:c r="P564" s="26" t="n">
        <x:v>24.45</x:v>
      </x:c>
      <x:c r="Q564" s="26" t="n">
        <x:v>46.19</x:v>
      </x:c>
      <x:c r="R564" s="26" t="n">
        <x:v>57.05</x:v>
      </x:c>
      <x:c r="S564" s="26" t="n">
        <x:v>422.19</x:v>
      </x:c>
    </x:row>
    <x:row r="565">
      <x:c r="A565" t="n">
        <x:v>500562</x:v>
      </x:c>
      <x:c r="B565" s="24" t="n">
        <x:v>45752</x:v>
      </x:c>
      <x:c r="C565" t="n">
        <x:v>1012</x:v>
      </x:c>
      <x:c r="D565" t="str">
        <x:v>Seller 1012</x:v>
      </x:c>
      <x:c r="E565" t="str">
        <x:v>Platinum</x:v>
      </x:c>
      <x:c r="F565" t="str">
        <x:v>East</x:v>
      </x:c>
      <x:c r="G565" t="str">
        <x:v>Beauty</x:v>
      </x:c>
      <x:c r="H565" t="n">
        <x:v>1</x:v>
      </x:c>
      <x:c r="I565" s="26" t="n">
        <x:v>3114.6</x:v>
      </x:c>
      <x:c r="J565" s="26" t="n">
        <x:v>4804.8</x:v>
      </x:c>
      <x:c r="K565" s="28" t="n">
        <x:v>0.1512</x:v>
      </x:c>
      <x:c r="L565" s="26" t="n">
        <x:v>726.49</x:v>
      </x:c>
      <x:c r="M565" t="n">
        <x:v>0</x:v>
      </x:c>
      <x:c r="N565" s="26" t="n">
        <x:v>0</x:v>
      </x:c>
      <x:c r="O565" s="26" t="n">
        <x:v>88.89</x:v>
      </x:c>
      <x:c r="P565" s="26" t="n">
        <x:v>21.62</x:v>
      </x:c>
      <x:c r="Q565" s="26" t="n">
        <x:v>40.84</x:v>
      </x:c>
      <x:c r="R565" s="26" t="n">
        <x:v>50.45</x:v>
      </x:c>
      <x:c r="S565" s="26" t="n">
        <x:v>524.68</x:v>
      </x:c>
    </x:row>
    <x:row r="566">
      <x:c r="A566" t="n">
        <x:v>500563</x:v>
      </x:c>
      <x:c r="B566" s="24" t="n">
        <x:v>45776</x:v>
      </x:c>
      <x:c r="C566" t="n">
        <x:v>1069</x:v>
      </x:c>
      <x:c r="D566" t="str">
        <x:v>Seller 1069</x:v>
      </x:c>
      <x:c r="E566" t="str">
        <x:v>Bronze</x:v>
      </x:c>
      <x:c r="F566" t="str">
        <x:v>East</x:v>
      </x:c>
      <x:c r="G566" t="str">
        <x:v>Home &amp; Kitchen</x:v>
      </x:c>
      <x:c r="H566" t="n">
        <x:v>1</x:v>
      </x:c>
      <x:c r="I566" s="26" t="n">
        <x:v>4946.4</x:v>
      </x:c>
      <x:c r="J566" s="26" t="n">
        <x:v>3052.2</x:v>
      </x:c>
      <x:c r="K566" s="28" t="n">
        <x:v>0.1364</x:v>
      </x:c>
      <x:c r="L566" s="26" t="n">
        <x:v>416.32</x:v>
      </x:c>
      <x:c r="M566" t="n">
        <x:v>0</x:v>
      </x:c>
      <x:c r="N566" s="26" t="n">
        <x:v>0</x:v>
      </x:c>
      <x:c r="O566" s="26" t="n">
        <x:v>56.47</x:v>
      </x:c>
      <x:c r="P566" s="26" t="n">
        <x:v>13.73</x:v>
      </x:c>
      <x:c r="Q566" s="26" t="n">
        <x:v>25.94</x:v>
      </x:c>
      <x:c r="R566" s="26" t="n">
        <x:v>32.05</x:v>
      </x:c>
      <x:c r="S566" s="26" t="n">
        <x:v>288.13</x:v>
      </x:c>
    </x:row>
    <x:row r="567">
      <x:c r="A567" t="n">
        <x:v>500564</x:v>
      </x:c>
      <x:c r="B567" s="24" t="n">
        <x:v>45765</x:v>
      </x:c>
      <x:c r="C567" t="n">
        <x:v>1057</x:v>
      </x:c>
      <x:c r="D567" t="str">
        <x:v>Seller 1057</x:v>
      </x:c>
      <x:c r="E567" t="str">
        <x:v>Bronze</x:v>
      </x:c>
      <x:c r="F567" t="str">
        <x:v>South</x:v>
      </x:c>
      <x:c r="G567" t="str">
        <x:v>Electronics</x:v>
      </x:c>
      <x:c r="H567" t="n">
        <x:v>3</x:v>
      </x:c>
      <x:c r="I567" s="26" t="n">
        <x:v>2990.4</x:v>
      </x:c>
      <x:c r="J567" s="26" t="n">
        <x:v>5536.8</x:v>
      </x:c>
      <x:c r="K567" s="28" t="n">
        <x:v>0.1304</x:v>
      </x:c>
      <x:c r="L567" s="26" t="n">
        <x:v>722</x:v>
      </x:c>
      <x:c r="M567" t="n">
        <x:v>1</x:v>
      </x:c>
      <x:c r="N567" s="26" t="n">
        <x:v>4806</x:v>
      </x:c>
      <x:c r="O567" s="26" t="n">
        <x:v>102.43</x:v>
      </x:c>
      <x:c r="P567" s="26" t="n">
        <x:v>24.92</x:v>
      </x:c>
      <x:c r="Q567" s="26" t="n">
        <x:v>47.06</x:v>
      </x:c>
      <x:c r="R567" s="26" t="n">
        <x:v>58.14</x:v>
      </x:c>
      <x:c r="S567" s="26" t="n">
        <x:v>393.33</x:v>
      </x:c>
    </x:row>
    <x:row r="568">
      <x:c r="A568" t="n">
        <x:v>500565</x:v>
      </x:c>
      <x:c r="B568" s="24" t="n">
        <x:v>45775</x:v>
      </x:c>
      <x:c r="C568" t="n">
        <x:v>1038</x:v>
      </x:c>
      <x:c r="D568" t="str">
        <x:v>Seller 1038</x:v>
      </x:c>
      <x:c r="E568" t="str">
        <x:v>Silver</x:v>
      </x:c>
      <x:c r="F568" t="str">
        <x:v>South</x:v>
      </x:c>
      <x:c r="G568" t="str">
        <x:v>Sports</x:v>
      </x:c>
      <x:c r="H568" t="n">
        <x:v>1</x:v>
      </x:c>
      <x:c r="I568" s="26" t="n">
        <x:v>4589.4</x:v>
      </x:c>
      <x:c r="J568" s="26" t="n">
        <x:v>4020</x:v>
      </x:c>
      <x:c r="K568" s="28" t="n">
        <x:v>0.129</x:v>
      </x:c>
      <x:c r="L568" s="26" t="n">
        <x:v>518.58</x:v>
      </x:c>
      <x:c r="M568" t="n">
        <x:v>0</x:v>
      </x:c>
      <x:c r="N568" s="26" t="n">
        <x:v>0</x:v>
      </x:c>
      <x:c r="O568" s="26" t="n">
        <x:v>74.37</x:v>
      </x:c>
      <x:c r="P568" s="26" t="n">
        <x:v>18.09</x:v>
      </x:c>
      <x:c r="Q568" s="26" t="n">
        <x:v>34.17</x:v>
      </x:c>
      <x:c r="R568" s="26" t="n">
        <x:v>42.21</x:v>
      </x:c>
      <x:c r="S568" s="26" t="n">
        <x:v>349.74</x:v>
      </x:c>
    </x:row>
    <x:row r="569">
      <x:c r="A569" t="n">
        <x:v>500566</x:v>
      </x:c>
      <x:c r="B569" s="24" t="n">
        <x:v>45762</x:v>
      </x:c>
      <x:c r="C569" t="n">
        <x:v>1077</x:v>
      </x:c>
      <x:c r="D569" t="str">
        <x:v>Seller 1077</x:v>
      </x:c>
      <x:c r="E569" t="str">
        <x:v>Bronze</x:v>
      </x:c>
      <x:c r="F569" t="str">
        <x:v>South</x:v>
      </x:c>
      <x:c r="G569" t="str">
        <x:v>Sports</x:v>
      </x:c>
      <x:c r="H569" t="n">
        <x:v>3</x:v>
      </x:c>
      <x:c r="I569" s="26" t="n">
        <x:v>1899.6</x:v>
      </x:c>
      <x:c r="J569" s="26" t="n">
        <x:v>3516.6</x:v>
      </x:c>
      <x:c r="K569" s="28" t="n">
        <x:v>0.1268</x:v>
      </x:c>
      <x:c r="L569" s="26" t="n">
        <x:v>445.9</x:v>
      </x:c>
      <x:c r="M569" t="n">
        <x:v>0</x:v>
      </x:c>
      <x:c r="N569" s="26" t="n">
        <x:v>0</x:v>
      </x:c>
      <x:c r="O569" s="26" t="n">
        <x:v>65.06</x:v>
      </x:c>
      <x:c r="P569" s="26" t="n">
        <x:v>15.82</x:v>
      </x:c>
      <x:c r="Q569" s="26" t="n">
        <x:v>29.89</x:v>
      </x:c>
      <x:c r="R569" s="26" t="n">
        <x:v>36.92</x:v>
      </x:c>
      <x:c r="S569" s="26" t="n">
        <x:v>298.21</x:v>
      </x:c>
    </x:row>
    <x:row r="570">
      <x:c r="A570" t="n">
        <x:v>500567</x:v>
      </x:c>
      <x:c r="B570" s="24" t="n">
        <x:v>45755</x:v>
      </x:c>
      <x:c r="C570" t="n">
        <x:v>1001</x:v>
      </x:c>
      <x:c r="D570" t="str">
        <x:v>Seller 1001</x:v>
      </x:c>
      <x:c r="E570" t="str">
        <x:v>Platinum</x:v>
      </x:c>
      <x:c r="F570" t="str">
        <x:v>East</x:v>
      </x:c>
      <x:c r="G570" t="str">
        <x:v>Sports</x:v>
      </x:c>
      <x:c r="H570" t="n">
        <x:v>2</x:v>
      </x:c>
      <x:c r="I570" s="26" t="n">
        <x:v>2440.8</x:v>
      </x:c>
      <x:c r="J570" s="26" t="n">
        <x:v>7531.8</x:v>
      </x:c>
      <x:c r="K570" s="28" t="n">
        <x:v>0.1164</x:v>
      </x:c>
      <x:c r="L570" s="26" t="n">
        <x:v>876.7</x:v>
      </x:c>
      <x:c r="M570" t="n">
        <x:v>0</x:v>
      </x:c>
      <x:c r="N570" s="26" t="n">
        <x:v>0</x:v>
      </x:c>
      <x:c r="O570" s="26" t="n">
        <x:v>139.34</x:v>
      </x:c>
      <x:c r="P570" s="26" t="n">
        <x:v>33.89</x:v>
      </x:c>
      <x:c r="Q570" s="26" t="n">
        <x:v>64.02</x:v>
      </x:c>
      <x:c r="R570" s="26" t="n">
        <x:v>79.08</x:v>
      </x:c>
      <x:c r="S570" s="26" t="n">
        <x:v>560.37</x:v>
      </x:c>
    </x:row>
    <x:row r="571">
      <x:c r="A571" t="n">
        <x:v>500568</x:v>
      </x:c>
      <x:c r="B571" s="24" t="n">
        <x:v>45765</x:v>
      </x:c>
      <x:c r="C571" t="n">
        <x:v>1042</x:v>
      </x:c>
      <x:c r="D571" t="str">
        <x:v>Seller 1042</x:v>
      </x:c>
      <x:c r="E571" t="str">
        <x:v>Silver</x:v>
      </x:c>
      <x:c r="F571" t="str">
        <x:v>East</x:v>
      </x:c>
      <x:c r="G571" t="str">
        <x:v>Pet Supplies</x:v>
      </x:c>
      <x:c r="H571" t="n">
        <x:v>1</x:v>
      </x:c>
      <x:c r="I571" s="26" t="n">
        <x:v>2859.6</x:v>
      </x:c>
      <x:c r="J571" s="26" t="n">
        <x:v>2504.4</x:v>
      </x:c>
      <x:c r="K571" s="28" t="n">
        <x:v>0.1293</x:v>
      </x:c>
      <x:c r="L571" s="26" t="n">
        <x:v>323.82</x:v>
      </x:c>
      <x:c r="M571" t="n">
        <x:v>0</x:v>
      </x:c>
      <x:c r="N571" s="26" t="n">
        <x:v>0</x:v>
      </x:c>
      <x:c r="O571" s="26" t="n">
        <x:v>46.33</x:v>
      </x:c>
      <x:c r="P571" s="26" t="n">
        <x:v>11.27</x:v>
      </x:c>
      <x:c r="Q571" s="26" t="n">
        <x:v>21.29</x:v>
      </x:c>
      <x:c r="R571" s="26" t="n">
        <x:v>26.3</x:v>
      </x:c>
      <x:c r="S571" s="26" t="n">
        <x:v>218.63</x:v>
      </x:c>
    </x:row>
    <x:row r="572">
      <x:c r="A572" t="n">
        <x:v>500569</x:v>
      </x:c>
      <x:c r="B572" s="24" t="n">
        <x:v>45774</x:v>
      </x:c>
      <x:c r="C572" t="n">
        <x:v>1020</x:v>
      </x:c>
      <x:c r="D572" t="str">
        <x:v>Seller 1020</x:v>
      </x:c>
      <x:c r="E572" t="str">
        <x:v>Gold</x:v>
      </x:c>
      <x:c r="F572" t="str">
        <x:v>West</x:v>
      </x:c>
      <x:c r="G572" t="str">
        <x:v>Home &amp; Kitchen</x:v>
      </x:c>
      <x:c r="H572" t="n">
        <x:v>2</x:v>
      </x:c>
      <x:c r="I572" s="26" t="n">
        <x:v>2965.8</x:v>
      </x:c>
      <x:c r="J572" s="26" t="n">
        <x:v>6789.6</x:v>
      </x:c>
      <x:c r="K572" s="28" t="n">
        <x:v>0.1257</x:v>
      </x:c>
      <x:c r="L572" s="26" t="n">
        <x:v>853.45</x:v>
      </x:c>
      <x:c r="M572" t="n">
        <x:v>0</x:v>
      </x:c>
      <x:c r="N572" s="26" t="n">
        <x:v>0</x:v>
      </x:c>
      <x:c r="O572" s="26" t="n">
        <x:v>125.61</x:v>
      </x:c>
      <x:c r="P572" s="26" t="n">
        <x:v>30.55</x:v>
      </x:c>
      <x:c r="Q572" s="26" t="n">
        <x:v>57.71</x:v>
      </x:c>
      <x:c r="R572" s="26" t="n">
        <x:v>71.29</x:v>
      </x:c>
      <x:c r="S572" s="26" t="n">
        <x:v>568.29</x:v>
      </x:c>
    </x:row>
    <x:row r="573">
      <x:c r="A573" t="n">
        <x:v>500570</x:v>
      </x:c>
      <x:c r="B573" s="24" t="n">
        <x:v>45760</x:v>
      </x:c>
      <x:c r="C573" t="n">
        <x:v>1017</x:v>
      </x:c>
      <x:c r="D573" t="str">
        <x:v>Seller 1017</x:v>
      </x:c>
      <x:c r="E573" t="str">
        <x:v>Gold</x:v>
      </x:c>
      <x:c r="F573" t="str">
        <x:v>East</x:v>
      </x:c>
      <x:c r="G573" t="str">
        <x:v>Electronics</x:v>
      </x:c>
      <x:c r="H573" t="n">
        <x:v>3</x:v>
      </x:c>
      <x:c r="I573" s="26" t="n">
        <x:v>2964.6</x:v>
      </x:c>
      <x:c r="J573" s="26" t="n">
        <x:v>10180.2</x:v>
      </x:c>
      <x:c r="K573" s="28" t="n">
        <x:v>0.1176</x:v>
      </x:c>
      <x:c r="L573" s="26" t="n">
        <x:v>1197.19</x:v>
      </x:c>
      <x:c r="M573" t="n">
        <x:v>0</x:v>
      </x:c>
      <x:c r="N573" s="26" t="n">
        <x:v>0</x:v>
      </x:c>
      <x:c r="O573" s="26" t="n">
        <x:v>188.33</x:v>
      </x:c>
      <x:c r="P573" s="26" t="n">
        <x:v>45.81</x:v>
      </x:c>
      <x:c r="Q573" s="26" t="n">
        <x:v>86.53</x:v>
      </x:c>
      <x:c r="R573" s="26" t="n">
        <x:v>106.89</x:v>
      </x:c>
      <x:c r="S573" s="26" t="n">
        <x:v>769.62</x:v>
      </x:c>
    </x:row>
    <x:row r="574">
      <x:c r="A574" t="n">
        <x:v>500571</x:v>
      </x:c>
      <x:c r="B574" s="24" t="n">
        <x:v>45777</x:v>
      </x:c>
      <x:c r="C574" t="n">
        <x:v>1063</x:v>
      </x:c>
      <x:c r="D574" t="str">
        <x:v>Seller 1063</x:v>
      </x:c>
      <x:c r="E574" t="str">
        <x:v>Bronze</x:v>
      </x:c>
      <x:c r="F574" t="str">
        <x:v>West</x:v>
      </x:c>
      <x:c r="G574" t="str">
        <x:v>Pet Supplies</x:v>
      </x:c>
      <x:c r="H574" t="n">
        <x:v>2</x:v>
      </x:c>
      <x:c r="I574" s="26" t="n">
        <x:v>1377</x:v>
      </x:c>
      <x:c r="J574" s="26" t="n">
        <x:v>1699.2</x:v>
      </x:c>
      <x:c r="K574" s="28" t="n">
        <x:v>0.1288</x:v>
      </x:c>
      <x:c r="L574" s="26" t="n">
        <x:v>218.86</x:v>
      </x:c>
      <x:c r="M574" t="n">
        <x:v>0</x:v>
      </x:c>
      <x:c r="N574" s="26" t="n">
        <x:v>0</x:v>
      </x:c>
      <x:c r="O574" s="26" t="n">
        <x:v>31.44</x:v>
      </x:c>
      <x:c r="P574" s="26" t="n">
        <x:v>7.65</x:v>
      </x:c>
      <x:c r="Q574" s="26" t="n">
        <x:v>14.44</x:v>
      </x:c>
      <x:c r="R574" s="26" t="n">
        <x:v>17.84</x:v>
      </x:c>
      <x:c r="S574" s="26" t="n">
        <x:v>147.49</x:v>
      </x:c>
    </x:row>
    <x:row r="575">
      <x:c r="A575" t="n">
        <x:v>500572</x:v>
      </x:c>
      <x:c r="B575" s="24" t="n">
        <x:v>45771</x:v>
      </x:c>
      <x:c r="C575" t="n">
        <x:v>1027</x:v>
      </x:c>
      <x:c r="D575" t="str">
        <x:v>Seller 1027</x:v>
      </x:c>
      <x:c r="E575" t="str">
        <x:v>Gold</x:v>
      </x:c>
      <x:c r="F575" t="str">
        <x:v>West</x:v>
      </x:c>
      <x:c r="G575" t="str">
        <x:v>Apparel</x:v>
      </x:c>
      <x:c r="H575" t="n">
        <x:v>4</x:v>
      </x:c>
      <x:c r="I575" s="26" t="n">
        <x:v>707.4</x:v>
      </x:c>
      <x:c r="J575" s="26" t="n">
        <x:v>3240</x:v>
      </x:c>
      <x:c r="K575" s="28" t="n">
        <x:v>0.1192</x:v>
      </x:c>
      <x:c r="L575" s="26" t="n">
        <x:v>386.21</x:v>
      </x:c>
      <x:c r="M575" t="n">
        <x:v>0</x:v>
      </x:c>
      <x:c r="N575" s="26" t="n">
        <x:v>0</x:v>
      </x:c>
      <x:c r="O575" s="26" t="n">
        <x:v>59.94</x:v>
      </x:c>
      <x:c r="P575" s="26" t="n">
        <x:v>14.58</x:v>
      </x:c>
      <x:c r="Q575" s="26" t="n">
        <x:v>27.54</x:v>
      </x:c>
      <x:c r="R575" s="26" t="n">
        <x:v>34.02</x:v>
      </x:c>
      <x:c r="S575" s="26" t="n">
        <x:v>250.13</x:v>
      </x:c>
    </x:row>
    <x:row r="576">
      <x:c r="A576" t="n">
        <x:v>500573</x:v>
      </x:c>
      <x:c r="B576" s="24" t="n">
        <x:v>45750</x:v>
      </x:c>
      <x:c r="C576" t="n">
        <x:v>1054</x:v>
      </x:c>
      <x:c r="D576" t="str">
        <x:v>Seller 1054</x:v>
      </x:c>
      <x:c r="E576" t="str">
        <x:v>Silver</x:v>
      </x:c>
      <x:c r="F576" t="str">
        <x:v>South</x:v>
      </x:c>
      <x:c r="G576" t="str">
        <x:v>Pet Supplies</x:v>
      </x:c>
      <x:c r="H576" t="n">
        <x:v>3</x:v>
      </x:c>
      <x:c r="I576" s="26" t="n">
        <x:v>1164</x:v>
      </x:c>
      <x:c r="J576" s="26" t="n">
        <x:v>3058.2</x:v>
      </x:c>
      <x:c r="K576" s="28" t="n">
        <x:v>0.1327</x:v>
      </x:c>
      <x:c r="L576" s="26" t="n">
        <x:v>405.82</x:v>
      </x:c>
      <x:c r="M576" t="n">
        <x:v>0</x:v>
      </x:c>
      <x:c r="N576" s="26" t="n">
        <x:v>0</x:v>
      </x:c>
      <x:c r="O576" s="26" t="n">
        <x:v>56.58</x:v>
      </x:c>
      <x:c r="P576" s="26" t="n">
        <x:v>13.76</x:v>
      </x:c>
      <x:c r="Q576" s="26" t="n">
        <x:v>25.99</x:v>
      </x:c>
      <x:c r="R576" s="26" t="n">
        <x:v>32.11</x:v>
      </x:c>
      <x:c r="S576" s="26" t="n">
        <x:v>277.38</x:v>
      </x:c>
    </x:row>
    <x:row r="577">
      <x:c r="A577" t="n">
        <x:v>500574</x:v>
      </x:c>
      <x:c r="B577" s="24" t="n">
        <x:v>45766</x:v>
      </x:c>
      <x:c r="C577" t="n">
        <x:v>1028</x:v>
      </x:c>
      <x:c r="D577" t="str">
        <x:v>Seller 1028</x:v>
      </x:c>
      <x:c r="E577" t="str">
        <x:v>Gold</x:v>
      </x:c>
      <x:c r="F577" t="str">
        <x:v>Central</x:v>
      </x:c>
      <x:c r="G577" t="str">
        <x:v>Electronics</x:v>
      </x:c>
      <x:c r="H577" t="n">
        <x:v>3</x:v>
      </x:c>
      <x:c r="I577" s="26" t="n">
        <x:v>3199.7999999999997</x:v>
      </x:c>
      <x:c r="J577" s="26" t="n">
        <x:v>10987.2</x:v>
      </x:c>
      <x:c r="K577" s="28" t="n">
        <x:v>0.1222</x:v>
      </x:c>
      <x:c r="L577" s="26" t="n">
        <x:v>1342.64</x:v>
      </x:c>
      <x:c r="M577" t="n">
        <x:v>0</x:v>
      </x:c>
      <x:c r="N577" s="26" t="n">
        <x:v>0</x:v>
      </x:c>
      <x:c r="O577" s="26" t="n">
        <x:v>203.26</x:v>
      </x:c>
      <x:c r="P577" s="26" t="n">
        <x:v>49.44</x:v>
      </x:c>
      <x:c r="Q577" s="26" t="n">
        <x:v>93.39</x:v>
      </x:c>
      <x:c r="R577" s="26" t="n">
        <x:v>115.37</x:v>
      </x:c>
      <x:c r="S577" s="26" t="n">
        <x:v>881.17</x:v>
      </x:c>
    </x:row>
    <x:row r="578">
      <x:c r="A578" t="n">
        <x:v>500575</x:v>
      </x:c>
      <x:c r="B578" s="24" t="n">
        <x:v>45770</x:v>
      </x:c>
      <x:c r="C578" t="n">
        <x:v>1023</x:v>
      </x:c>
      <x:c r="D578" t="str">
        <x:v>Seller 1023</x:v>
      </x:c>
      <x:c r="E578" t="str">
        <x:v>Gold</x:v>
      </x:c>
      <x:c r="F578" t="str">
        <x:v>Central</x:v>
      </x:c>
      <x:c r="G578" t="str">
        <x:v>Home &amp; Kitchen</x:v>
      </x:c>
      <x:c r="H578" t="n">
        <x:v>1</x:v>
      </x:c>
      <x:c r="I578" s="26" t="n">
        <x:v>4687.200000000001</x:v>
      </x:c>
      <x:c r="J578" s="26" t="n">
        <x:v>5365.2</x:v>
      </x:c>
      <x:c r="K578" s="28" t="n">
        <x:v>0.1414</x:v>
      </x:c>
      <x:c r="L578" s="26" t="n">
        <x:v>758.64</x:v>
      </x:c>
      <x:c r="M578" t="n">
        <x:v>0</x:v>
      </x:c>
      <x:c r="N578" s="26" t="n">
        <x:v>0</x:v>
      </x:c>
      <x:c r="O578" s="26" t="n">
        <x:v>99.26</x:v>
      </x:c>
      <x:c r="P578" s="26" t="n">
        <x:v>24.14</x:v>
      </x:c>
      <x:c r="Q578" s="26" t="n">
        <x:v>45.6</x:v>
      </x:c>
      <x:c r="R578" s="26" t="n">
        <x:v>56.33</x:v>
      </x:c>
      <x:c r="S578" s="26" t="n">
        <x:v>533.3</x:v>
      </x:c>
    </x:row>
    <x:row r="579">
      <x:c r="A579" t="n">
        <x:v>500576</x:v>
      </x:c>
      <x:c r="B579" s="24" t="n">
        <x:v>45767</x:v>
      </x:c>
      <x:c r="C579" t="n">
        <x:v>1055</x:v>
      </x:c>
      <x:c r="D579" t="str">
        <x:v>Seller 1055</x:v>
      </x:c>
      <x:c r="E579" t="str">
        <x:v>Bronze</x:v>
      </x:c>
      <x:c r="F579" t="str">
        <x:v>Central</x:v>
      </x:c>
      <x:c r="G579" t="str">
        <x:v>Home &amp; Kitchen</x:v>
      </x:c>
      <x:c r="H579" t="n">
        <x:v>2</x:v>
      </x:c>
      <x:c r="I579" s="26" t="n">
        <x:v>1980</x:v>
      </x:c>
      <x:c r="J579" s="26" t="n">
        <x:v>2443.8</x:v>
      </x:c>
      <x:c r="K579" s="28" t="n">
        <x:v>0.1351</x:v>
      </x:c>
      <x:c r="L579" s="26" t="n">
        <x:v>330.16</x:v>
      </x:c>
      <x:c r="M579" t="n">
        <x:v>0</x:v>
      </x:c>
      <x:c r="N579" s="26" t="n">
        <x:v>0</x:v>
      </x:c>
      <x:c r="O579" s="26" t="n">
        <x:v>45.21</x:v>
      </x:c>
      <x:c r="P579" s="26" t="n">
        <x:v>11</x:v>
      </x:c>
      <x:c r="Q579" s="26" t="n">
        <x:v>20.77</x:v>
      </x:c>
      <x:c r="R579" s="26" t="n">
        <x:v>25.66</x:v>
      </x:c>
      <x:c r="S579" s="26" t="n">
        <x:v>227.52</x:v>
      </x:c>
    </x:row>
    <x:row r="580">
      <x:c r="A580" t="n">
        <x:v>500577</x:v>
      </x:c>
      <x:c r="B580" s="24" t="n">
        <x:v>45774</x:v>
      </x:c>
      <x:c r="C580" t="n">
        <x:v>1057</x:v>
      </x:c>
      <x:c r="D580" t="str">
        <x:v>Seller 1057</x:v>
      </x:c>
      <x:c r="E580" t="str">
        <x:v>Bronze</x:v>
      </x:c>
      <x:c r="F580" t="str">
        <x:v>South</x:v>
      </x:c>
      <x:c r="G580" t="str">
        <x:v>Beauty</x:v>
      </x:c>
      <x:c r="H580" t="n">
        <x:v>1</x:v>
      </x:c>
      <x:c r="I580" s="26" t="n">
        <x:v>2418</x:v>
      </x:c>
      <x:c r="J580" s="26" t="n">
        <x:v>1492.2</x:v>
      </x:c>
      <x:c r="K580" s="28" t="n">
        <x:v>0.1533</x:v>
      </x:c>
      <x:c r="L580" s="26" t="n">
        <x:v>228.75</x:v>
      </x:c>
      <x:c r="M580" t="n">
        <x:v>0</x:v>
      </x:c>
      <x:c r="N580" s="26" t="n">
        <x:v>0</x:v>
      </x:c>
      <x:c r="O580" s="26" t="n">
        <x:v>27.61</x:v>
      </x:c>
      <x:c r="P580" s="26" t="n">
        <x:v>6.71</x:v>
      </x:c>
      <x:c r="Q580" s="26" t="n">
        <x:v>12.68</x:v>
      </x:c>
      <x:c r="R580" s="26" t="n">
        <x:v>15.67</x:v>
      </x:c>
      <x:c r="S580" s="26" t="n">
        <x:v>166.08</x:v>
      </x:c>
    </x:row>
    <x:row r="581">
      <x:c r="A581" t="n">
        <x:v>500578</x:v>
      </x:c>
      <x:c r="B581" s="24" t="n">
        <x:v>45762</x:v>
      </x:c>
      <x:c r="C581" t="n">
        <x:v>1042</x:v>
      </x:c>
      <x:c r="D581" t="str">
        <x:v>Seller 1042</x:v>
      </x:c>
      <x:c r="E581" t="str">
        <x:v>Silver</x:v>
      </x:c>
      <x:c r="F581" t="str">
        <x:v>East</x:v>
      </x:c>
      <x:c r="G581" t="str">
        <x:v>Pet Supplies</x:v>
      </x:c>
      <x:c r="H581" t="n">
        <x:v>2</x:v>
      </x:c>
      <x:c r="I581" s="26" t="n">
        <x:v>1492.8</x:v>
      </x:c>
      <x:c r="J581" s="26" t="n">
        <x:v>2615.4</x:v>
      </x:c>
      <x:c r="K581" s="28" t="n">
        <x:v>0.1384</x:v>
      </x:c>
      <x:c r="L581" s="26" t="n">
        <x:v>361.97</x:v>
      </x:c>
      <x:c r="M581" t="n">
        <x:v>0</x:v>
      </x:c>
      <x:c r="N581" s="26" t="n">
        <x:v>0</x:v>
      </x:c>
      <x:c r="O581" s="26" t="n">
        <x:v>48.38</x:v>
      </x:c>
      <x:c r="P581" s="26" t="n">
        <x:v>11.77</x:v>
      </x:c>
      <x:c r="Q581" s="26" t="n">
        <x:v>22.23</x:v>
      </x:c>
      <x:c r="R581" s="26" t="n">
        <x:v>27.46</x:v>
      </x:c>
      <x:c r="S581" s="26" t="n">
        <x:v>252.12</x:v>
      </x:c>
    </x:row>
    <x:row r="582">
      <x:c r="A582" t="n">
        <x:v>500579</x:v>
      </x:c>
      <x:c r="B582" s="24" t="n">
        <x:v>45757</x:v>
      </x:c>
      <x:c r="C582" t="n">
        <x:v>1058</x:v>
      </x:c>
      <x:c r="D582" t="str">
        <x:v>Seller 1058</x:v>
      </x:c>
      <x:c r="E582" t="str">
        <x:v>Bronze</x:v>
      </x:c>
      <x:c r="F582" t="str">
        <x:v>East</x:v>
      </x:c>
      <x:c r="G582" t="str">
        <x:v>Electronics</x:v>
      </x:c>
      <x:c r="H582" t="n">
        <x:v>2</x:v>
      </x:c>
      <x:c r="I582" s="26" t="n">
        <x:v>2385.6</x:v>
      </x:c>
      <x:c r="J582" s="26" t="n">
        <x:v>2944.2</x:v>
      </x:c>
      <x:c r="K582" s="28" t="n">
        <x:v>0.1273</x:v>
      </x:c>
      <x:c r="L582" s="26" t="n">
        <x:v>374.8</x:v>
      </x:c>
      <x:c r="M582" t="n">
        <x:v>0</x:v>
      </x:c>
      <x:c r="N582" s="26" t="n">
        <x:v>0</x:v>
      </x:c>
      <x:c r="O582" s="26" t="n">
        <x:v>54.47</x:v>
      </x:c>
      <x:c r="P582" s="26" t="n">
        <x:v>13.25</x:v>
      </x:c>
      <x:c r="Q582" s="26" t="n">
        <x:v>25.03</x:v>
      </x:c>
      <x:c r="R582" s="26" t="n">
        <x:v>30.91</x:v>
      </x:c>
      <x:c r="S582" s="26" t="n">
        <x:v>251.14</x:v>
      </x:c>
    </x:row>
    <x:row r="583">
      <x:c r="A583" t="n">
        <x:v>500580</x:v>
      </x:c>
      <x:c r="B583" s="24" t="n">
        <x:v>45756</x:v>
      </x:c>
      <x:c r="C583" t="n">
        <x:v>1001</x:v>
      </x:c>
      <x:c r="D583" t="str">
        <x:v>Seller 1001</x:v>
      </x:c>
      <x:c r="E583" t="str">
        <x:v>Platinum</x:v>
      </x:c>
      <x:c r="F583" t="str">
        <x:v>East</x:v>
      </x:c>
      <x:c r="G583" t="str">
        <x:v>Electronics</x:v>
      </x:c>
      <x:c r="H583" t="n">
        <x:v>2</x:v>
      </x:c>
      <x:c r="I583" s="26" t="n">
        <x:v>5698.2</x:v>
      </x:c>
      <x:c r="J583" s="26" t="n">
        <x:v>17581.8</x:v>
      </x:c>
      <x:c r="K583" s="28" t="n">
        <x:v>0.1135</x:v>
      </x:c>
      <x:c r="L583" s="26" t="n">
        <x:v>1995.53</x:v>
      </x:c>
      <x:c r="M583" t="n">
        <x:v>0</x:v>
      </x:c>
      <x:c r="N583" s="26" t="n">
        <x:v>0</x:v>
      </x:c>
      <x:c r="O583" s="26" t="n">
        <x:v>325.26</x:v>
      </x:c>
      <x:c r="P583" s="26" t="n">
        <x:v>79.12</x:v>
      </x:c>
      <x:c r="Q583" s="26" t="n">
        <x:v>149.45</x:v>
      </x:c>
      <x:c r="R583" s="26" t="n">
        <x:v>184.61</x:v>
      </x:c>
      <x:c r="S583" s="26" t="n">
        <x:v>1257.1</x:v>
      </x:c>
    </x:row>
    <x:row r="584">
      <x:c r="A584" t="n">
        <x:v>500581</x:v>
      </x:c>
      <x:c r="B584" s="24" t="n">
        <x:v>45756</x:v>
      </x:c>
      <x:c r="C584" t="n">
        <x:v>1071</x:v>
      </x:c>
      <x:c r="D584" t="str">
        <x:v>Seller 1071</x:v>
      </x:c>
      <x:c r="E584" t="str">
        <x:v>Bronze</x:v>
      </x:c>
      <x:c r="F584" t="str">
        <x:v>Central</x:v>
      </x:c>
      <x:c r="G584" t="str">
        <x:v>Sports</x:v>
      </x:c>
      <x:c r="H584" t="n">
        <x:v>1</x:v>
      </x:c>
      <x:c r="I584" s="26" t="n">
        <x:v>4356</x:v>
      </x:c>
      <x:c r="J584" s="26" t="n">
        <x:v>2688</x:v>
      </x:c>
      <x:c r="K584" s="28" t="n">
        <x:v>0.1183</x:v>
      </x:c>
      <x:c r="L584" s="26" t="n">
        <x:v>317.99</x:v>
      </x:c>
      <x:c r="M584" t="n">
        <x:v>0</x:v>
      </x:c>
      <x:c r="N584" s="26" t="n">
        <x:v>0</x:v>
      </x:c>
      <x:c r="O584" s="26" t="n">
        <x:v>49.73</x:v>
      </x:c>
      <x:c r="P584" s="26" t="n">
        <x:v>12.1</x:v>
      </x:c>
      <x:c r="Q584" s="26" t="n">
        <x:v>22.85</x:v>
      </x:c>
      <x:c r="R584" s="26" t="n">
        <x:v>28.22</x:v>
      </x:c>
      <x:c r="S584" s="26" t="n">
        <x:v>205.09</x:v>
      </x:c>
    </x:row>
    <x:row r="585">
      <x:c r="A585" t="n">
        <x:v>500582</x:v>
      </x:c>
      <x:c r="B585" s="24" t="n">
        <x:v>45771</x:v>
      </x:c>
      <x:c r="C585" t="n">
        <x:v>1047</x:v>
      </x:c>
      <x:c r="D585" t="str">
        <x:v>Seller 1047</x:v>
      </x:c>
      <x:c r="E585" t="str">
        <x:v>Silver</x:v>
      </x:c>
      <x:c r="F585" t="str">
        <x:v>East</x:v>
      </x:c>
      <x:c r="G585" t="str">
        <x:v>Home &amp; Kitchen</x:v>
      </x:c>
      <x:c r="H585" t="n">
        <x:v>2</x:v>
      </x:c>
      <x:c r="I585" s="26" t="n">
        <x:v>3174.6</x:v>
      </x:c>
      <x:c r="J585" s="26" t="n">
        <x:v>5560.8</x:v>
      </x:c>
      <x:c r="K585" s="28" t="n">
        <x:v>0.1252</x:v>
      </x:c>
      <x:c r="L585" s="26" t="n">
        <x:v>696.21</x:v>
      </x:c>
      <x:c r="M585" t="n">
        <x:v>0</x:v>
      </x:c>
      <x:c r="N585" s="26" t="n">
        <x:v>0</x:v>
      </x:c>
      <x:c r="O585" s="26" t="n">
        <x:v>102.87</x:v>
      </x:c>
      <x:c r="P585" s="26" t="n">
        <x:v>25.02</x:v>
      </x:c>
      <x:c r="Q585" s="26" t="n">
        <x:v>47.27</x:v>
      </x:c>
      <x:c r="R585" s="26" t="n">
        <x:v>58.39</x:v>
      </x:c>
      <x:c r="S585" s="26" t="n">
        <x:v>462.66</x:v>
      </x:c>
    </x:row>
    <x:row r="586">
      <x:c r="A586" t="n">
        <x:v>500583</x:v>
      </x:c>
      <x:c r="B586" s="24" t="n">
        <x:v>45777</x:v>
      </x:c>
      <x:c r="C586" t="n">
        <x:v>1010</x:v>
      </x:c>
      <x:c r="D586" t="str">
        <x:v>Seller 1010</x:v>
      </x:c>
      <x:c r="E586" t="str">
        <x:v>Platinum</x:v>
      </x:c>
      <x:c r="F586" t="str">
        <x:v>West</x:v>
      </x:c>
      <x:c r="G586" t="str">
        <x:v>Home &amp; Kitchen</x:v>
      </x:c>
      <x:c r="H586" t="n">
        <x:v>2</x:v>
      </x:c>
      <x:c r="I586" s="26" t="n">
        <x:v>2226</x:v>
      </x:c>
      <x:c r="J586" s="26" t="n">
        <x:v>6868.8</x:v>
      </x:c>
      <x:c r="K586" s="28" t="n">
        <x:v>0.1428</x:v>
      </x:c>
      <x:c r="L586" s="26" t="n">
        <x:v>980.86</x:v>
      </x:c>
      <x:c r="M586" t="n">
        <x:v>0</x:v>
      </x:c>
      <x:c r="N586" s="26" t="n">
        <x:v>0</x:v>
      </x:c>
      <x:c r="O586" s="26" t="n">
        <x:v>127.07</x:v>
      </x:c>
      <x:c r="P586" s="26" t="n">
        <x:v>30.91</x:v>
      </x:c>
      <x:c r="Q586" s="26" t="n">
        <x:v>58.38</x:v>
      </x:c>
      <x:c r="R586" s="26" t="n">
        <x:v>72.12</x:v>
      </x:c>
      <x:c r="S586" s="26" t="n">
        <x:v>692.38</x:v>
      </x:c>
    </x:row>
    <x:row r="587">
      <x:c r="A587" t="n">
        <x:v>500584</x:v>
      </x:c>
      <x:c r="B587" s="24" t="n">
        <x:v>45759</x:v>
      </x:c>
      <x:c r="C587" t="n">
        <x:v>1013</x:v>
      </x:c>
      <x:c r="D587" t="str">
        <x:v>Seller 1013</x:v>
      </x:c>
      <x:c r="E587" t="str">
        <x:v>Gold</x:v>
      </x:c>
      <x:c r="F587" t="str">
        <x:v>West</x:v>
      </x:c>
      <x:c r="G587" t="str">
        <x:v>Electronics</x:v>
      </x:c>
      <x:c r="H587" t="n">
        <x:v>2</x:v>
      </x:c>
      <x:c r="I587" s="26" t="n">
        <x:v>5421.6</x:v>
      </x:c>
      <x:c r="J587" s="26" t="n">
        <x:v>12411</x:v>
      </x:c>
      <x:c r="K587" s="28" t="n">
        <x:v>0.1268</x:v>
      </x:c>
      <x:c r="L587" s="26" t="n">
        <x:v>1573.71</x:v>
      </x:c>
      <x:c r="M587" t="n">
        <x:v>1</x:v>
      </x:c>
      <x:c r="N587" s="26" t="n">
        <x:v>11131.8</x:v>
      </x:c>
      <x:c r="O587" s="26" t="n">
        <x:v>229.6</x:v>
      </x:c>
      <x:c r="P587" s="26" t="n">
        <x:v>55.85</x:v>
      </x:c>
      <x:c r="Q587" s="26" t="n">
        <x:v>105.49</x:v>
      </x:c>
      <x:c r="R587" s="26" t="n">
        <x:v>130.32</x:v>
      </x:c>
      <x:c r="S587" s="26" t="n">
        <x:v>829.82</x:v>
      </x:c>
    </x:row>
    <x:row r="588">
      <x:c r="A588" t="n">
        <x:v>500585</x:v>
      </x:c>
      <x:c r="B588" s="24" t="n">
        <x:v>45748</x:v>
      </x:c>
      <x:c r="C588" t="n">
        <x:v>1056</x:v>
      </x:c>
      <x:c r="D588" t="str">
        <x:v>Seller 1056</x:v>
      </x:c>
      <x:c r="E588" t="str">
        <x:v>Bronze</x:v>
      </x:c>
      <x:c r="F588" t="str">
        <x:v>West</x:v>
      </x:c>
      <x:c r="G588" t="str">
        <x:v>Apparel</x:v>
      </x:c>
      <x:c r="H588" t="n">
        <x:v>3</x:v>
      </x:c>
      <x:c r="I588" s="26" t="n">
        <x:v>822</x:v>
      </x:c>
      <x:c r="J588" s="26" t="n">
        <x:v>1522.2</x:v>
      </x:c>
      <x:c r="K588" s="28" t="n">
        <x:v>0.1134</x:v>
      </x:c>
      <x:c r="L588" s="26" t="n">
        <x:v>172.62</x:v>
      </x:c>
      <x:c r="M588" t="n">
        <x:v>0</x:v>
      </x:c>
      <x:c r="N588" s="26" t="n">
        <x:v>0</x:v>
      </x:c>
      <x:c r="O588" s="26" t="n">
        <x:v>28.16</x:v>
      </x:c>
      <x:c r="P588" s="26" t="n">
        <x:v>6.85</x:v>
      </x:c>
      <x:c r="Q588" s="26" t="n">
        <x:v>12.94</x:v>
      </x:c>
      <x:c r="R588" s="26" t="n">
        <x:v>15.98</x:v>
      </x:c>
      <x:c r="S588" s="26" t="n">
        <x:v>108.69</x:v>
      </x:c>
    </x:row>
    <x:row r="589">
      <x:c r="A589" t="n">
        <x:v>500586</x:v>
      </x:c>
      <x:c r="B589" s="24" t="n">
        <x:v>45752</x:v>
      </x:c>
      <x:c r="C589" t="n">
        <x:v>1049</x:v>
      </x:c>
      <x:c r="D589" t="str">
        <x:v>Seller 1049</x:v>
      </x:c>
      <x:c r="E589" t="str">
        <x:v>Silver</x:v>
      </x:c>
      <x:c r="F589" t="str">
        <x:v>West</x:v>
      </x:c>
      <x:c r="G589" t="str">
        <x:v>Home &amp; Kitchen</x:v>
      </x:c>
      <x:c r="H589" t="n">
        <x:v>1</x:v>
      </x:c>
      <x:c r="I589" s="26" t="n">
        <x:v>4867.200000000001</x:v>
      </x:c>
      <x:c r="J589" s="26" t="n">
        <x:v>4263</x:v>
      </x:c>
      <x:c r="K589" s="28" t="n">
        <x:v>0.1366</x:v>
      </x:c>
      <x:c r="L589" s="26" t="n">
        <x:v>582.33</x:v>
      </x:c>
      <x:c r="M589" t="n">
        <x:v>0</x:v>
      </x:c>
      <x:c r="N589" s="26" t="n">
        <x:v>0</x:v>
      </x:c>
      <x:c r="O589" s="26" t="n">
        <x:v>78.87</x:v>
      </x:c>
      <x:c r="P589" s="26" t="n">
        <x:v>19.18</x:v>
      </x:c>
      <x:c r="Q589" s="26" t="n">
        <x:v>36.24</x:v>
      </x:c>
      <x:c r="R589" s="26" t="n">
        <x:v>44.76</x:v>
      </x:c>
      <x:c r="S589" s="26" t="n">
        <x:v>403.28</x:v>
      </x:c>
    </x:row>
    <x:row r="590">
      <x:c r="A590" t="n">
        <x:v>500587</x:v>
      </x:c>
      <x:c r="B590" s="24" t="n">
        <x:v>45761</x:v>
      </x:c>
      <x:c r="C590" t="n">
        <x:v>1007</x:v>
      </x:c>
      <x:c r="D590" t="str">
        <x:v>Seller 1007</x:v>
      </x:c>
      <x:c r="E590" t="str">
        <x:v>Platinum</x:v>
      </x:c>
      <x:c r="F590" t="str">
        <x:v>South</x:v>
      </x:c>
      <x:c r="G590" t="str">
        <x:v>Home &amp; Kitchen</x:v>
      </x:c>
      <x:c r="H590" t="n">
        <x:v>4</x:v>
      </x:c>
      <x:c r="I590" s="26" t="n">
        <x:v>1212.6000000000001</x:v>
      </x:c>
      <x:c r="J590" s="26" t="n">
        <x:v>7483.2</x:v>
      </x:c>
      <x:c r="K590" s="28" t="n">
        <x:v>0.1411</x:v>
      </x:c>
      <x:c r="L590" s="26" t="n">
        <x:v>1055.88</x:v>
      </x:c>
      <x:c r="M590" t="n">
        <x:v>0</x:v>
      </x:c>
      <x:c r="N590" s="26" t="n">
        <x:v>0</x:v>
      </x:c>
      <x:c r="O590" s="26" t="n">
        <x:v>138.44</x:v>
      </x:c>
      <x:c r="P590" s="26" t="n">
        <x:v>33.67</x:v>
      </x:c>
      <x:c r="Q590" s="26" t="n">
        <x:v>63.61</x:v>
      </x:c>
      <x:c r="R590" s="26" t="n">
        <x:v>78.57</x:v>
      </x:c>
      <x:c r="S590" s="26" t="n">
        <x:v>741.59</x:v>
      </x:c>
    </x:row>
    <x:row r="591">
      <x:c r="A591" t="n">
        <x:v>500588</x:v>
      </x:c>
      <x:c r="B591" s="24" t="n">
        <x:v>45750</x:v>
      </x:c>
      <x:c r="C591" t="n">
        <x:v>1038</x:v>
      </x:c>
      <x:c r="D591" t="str">
        <x:v>Seller 1038</x:v>
      </x:c>
      <x:c r="E591" t="str">
        <x:v>Silver</x:v>
      </x:c>
      <x:c r="F591" t="str">
        <x:v>South</x:v>
      </x:c>
      <x:c r="G591" t="str">
        <x:v>Home &amp; Kitchen</x:v>
      </x:c>
      <x:c r="H591" t="n">
        <x:v>2</x:v>
      </x:c>
      <x:c r="I591" s="26" t="n">
        <x:v>2580.6</x:v>
      </x:c>
      <x:c r="J591" s="26" t="n">
        <x:v>4520.4</x:v>
      </x:c>
      <x:c r="K591" s="28" t="n">
        <x:v>0.1367</x:v>
      </x:c>
      <x:c r="L591" s="26" t="n">
        <x:v>617.94</x:v>
      </x:c>
      <x:c r="M591" t="n">
        <x:v>0</x:v>
      </x:c>
      <x:c r="N591" s="26" t="n">
        <x:v>0</x:v>
      </x:c>
      <x:c r="O591" s="26" t="n">
        <x:v>83.63</x:v>
      </x:c>
      <x:c r="P591" s="26" t="n">
        <x:v>20.34</x:v>
      </x:c>
      <x:c r="Q591" s="26" t="n">
        <x:v>38.42</x:v>
      </x:c>
      <x:c r="R591" s="26" t="n">
        <x:v>47.46</x:v>
      </x:c>
      <x:c r="S591" s="26" t="n">
        <x:v>428.08</x:v>
      </x:c>
    </x:row>
    <x:row r="592">
      <x:c r="A592" t="n">
        <x:v>500589</x:v>
      </x:c>
      <x:c r="B592" s="24" t="n">
        <x:v>45768</x:v>
      </x:c>
      <x:c r="C592" t="n">
        <x:v>1052</x:v>
      </x:c>
      <x:c r="D592" t="str">
        <x:v>Seller 1052</x:v>
      </x:c>
      <x:c r="E592" t="str">
        <x:v>Silver</x:v>
      </x:c>
      <x:c r="F592" t="str">
        <x:v>Central</x:v>
      </x:c>
      <x:c r="G592" t="str">
        <x:v>Pet Supplies</x:v>
      </x:c>
      <x:c r="H592" t="n">
        <x:v>2</x:v>
      </x:c>
      <x:c r="I592" s="26" t="n">
        <x:v>1429.8</x:v>
      </x:c>
      <x:c r="J592" s="26" t="n">
        <x:v>2504.4</x:v>
      </x:c>
      <x:c r="K592" s="28" t="n">
        <x:v>0.1232</x:v>
      </x:c>
      <x:c r="L592" s="26" t="n">
        <x:v>308.54</x:v>
      </x:c>
      <x:c r="M592" t="n">
        <x:v>0</x:v>
      </x:c>
      <x:c r="N592" s="26" t="n">
        <x:v>0</x:v>
      </x:c>
      <x:c r="O592" s="26" t="n">
        <x:v>46.33</x:v>
      </x:c>
      <x:c r="P592" s="26" t="n">
        <x:v>11.27</x:v>
      </x:c>
      <x:c r="Q592" s="26" t="n">
        <x:v>21.29</x:v>
      </x:c>
      <x:c r="R592" s="26" t="n">
        <x:v>26.3</x:v>
      </x:c>
      <x:c r="S592" s="26" t="n">
        <x:v>203.36</x:v>
      </x:c>
    </x:row>
    <x:row r="593">
      <x:c r="A593" t="n">
        <x:v>500590</x:v>
      </x:c>
      <x:c r="B593" s="24" t="n">
        <x:v>45758</x:v>
      </x:c>
      <x:c r="C593" t="n">
        <x:v>1074</x:v>
      </x:c>
      <x:c r="D593" t="str">
        <x:v>Seller 1074</x:v>
      </x:c>
      <x:c r="E593" t="str">
        <x:v>Bronze</x:v>
      </x:c>
      <x:c r="F593" t="str">
        <x:v>East</x:v>
      </x:c>
      <x:c r="G593" t="str">
        <x:v>Electronics</x:v>
      </x:c>
      <x:c r="H593" t="n">
        <x:v>1</x:v>
      </x:c>
      <x:c r="I593" s="26" t="n">
        <x:v>7944</x:v>
      </x:c>
      <x:c r="J593" s="26" t="n">
        <x:v>4902</x:v>
      </x:c>
      <x:c r="K593" s="28" t="n">
        <x:v>0.1189</x:v>
      </x:c>
      <x:c r="L593" s="26" t="n">
        <x:v>582.85</x:v>
      </x:c>
      <x:c r="M593" t="n">
        <x:v>0</x:v>
      </x:c>
      <x:c r="N593" s="26" t="n">
        <x:v>0</x:v>
      </x:c>
      <x:c r="O593" s="26" t="n">
        <x:v>90.69</x:v>
      </x:c>
      <x:c r="P593" s="26" t="n">
        <x:v>22.06</x:v>
      </x:c>
      <x:c r="Q593" s="26" t="n">
        <x:v>41.67</x:v>
      </x:c>
      <x:c r="R593" s="26" t="n">
        <x:v>51.47</x:v>
      </x:c>
      <x:c r="S593" s="26" t="n">
        <x:v>376.96</x:v>
      </x:c>
    </x:row>
    <x:row r="594">
      <x:c r="A594" t="n">
        <x:v>500591</x:v>
      </x:c>
      <x:c r="B594" s="24" t="n">
        <x:v>45748</x:v>
      </x:c>
      <x:c r="C594" t="n">
        <x:v>1074</x:v>
      </x:c>
      <x:c r="D594" t="str">
        <x:v>Seller 1074</x:v>
      </x:c>
      <x:c r="E594" t="str">
        <x:v>Bronze</x:v>
      </x:c>
      <x:c r="F594" t="str">
        <x:v>East</x:v>
      </x:c>
      <x:c r="G594" t="str">
        <x:v>Electronics</x:v>
      </x:c>
      <x:c r="H594" t="n">
        <x:v>2</x:v>
      </x:c>
      <x:c r="I594" s="26" t="n">
        <x:v>3706.2000000000003</x:v>
      </x:c>
      <x:c r="J594" s="26" t="n">
        <x:v>4573.8</x:v>
      </x:c>
      <x:c r="K594" s="28" t="n">
        <x:v>0.1214</x:v>
      </x:c>
      <x:c r="L594" s="26" t="n">
        <x:v>555.26</x:v>
      </x:c>
      <x:c r="M594" t="n">
        <x:v>0</x:v>
      </x:c>
      <x:c r="N594" s="26" t="n">
        <x:v>0</x:v>
      </x:c>
      <x:c r="O594" s="26" t="n">
        <x:v>84.62</x:v>
      </x:c>
      <x:c r="P594" s="26" t="n">
        <x:v>20.58</x:v>
      </x:c>
      <x:c r="Q594" s="26" t="n">
        <x:v>38.88</x:v>
      </x:c>
      <x:c r="R594" s="26" t="n">
        <x:v>48.02</x:v>
      </x:c>
      <x:c r="S594" s="26" t="n">
        <x:v>363.16</x:v>
      </x:c>
    </x:row>
    <x:row r="595">
      <x:c r="A595" t="n">
        <x:v>500592</x:v>
      </x:c>
      <x:c r="B595" s="24" t="n">
        <x:v>45777</x:v>
      </x:c>
      <x:c r="C595" t="n">
        <x:v>1040</x:v>
      </x:c>
      <x:c r="D595" t="str">
        <x:v>Seller 1040</x:v>
      </x:c>
      <x:c r="E595" t="str">
        <x:v>Silver</x:v>
      </x:c>
      <x:c r="F595" t="str">
        <x:v>West</x:v>
      </x:c>
      <x:c r="G595" t="str">
        <x:v>Pet Supplies</x:v>
      </x:c>
      <x:c r="H595" t="n">
        <x:v>1</x:v>
      </x:c>
      <x:c r="I595" s="26" t="n">
        <x:v>3495.6</x:v>
      </x:c>
      <x:c r="J595" s="26" t="n">
        <x:v>3061.8</x:v>
      </x:c>
      <x:c r="K595" s="28" t="n">
        <x:v>0.1393</x:v>
      </x:c>
      <x:c r="L595" s="26" t="n">
        <x:v>426.51</x:v>
      </x:c>
      <x:c r="M595" t="n">
        <x:v>0</x:v>
      </x:c>
      <x:c r="N595" s="26" t="n">
        <x:v>0</x:v>
      </x:c>
      <x:c r="O595" s="26" t="n">
        <x:v>56.64</x:v>
      </x:c>
      <x:c r="P595" s="26" t="n">
        <x:v>13.78</x:v>
      </x:c>
      <x:c r="Q595" s="26" t="n">
        <x:v>26.03</x:v>
      </x:c>
      <x:c r="R595" s="26" t="n">
        <x:v>32.15</x:v>
      </x:c>
      <x:c r="S595" s="26" t="n">
        <x:v>297.91</x:v>
      </x:c>
    </x:row>
    <x:row r="596">
      <x:c r="A596" t="n">
        <x:v>500593</x:v>
      </x:c>
      <x:c r="B596" s="24" t="n">
        <x:v>45767</x:v>
      </x:c>
      <x:c r="C596" t="n">
        <x:v>1030</x:v>
      </x:c>
      <x:c r="D596" t="str">
        <x:v>Seller 1030</x:v>
      </x:c>
      <x:c r="E596" t="str">
        <x:v>Gold</x:v>
      </x:c>
      <x:c r="F596" t="str">
        <x:v>South</x:v>
      </x:c>
      <x:c r="G596" t="str">
        <x:v>Pet Supplies</x:v>
      </x:c>
      <x:c r="H596" t="n">
        <x:v>1</x:v>
      </x:c>
      <x:c r="I596" s="26" t="n">
        <x:v>3419.4</x:v>
      </x:c>
      <x:c r="J596" s="26" t="n">
        <x:v>3913.8</x:v>
      </x:c>
      <x:c r="K596" s="28" t="n">
        <x:v>0.1405</x:v>
      </x:c>
      <x:c r="L596" s="26" t="n">
        <x:v>549.89</x:v>
      </x:c>
      <x:c r="M596" t="n">
        <x:v>0</x:v>
      </x:c>
      <x:c r="N596" s="26" t="n">
        <x:v>0</x:v>
      </x:c>
      <x:c r="O596" s="26" t="n">
        <x:v>72.41</x:v>
      </x:c>
      <x:c r="P596" s="26" t="n">
        <x:v>17.61</x:v>
      </x:c>
      <x:c r="Q596" s="26" t="n">
        <x:v>33.27</x:v>
      </x:c>
      <x:c r="R596" s="26" t="n">
        <x:v>41.09</x:v>
      </x:c>
      <x:c r="S596" s="26" t="n">
        <x:v>385.51</x:v>
      </x:c>
    </x:row>
    <x:row r="597">
      <x:c r="A597" t="n">
        <x:v>500594</x:v>
      </x:c>
      <x:c r="B597" s="24" t="n">
        <x:v>45754</x:v>
      </x:c>
      <x:c r="C597" t="n">
        <x:v>1019</x:v>
      </x:c>
      <x:c r="D597" t="str">
        <x:v>Seller 1019</x:v>
      </x:c>
      <x:c r="E597" t="str">
        <x:v>Gold</x:v>
      </x:c>
      <x:c r="F597" t="str">
        <x:v>East</x:v>
      </x:c>
      <x:c r="G597" t="str">
        <x:v>Beauty</x:v>
      </x:c>
      <x:c r="H597" t="n">
        <x:v>3</x:v>
      </x:c>
      <x:c r="I597" s="26" t="n">
        <x:v>907.8000000000001</x:v>
      </x:c>
      <x:c r="J597" s="26" t="n">
        <x:v>3118.2</x:v>
      </x:c>
      <x:c r="K597" s="28" t="n">
        <x:v>0.1357</x:v>
      </x:c>
      <x:c r="L597" s="26" t="n">
        <x:v>423.14</x:v>
      </x:c>
      <x:c r="M597" t="n">
        <x:v>0</x:v>
      </x:c>
      <x:c r="N597" s="26" t="n">
        <x:v>0</x:v>
      </x:c>
      <x:c r="O597" s="26" t="n">
        <x:v>57.69</x:v>
      </x:c>
      <x:c r="P597" s="26" t="n">
        <x:v>14.03</x:v>
      </x:c>
      <x:c r="Q597" s="26" t="n">
        <x:v>26.5</x:v>
      </x:c>
      <x:c r="R597" s="26" t="n">
        <x:v>32.74</x:v>
      </x:c>
      <x:c r="S597" s="26" t="n">
        <x:v>292.18</x:v>
      </x:c>
    </x:row>
    <x:row r="598">
      <x:c r="A598" t="n">
        <x:v>500595</x:v>
      </x:c>
      <x:c r="B598" s="24" t="n">
        <x:v>45770</x:v>
      </x:c>
      <x:c r="C598" t="n">
        <x:v>1069</x:v>
      </x:c>
      <x:c r="D598" t="str">
        <x:v>Seller 1069</x:v>
      </x:c>
      <x:c r="E598" t="str">
        <x:v>Bronze</x:v>
      </x:c>
      <x:c r="F598" t="str">
        <x:v>East</x:v>
      </x:c>
      <x:c r="G598" t="str">
        <x:v>Electronics</x:v>
      </x:c>
      <x:c r="H598" t="n">
        <x:v>1</x:v>
      </x:c>
      <x:c r="I598" s="26" t="n">
        <x:v>8366.4</x:v>
      </x:c>
      <x:c r="J598" s="26" t="n">
        <x:v>5163</x:v>
      </x:c>
      <x:c r="K598" s="28" t="n">
        <x:v>0.1262</x:v>
      </x:c>
      <x:c r="L598" s="26" t="n">
        <x:v>651.57</x:v>
      </x:c>
      <x:c r="M598" t="n">
        <x:v>0</x:v>
      </x:c>
      <x:c r="N598" s="26" t="n">
        <x:v>0</x:v>
      </x:c>
      <x:c r="O598" s="26" t="n">
        <x:v>95.52</x:v>
      </x:c>
      <x:c r="P598" s="26" t="n">
        <x:v>23.23</x:v>
      </x:c>
      <x:c r="Q598" s="26" t="n">
        <x:v>43.89</x:v>
      </x:c>
      <x:c r="R598" s="26" t="n">
        <x:v>54.21</x:v>
      </x:c>
      <x:c r="S598" s="26" t="n">
        <x:v>434.72</x:v>
      </x:c>
    </x:row>
    <x:row r="599">
      <x:c r="A599" t="n">
        <x:v>500596</x:v>
      </x:c>
      <x:c r="B599" s="24" t="n">
        <x:v>45770</x:v>
      </x:c>
      <x:c r="C599" t="n">
        <x:v>1003</x:v>
      </x:c>
      <x:c r="D599" t="str">
        <x:v>Seller 1003</x:v>
      </x:c>
      <x:c r="E599" t="str">
        <x:v>Platinum</x:v>
      </x:c>
      <x:c r="F599" t="str">
        <x:v>East</x:v>
      </x:c>
      <x:c r="G599" t="str">
        <x:v>Pet Supplies</x:v>
      </x:c>
      <x:c r="H599" t="n">
        <x:v>3</x:v>
      </x:c>
      <x:c r="I599" s="26" t="n">
        <x:v>870</x:v>
      </x:c>
      <x:c r="J599" s="26" t="n">
        <x:v>4026.6</x:v>
      </x:c>
      <x:c r="K599" s="28" t="n">
        <x:v>0.1261</x:v>
      </x:c>
      <x:c r="L599" s="26" t="n">
        <x:v>507.75</x:v>
      </x:c>
      <x:c r="M599" t="n">
        <x:v>0</x:v>
      </x:c>
      <x:c r="N599" s="26" t="n">
        <x:v>0</x:v>
      </x:c>
      <x:c r="O599" s="26" t="n">
        <x:v>74.49</x:v>
      </x:c>
      <x:c r="P599" s="26" t="n">
        <x:v>18.12</x:v>
      </x:c>
      <x:c r="Q599" s="26" t="n">
        <x:v>34.23</x:v>
      </x:c>
      <x:c r="R599" s="26" t="n">
        <x:v>42.28</x:v>
      </x:c>
      <x:c r="S599" s="26" t="n">
        <x:v>338.64</x:v>
      </x:c>
    </x:row>
    <x:row r="600">
      <x:c r="A600" t="n">
        <x:v>500597</x:v>
      </x:c>
      <x:c r="B600" s="24" t="n">
        <x:v>45777</x:v>
      </x:c>
      <x:c r="C600" t="n">
        <x:v>1080</x:v>
      </x:c>
      <x:c r="D600" t="str">
        <x:v>Seller 1080</x:v>
      </x:c>
      <x:c r="E600" t="str">
        <x:v>Bronze</x:v>
      </x:c>
      <x:c r="F600" t="str">
        <x:v>South</x:v>
      </x:c>
      <x:c r="G600" t="str">
        <x:v>Beauty</x:v>
      </x:c>
      <x:c r="H600" t="n">
        <x:v>1</x:v>
      </x:c>
      <x:c r="I600" s="26" t="n">
        <x:v>2751</x:v>
      </x:c>
      <x:c r="J600" s="26" t="n">
        <x:v>1698</x:v>
      </x:c>
      <x:c r="K600" s="28" t="n">
        <x:v>0.1346</x:v>
      </x:c>
      <x:c r="L600" s="26" t="n">
        <x:v>228.55</x:v>
      </x:c>
      <x:c r="M600" t="n">
        <x:v>0</x:v>
      </x:c>
      <x:c r="N600" s="26" t="n">
        <x:v>0</x:v>
      </x:c>
      <x:c r="O600" s="26" t="n">
        <x:v>31.41</x:v>
      </x:c>
      <x:c r="P600" s="26" t="n">
        <x:v>7.64</x:v>
      </x:c>
      <x:c r="Q600" s="26" t="n">
        <x:v>14.43</x:v>
      </x:c>
      <x:c r="R600" s="26" t="n">
        <x:v>17.83</x:v>
      </x:c>
      <x:c r="S600" s="26" t="n">
        <x:v>157.23</x:v>
      </x:c>
    </x:row>
    <x:row r="601">
      <x:c r="A601" t="n">
        <x:v>500598</x:v>
      </x:c>
      <x:c r="B601" s="24" t="n">
        <x:v>45770</x:v>
      </x:c>
      <x:c r="C601" t="n">
        <x:v>1047</x:v>
      </x:c>
      <x:c r="D601" t="str">
        <x:v>Seller 1047</x:v>
      </x:c>
      <x:c r="E601" t="str">
        <x:v>Silver</x:v>
      </x:c>
      <x:c r="F601" t="str">
        <x:v>East</x:v>
      </x:c>
      <x:c r="G601" t="str">
        <x:v>Electronics</x:v>
      </x:c>
      <x:c r="H601" t="n">
        <x:v>2</x:v>
      </x:c>
      <x:c r="I601" s="26" t="n">
        <x:v>5742</x:v>
      </x:c>
      <x:c r="J601" s="26" t="n">
        <x:v>10058.4</x:v>
      </x:c>
      <x:c r="K601" s="28" t="n">
        <x:v>0.1223</x:v>
      </x:c>
      <x:c r="L601" s="26" t="n">
        <x:v>1230.14</x:v>
      </x:c>
      <x:c r="M601" t="n">
        <x:v>0</x:v>
      </x:c>
      <x:c r="N601" s="26" t="n">
        <x:v>0</x:v>
      </x:c>
      <x:c r="O601" s="26" t="n">
        <x:v>186.08</x:v>
      </x:c>
      <x:c r="P601" s="26" t="n">
        <x:v>45.26</x:v>
      </x:c>
      <x:c r="Q601" s="26" t="n">
        <x:v>85.5</x:v>
      </x:c>
      <x:c r="R601" s="26" t="n">
        <x:v>105.61</x:v>
      </x:c>
      <x:c r="S601" s="26" t="n">
        <x:v>807.69</x:v>
      </x:c>
    </x:row>
    <x:row r="602">
      <x:c r="A602" t="n">
        <x:v>500599</x:v>
      </x:c>
      <x:c r="B602" s="24" t="n">
        <x:v>45777</x:v>
      </x:c>
      <x:c r="C602" t="n">
        <x:v>1013</x:v>
      </x:c>
      <x:c r="D602" t="str">
        <x:v>Seller 1013</x:v>
      </x:c>
      <x:c r="E602" t="str">
        <x:v>Gold</x:v>
      </x:c>
      <x:c r="F602" t="str">
        <x:v>West</x:v>
      </x:c>
      <x:c r="G602" t="str">
        <x:v>Apparel</x:v>
      </x:c>
      <x:c r="H602" t="n">
        <x:v>3</x:v>
      </x:c>
      <x:c r="I602" s="26" t="n">
        <x:v>998.9999999999999</x:v>
      </x:c>
      <x:c r="J602" s="26" t="n">
        <x:v>3430.8</x:v>
      </x:c>
      <x:c r="K602" s="28" t="n">
        <x:v>0.1125</x:v>
      </x:c>
      <x:c r="L602" s="26" t="n">
        <x:v>385.97</x:v>
      </x:c>
      <x:c r="M602" t="n">
        <x:v>0</x:v>
      </x:c>
      <x:c r="N602" s="26" t="n">
        <x:v>0</x:v>
      </x:c>
      <x:c r="O602" s="26" t="n">
        <x:v>63.47</x:v>
      </x:c>
      <x:c r="P602" s="26" t="n">
        <x:v>15.44</x:v>
      </x:c>
      <x:c r="Q602" s="26" t="n">
        <x:v>29.16</x:v>
      </x:c>
      <x:c r="R602" s="26" t="n">
        <x:v>36.02</x:v>
      </x:c>
      <x:c r="S602" s="26" t="n">
        <x:v>241.87</x:v>
      </x:c>
    </x:row>
    <x:row r="603">
      <x:c r="A603" t="n">
        <x:v>500600</x:v>
      </x:c>
      <x:c r="B603" s="24" t="n">
        <x:v>45759</x:v>
      </x:c>
      <x:c r="C603" t="n">
        <x:v>1003</x:v>
      </x:c>
      <x:c r="D603" t="str">
        <x:v>Seller 1003</x:v>
      </x:c>
      <x:c r="E603" t="str">
        <x:v>Platinum</x:v>
      </x:c>
      <x:c r="F603" t="str">
        <x:v>East</x:v>
      </x:c>
      <x:c r="G603" t="str">
        <x:v>Pet Supplies</x:v>
      </x:c>
      <x:c r="H603" t="n">
        <x:v>3</x:v>
      </x:c>
      <x:c r="I603" s="26" t="n">
        <x:v>940.2</x:v>
      </x:c>
      <x:c r="J603" s="26" t="n">
        <x:v>4351.2</x:v>
      </x:c>
      <x:c r="K603" s="28" t="n">
        <x:v>0.1318</x:v>
      </x:c>
      <x:c r="L603" s="26" t="n">
        <x:v>573.49</x:v>
      </x:c>
      <x:c r="M603" t="n">
        <x:v>1</x:v>
      </x:c>
      <x:c r="N603" s="26" t="n">
        <x:v>3733.2</x:v>
      </x:c>
      <x:c r="O603" s="26" t="n">
        <x:v>80.5</x:v>
      </x:c>
      <x:c r="P603" s="26" t="n">
        <x:v>19.58</x:v>
      </x:c>
      <x:c r="Q603" s="26" t="n">
        <x:v>36.99</x:v>
      </x:c>
      <x:c r="R603" s="26" t="n">
        <x:v>45.69</x:v>
      </x:c>
      <x:c r="S603" s="26" t="n">
        <x:v>316.07</x:v>
      </x:c>
    </x:row>
    <x:row r="604">
      <x:c r="A604" t="n">
        <x:v>500601</x:v>
      </x:c>
      <x:c r="B604" s="24" t="n">
        <x:v>45776</x:v>
      </x:c>
      <x:c r="C604" t="n">
        <x:v>1039</x:v>
      </x:c>
      <x:c r="D604" t="str">
        <x:v>Seller 1039</x:v>
      </x:c>
      <x:c r="E604" t="str">
        <x:v>Silver</x:v>
      </x:c>
      <x:c r="F604" t="str">
        <x:v>East</x:v>
      </x:c>
      <x:c r="G604" t="str">
        <x:v>Pet Supplies</x:v>
      </x:c>
      <x:c r="H604" t="n">
        <x:v>3</x:v>
      </x:c>
      <x:c r="I604" s="26" t="n">
        <x:v>999.6</x:v>
      </x:c>
      <x:c r="J604" s="26" t="n">
        <x:v>2627.4</x:v>
      </x:c>
      <x:c r="K604" s="28" t="n">
        <x:v>0.1395</x:v>
      </x:c>
      <x:c r="L604" s="26" t="n">
        <x:v>366.52</x:v>
      </x:c>
      <x:c r="M604" t="n">
        <x:v>0</x:v>
      </x:c>
      <x:c r="N604" s="26" t="n">
        <x:v>0</x:v>
      </x:c>
      <x:c r="O604" s="26" t="n">
        <x:v>48.61</x:v>
      </x:c>
      <x:c r="P604" s="26" t="n">
        <x:v>11.82</x:v>
      </x:c>
      <x:c r="Q604" s="26" t="n">
        <x:v>22.33</x:v>
      </x:c>
      <x:c r="R604" s="26" t="n">
        <x:v>27.59</x:v>
      </x:c>
      <x:c r="S604" s="26" t="n">
        <x:v>256.17</x:v>
      </x:c>
    </x:row>
    <x:row r="605">
      <x:c r="A605" t="n">
        <x:v>500602</x:v>
      </x:c>
      <x:c r="B605" s="24" t="n">
        <x:v>45764</x:v>
      </x:c>
      <x:c r="C605" t="n">
        <x:v>1004</x:v>
      </x:c>
      <x:c r="D605" t="str">
        <x:v>Seller 1004</x:v>
      </x:c>
      <x:c r="E605" t="str">
        <x:v>Platinum</x:v>
      </x:c>
      <x:c r="F605" t="str">
        <x:v>East</x:v>
      </x:c>
      <x:c r="G605" t="str">
        <x:v>Beauty</x:v>
      </x:c>
      <x:c r="H605" t="n">
        <x:v>2</x:v>
      </x:c>
      <x:c r="I605" s="26" t="n">
        <x:v>1510.8</x:v>
      </x:c>
      <x:c r="J605" s="26" t="n">
        <x:v>4662</x:v>
      </x:c>
      <x:c r="K605" s="28" t="n">
        <x:v>0.1424</x:v>
      </x:c>
      <x:c r="L605" s="26" t="n">
        <x:v>663.87</x:v>
      </x:c>
      <x:c r="M605" t="n">
        <x:v>0</x:v>
      </x:c>
      <x:c r="N605" s="26" t="n">
        <x:v>0</x:v>
      </x:c>
      <x:c r="O605" s="26" t="n">
        <x:v>86.25</x:v>
      </x:c>
      <x:c r="P605" s="26" t="n">
        <x:v>20.98</x:v>
      </x:c>
      <x:c r="Q605" s="26" t="n">
        <x:v>39.63</x:v>
      </x:c>
      <x:c r="R605" s="26" t="n">
        <x:v>48.95</x:v>
      </x:c>
      <x:c r="S605" s="26" t="n">
        <x:v>468.06</x:v>
      </x:c>
    </x:row>
    <x:row r="606">
      <x:c r="A606" t="n">
        <x:v>500603</x:v>
      </x:c>
      <x:c r="B606" s="24" t="n">
        <x:v>45758</x:v>
      </x:c>
      <x:c r="C606" t="n">
        <x:v>1079</x:v>
      </x:c>
      <x:c r="D606" t="str">
        <x:v>Seller 1079</x:v>
      </x:c>
      <x:c r="E606" t="str">
        <x:v>Bronze</x:v>
      </x:c>
      <x:c r="F606" t="str">
        <x:v>South</x:v>
      </x:c>
      <x:c r="G606" t="str">
        <x:v>Pet Supplies</x:v>
      </x:c>
      <x:c r="H606" t="n">
        <x:v>2</x:v>
      </x:c>
      <x:c r="I606" s="26" t="n">
        <x:v>1743</x:v>
      </x:c>
      <x:c r="J606" s="26" t="n">
        <x:v>2151.6</x:v>
      </x:c>
      <x:c r="K606" s="28" t="n">
        <x:v>0.1237</x:v>
      </x:c>
      <x:c r="L606" s="26" t="n">
        <x:v>266.15</x:v>
      </x:c>
      <x:c r="M606" t="n">
        <x:v>0</x:v>
      </x:c>
      <x:c r="N606" s="26" t="n">
        <x:v>0</x:v>
      </x:c>
      <x:c r="O606" s="26" t="n">
        <x:v>39.8</x:v>
      </x:c>
      <x:c r="P606" s="26" t="n">
        <x:v>9.68</x:v>
      </x:c>
      <x:c r="Q606" s="26" t="n">
        <x:v>18.29</x:v>
      </x:c>
      <x:c r="R606" s="26" t="n">
        <x:v>22.59</x:v>
      </x:c>
      <x:c r="S606" s="26" t="n">
        <x:v>175.79</x:v>
      </x:c>
    </x:row>
    <x:row r="607">
      <x:c r="A607" t="n">
        <x:v>500604</x:v>
      </x:c>
      <x:c r="B607" s="24" t="n">
        <x:v>45757</x:v>
      </x:c>
      <x:c r="C607" t="n">
        <x:v>1058</x:v>
      </x:c>
      <x:c r="D607" t="str">
        <x:v>Seller 1058</x:v>
      </x:c>
      <x:c r="E607" t="str">
        <x:v>Bronze</x:v>
      </x:c>
      <x:c r="F607" t="str">
        <x:v>East</x:v>
      </x:c>
      <x:c r="G607" t="str">
        <x:v>Beauty</x:v>
      </x:c>
      <x:c r="H607" t="n">
        <x:v>2</x:v>
      </x:c>
      <x:c r="I607" s="26" t="n">
        <x:v>1431</x:v>
      </x:c>
      <x:c r="J607" s="26" t="n">
        <x:v>1766.4</x:v>
      </x:c>
      <x:c r="K607" s="28" t="n">
        <x:v>0.146</x:v>
      </x:c>
      <x:c r="L607" s="26" t="n">
        <x:v>257.89</x:v>
      </x:c>
      <x:c r="M607" t="n">
        <x:v>0</x:v>
      </x:c>
      <x:c r="N607" s="26" t="n">
        <x:v>0</x:v>
      </x:c>
      <x:c r="O607" s="26" t="n">
        <x:v>32.68</x:v>
      </x:c>
      <x:c r="P607" s="26" t="n">
        <x:v>7.95</x:v>
      </x:c>
      <x:c r="Q607" s="26" t="n">
        <x:v>15.01</x:v>
      </x:c>
      <x:c r="R607" s="26" t="n">
        <x:v>18.55</x:v>
      </x:c>
      <x:c r="S607" s="26" t="n">
        <x:v>183.71</x:v>
      </x:c>
    </x:row>
    <x:row r="608">
      <x:c r="A608" t="n">
        <x:v>500605</x:v>
      </x:c>
      <x:c r="B608" s="24" t="n">
        <x:v>45758</x:v>
      </x:c>
      <x:c r="C608" t="n">
        <x:v>1068</x:v>
      </x:c>
      <x:c r="D608" t="str">
        <x:v>Seller 1068</x:v>
      </x:c>
      <x:c r="E608" t="str">
        <x:v>Bronze</x:v>
      </x:c>
      <x:c r="F608" t="str">
        <x:v>South</x:v>
      </x:c>
      <x:c r="G608" t="str">
        <x:v>Apparel</x:v>
      </x:c>
      <x:c r="H608" t="n">
        <x:v>5</x:v>
      </x:c>
      <x:c r="I608" s="26" t="n">
        <x:v>745.2</x:v>
      </x:c>
      <x:c r="J608" s="26" t="n">
        <x:v>2299.8</x:v>
      </x:c>
      <x:c r="K608" s="28" t="n">
        <x:v>0.1115</x:v>
      </x:c>
      <x:c r="L608" s="26" t="n">
        <x:v>256.43</x:v>
      </x:c>
      <x:c r="M608" t="n">
        <x:v>0</x:v>
      </x:c>
      <x:c r="N608" s="26" t="n">
        <x:v>0</x:v>
      </x:c>
      <x:c r="O608" s="26" t="n">
        <x:v>42.55</x:v>
      </x:c>
      <x:c r="P608" s="26" t="n">
        <x:v>10.35</x:v>
      </x:c>
      <x:c r="Q608" s="26" t="n">
        <x:v>19.55</x:v>
      </x:c>
      <x:c r="R608" s="26" t="n">
        <x:v>24.15</x:v>
      </x:c>
      <x:c r="S608" s="26" t="n">
        <x:v>159.84</x:v>
      </x:c>
    </x:row>
    <x:row r="609">
      <x:c r="A609" t="n">
        <x:v>500606</x:v>
      </x:c>
      <x:c r="B609" s="24" t="n">
        <x:v>45772</x:v>
      </x:c>
      <x:c r="C609" t="n">
        <x:v>1009</x:v>
      </x:c>
      <x:c r="D609" t="str">
        <x:v>Seller 1009</x:v>
      </x:c>
      <x:c r="E609" t="str">
        <x:v>Platinum</x:v>
      </x:c>
      <x:c r="F609" t="str">
        <x:v>Central</x:v>
      </x:c>
      <x:c r="G609" t="str">
        <x:v>Pet Supplies</x:v>
      </x:c>
      <x:c r="H609" t="n">
        <x:v>3</x:v>
      </x:c>
      <x:c r="I609" s="26" t="n">
        <x:v>1000.2</x:v>
      </x:c>
      <x:c r="J609" s="26" t="n">
        <x:v>4629.6</x:v>
      </x:c>
      <x:c r="K609" s="28" t="n">
        <x:v>0.1276</x:v>
      </x:c>
      <x:c r="L609" s="26" t="n">
        <x:v>590.74</x:v>
      </x:c>
      <x:c r="M609" t="n">
        <x:v>0</x:v>
      </x:c>
      <x:c r="N609" s="26" t="n">
        <x:v>0</x:v>
      </x:c>
      <x:c r="O609" s="26" t="n">
        <x:v>85.65</x:v>
      </x:c>
      <x:c r="P609" s="26" t="n">
        <x:v>20.83</x:v>
      </x:c>
      <x:c r="Q609" s="26" t="n">
        <x:v>39.35</x:v>
      </x:c>
      <x:c r="R609" s="26" t="n">
        <x:v>48.61</x:v>
      </x:c>
      <x:c r="S609" s="26" t="n">
        <x:v>396.29</x:v>
      </x:c>
    </x:row>
    <x:row r="610">
      <x:c r="A610" t="n">
        <x:v>500607</x:v>
      </x:c>
      <x:c r="B610" s="24" t="n">
        <x:v>45771</x:v>
      </x:c>
      <x:c r="C610" t="n">
        <x:v>1041</x:v>
      </x:c>
      <x:c r="D610" t="str">
        <x:v>Seller 1041</x:v>
      </x:c>
      <x:c r="E610" t="str">
        <x:v>Silver</x:v>
      </x:c>
      <x:c r="F610" t="str">
        <x:v>West</x:v>
      </x:c>
      <x:c r="G610" t="str">
        <x:v>Apparel</x:v>
      </x:c>
      <x:c r="H610" t="n">
        <x:v>3</x:v>
      </x:c>
      <x:c r="I610" s="26" t="n">
        <x:v>1216.8000000000002</x:v>
      </x:c>
      <x:c r="J610" s="26" t="n">
        <x:v>3198</x:v>
      </x:c>
      <x:c r="K610" s="28" t="n">
        <x:v>0.1259</x:v>
      </x:c>
      <x:c r="L610" s="26" t="n">
        <x:v>402.63</x:v>
      </x:c>
      <x:c r="M610" t="n">
        <x:v>0</x:v>
      </x:c>
      <x:c r="N610" s="26" t="n">
        <x:v>0</x:v>
      </x:c>
      <x:c r="O610" s="26" t="n">
        <x:v>59.16</x:v>
      </x:c>
      <x:c r="P610" s="26" t="n">
        <x:v>14.39</x:v>
      </x:c>
      <x:c r="Q610" s="26" t="n">
        <x:v>27.18</x:v>
      </x:c>
      <x:c r="R610" s="26" t="n">
        <x:v>33.58</x:v>
      </x:c>
      <x:c r="S610" s="26" t="n">
        <x:v>268.31</x:v>
      </x:c>
    </x:row>
    <x:row r="611">
      <x:c r="A611" t="n">
        <x:v>500608</x:v>
      </x:c>
      <x:c r="B611" s="24" t="n">
        <x:v>45767</x:v>
      </x:c>
      <x:c r="C611" t="n">
        <x:v>1036</x:v>
      </x:c>
      <x:c r="D611" t="str">
        <x:v>Seller 1036</x:v>
      </x:c>
      <x:c r="E611" t="str">
        <x:v>Silver</x:v>
      </x:c>
      <x:c r="F611" t="str">
        <x:v>Central</x:v>
      </x:c>
      <x:c r="G611" t="str">
        <x:v>Pet Supplies</x:v>
      </x:c>
      <x:c r="H611" t="n">
        <x:v>2</x:v>
      </x:c>
      <x:c r="I611" s="26" t="n">
        <x:v>1682.3999999999999</x:v>
      </x:c>
      <x:c r="J611" s="26" t="n">
        <x:v>2947.8</x:v>
      </x:c>
      <x:c r="K611" s="28" t="n">
        <x:v>0.1206</x:v>
      </x:c>
      <x:c r="L611" s="26" t="n">
        <x:v>355.5</x:v>
      </x:c>
      <x:c r="M611" t="n">
        <x:v>0</x:v>
      </x:c>
      <x:c r="N611" s="26" t="n">
        <x:v>0</x:v>
      </x:c>
      <x:c r="O611" s="26" t="n">
        <x:v>54.53</x:v>
      </x:c>
      <x:c r="P611" s="26" t="n">
        <x:v>13.27</x:v>
      </x:c>
      <x:c r="Q611" s="26" t="n">
        <x:v>25.06</x:v>
      </x:c>
      <x:c r="R611" s="26" t="n">
        <x:v>30.95</x:v>
      </x:c>
      <x:c r="S611" s="26" t="n">
        <x:v>231.7</x:v>
      </x:c>
    </x:row>
    <x:row r="612">
      <x:c r="A612" t="n">
        <x:v>500609</x:v>
      </x:c>
      <x:c r="B612" s="24" t="n">
        <x:v>45752</x:v>
      </x:c>
      <x:c r="C612" t="n">
        <x:v>1073</x:v>
      </x:c>
      <x:c r="D612" t="str">
        <x:v>Seller 1073</x:v>
      </x:c>
      <x:c r="E612" t="str">
        <x:v>Bronze</x:v>
      </x:c>
      <x:c r="F612" t="str">
        <x:v>Central</x:v>
      </x:c>
      <x:c r="G612" t="str">
        <x:v>Electronics</x:v>
      </x:c>
      <x:c r="H612" t="n">
        <x:v>2</x:v>
      </x:c>
      <x:c r="I612" s="26" t="n">
        <x:v>4063.2</x:v>
      </x:c>
      <x:c r="J612" s="26" t="n">
        <x:v>5014.8</x:v>
      </x:c>
      <x:c r="K612" s="28" t="n">
        <x:v>0.1136</x:v>
      </x:c>
      <x:c r="L612" s="26" t="n">
        <x:v>569.68</x:v>
      </x:c>
      <x:c r="M612" t="n">
        <x:v>0</x:v>
      </x:c>
      <x:c r="N612" s="26" t="n">
        <x:v>0</x:v>
      </x:c>
      <x:c r="O612" s="26" t="n">
        <x:v>92.77</x:v>
      </x:c>
      <x:c r="P612" s="26" t="n">
        <x:v>22.57</x:v>
      </x:c>
      <x:c r="Q612" s="26" t="n">
        <x:v>42.63</x:v>
      </x:c>
      <x:c r="R612" s="26" t="n">
        <x:v>52.66</x:v>
      </x:c>
      <x:c r="S612" s="26" t="n">
        <x:v>359.06</x:v>
      </x:c>
    </x:row>
    <x:row r="613">
      <x:c r="A613" t="n">
        <x:v>500610</x:v>
      </x:c>
      <x:c r="B613" s="24" t="n">
        <x:v>45754</x:v>
      </x:c>
      <x:c r="C613" t="n">
        <x:v>1065</x:v>
      </x:c>
      <x:c r="D613" t="str">
        <x:v>Seller 1065</x:v>
      </x:c>
      <x:c r="E613" t="str">
        <x:v>Bronze</x:v>
      </x:c>
      <x:c r="F613" t="str">
        <x:v>South</x:v>
      </x:c>
      <x:c r="G613" t="str">
        <x:v>Apparel</x:v>
      </x:c>
      <x:c r="H613" t="n">
        <x:v>2</x:v>
      </x:c>
      <x:c r="I613" s="26" t="n">
        <x:v>1631.4</x:v>
      </x:c>
      <x:c r="J613" s="26" t="n">
        <x:v>2013</x:v>
      </x:c>
      <x:c r="K613" s="28" t="n">
        <x:v>0.1285</x:v>
      </x:c>
      <x:c r="L613" s="26" t="n">
        <x:v>258.67</x:v>
      </x:c>
      <x:c r="M613" t="n">
        <x:v>0</x:v>
      </x:c>
      <x:c r="N613" s="26" t="n">
        <x:v>0</x:v>
      </x:c>
      <x:c r="O613" s="26" t="n">
        <x:v>37.24</x:v>
      </x:c>
      <x:c r="P613" s="26" t="n">
        <x:v>9.06</x:v>
      </x:c>
      <x:c r="Q613" s="26" t="n">
        <x:v>17.11</x:v>
      </x:c>
      <x:c r="R613" s="26" t="n">
        <x:v>21.14</x:v>
      </x:c>
      <x:c r="S613" s="26" t="n">
        <x:v>174.12</x:v>
      </x:c>
    </x:row>
    <x:row r="614">
      <x:c r="A614" t="n">
        <x:v>500611</x:v>
      </x:c>
      <x:c r="B614" s="24" t="n">
        <x:v>45754</x:v>
      </x:c>
      <x:c r="C614" t="n">
        <x:v>1029</x:v>
      </x:c>
      <x:c r="D614" t="str">
        <x:v>Seller 1029</x:v>
      </x:c>
      <x:c r="E614" t="str">
        <x:v>Gold</x:v>
      </x:c>
      <x:c r="F614" t="str">
        <x:v>West</x:v>
      </x:c>
      <x:c r="G614" t="str">
        <x:v>Home &amp; Kitchen</x:v>
      </x:c>
      <x:c r="H614" t="n">
        <x:v>2</x:v>
      </x:c>
      <x:c r="I614" s="26" t="n">
        <x:v>2391.6</x:v>
      </x:c>
      <x:c r="J614" s="26" t="n">
        <x:v>5475.6</x:v>
      </x:c>
      <x:c r="K614" s="28" t="n">
        <x:v>0.1295</x:v>
      </x:c>
      <x:c r="L614" s="26" t="n">
        <x:v>709.09</x:v>
      </x:c>
      <x:c r="M614" t="n">
        <x:v>0</x:v>
      </x:c>
      <x:c r="N614" s="26" t="n">
        <x:v>0</x:v>
      </x:c>
      <x:c r="O614" s="26" t="n">
        <x:v>101.3</x:v>
      </x:c>
      <x:c r="P614" s="26" t="n">
        <x:v>24.64</x:v>
      </x:c>
      <x:c r="Q614" s="26" t="n">
        <x:v>46.54</x:v>
      </x:c>
      <x:c r="R614" s="26" t="n">
        <x:v>57.49</x:v>
      </x:c>
      <x:c r="S614" s="26" t="n">
        <x:v>479.12</x:v>
      </x:c>
    </x:row>
    <x:row r="615">
      <x:c r="A615" t="n">
        <x:v>500612</x:v>
      </x:c>
      <x:c r="B615" s="24" t="n">
        <x:v>45762</x:v>
      </x:c>
      <x:c r="C615" t="n">
        <x:v>1027</x:v>
      </x:c>
      <x:c r="D615" t="str">
        <x:v>Seller 1027</x:v>
      </x:c>
      <x:c r="E615" t="str">
        <x:v>Gold</x:v>
      </x:c>
      <x:c r="F615" t="str">
        <x:v>West</x:v>
      </x:c>
      <x:c r="G615" t="str">
        <x:v>Apparel</x:v>
      </x:c>
      <x:c r="H615" t="n">
        <x:v>4</x:v>
      </x:c>
      <x:c r="I615" s="26" t="n">
        <x:v>564.6</x:v>
      </x:c>
      <x:c r="J615" s="26" t="n">
        <x:v>2583.6</x:v>
      </x:c>
      <x:c r="K615" s="28" t="n">
        <x:v>0.1288</x:v>
      </x:c>
      <x:c r="L615" s="26" t="n">
        <x:v>332.77</x:v>
      </x:c>
      <x:c r="M615" t="n">
        <x:v>0</x:v>
      </x:c>
      <x:c r="N615" s="26" t="n">
        <x:v>0</x:v>
      </x:c>
      <x:c r="O615" s="26" t="n">
        <x:v>47.8</x:v>
      </x:c>
      <x:c r="P615" s="26" t="n">
        <x:v>11.63</x:v>
      </x:c>
      <x:c r="Q615" s="26" t="n">
        <x:v>21.96</x:v>
      </x:c>
      <x:c r="R615" s="26" t="n">
        <x:v>27.13</x:v>
      </x:c>
      <x:c r="S615" s="26" t="n">
        <x:v>224.26</x:v>
      </x:c>
    </x:row>
    <x:row r="616">
      <x:c r="A616" t="n">
        <x:v>500613</x:v>
      </x:c>
      <x:c r="B616" s="24" t="n">
        <x:v>45771</x:v>
      </x:c>
      <x:c r="C616" t="n">
        <x:v>1032</x:v>
      </x:c>
      <x:c r="D616" t="str">
        <x:v>Seller 1032</x:v>
      </x:c>
      <x:c r="E616" t="str">
        <x:v>Silver</x:v>
      </x:c>
      <x:c r="F616" t="str">
        <x:v>West</x:v>
      </x:c>
      <x:c r="G616" t="str">
        <x:v>Pet Supplies</x:v>
      </x:c>
      <x:c r="H616" t="n">
        <x:v>2</x:v>
      </x:c>
      <x:c r="I616" s="26" t="n">
        <x:v>1222.8</x:v>
      </x:c>
      <x:c r="J616" s="26" t="n">
        <x:v>2142.6</x:v>
      </x:c>
      <x:c r="K616" s="28" t="n">
        <x:v>0.1398</x:v>
      </x:c>
      <x:c r="L616" s="26" t="n">
        <x:v>299.54</x:v>
      </x:c>
      <x:c r="M616" t="n">
        <x:v>0</x:v>
      </x:c>
      <x:c r="N616" s="26" t="n">
        <x:v>0</x:v>
      </x:c>
      <x:c r="O616" s="26" t="n">
        <x:v>39.64</x:v>
      </x:c>
      <x:c r="P616" s="26" t="n">
        <x:v>9.64</x:v>
      </x:c>
      <x:c r="Q616" s="26" t="n">
        <x:v>18.21</x:v>
      </x:c>
      <x:c r="R616" s="26" t="n">
        <x:v>22.5</x:v>
      </x:c>
      <x:c r="S616" s="26" t="n">
        <x:v>209.55</x:v>
      </x:c>
    </x:row>
    <x:row r="617">
      <x:c r="A617" t="n">
        <x:v>500614</x:v>
      </x:c>
      <x:c r="B617" s="24" t="n">
        <x:v>45774</x:v>
      </x:c>
      <x:c r="C617" t="n">
        <x:v>1074</x:v>
      </x:c>
      <x:c r="D617" t="str">
        <x:v>Seller 1074</x:v>
      </x:c>
      <x:c r="E617" t="str">
        <x:v>Bronze</x:v>
      </x:c>
      <x:c r="F617" t="str">
        <x:v>East</x:v>
      </x:c>
      <x:c r="G617" t="str">
        <x:v>Electronics</x:v>
      </x:c>
      <x:c r="H617" t="n">
        <x:v>1</x:v>
      </x:c>
      <x:c r="I617" s="26" t="n">
        <x:v>8475.599999999999</x:v>
      </x:c>
      <x:c r="J617" s="26" t="n">
        <x:v>5230.2</x:v>
      </x:c>
      <x:c r="K617" s="28" t="n">
        <x:v>0.1319</x:v>
      </x:c>
      <x:c r="L617" s="26" t="n">
        <x:v>689.86</x:v>
      </x:c>
      <x:c r="M617" t="n">
        <x:v>0</x:v>
      </x:c>
      <x:c r="N617" s="26" t="n">
        <x:v>0</x:v>
      </x:c>
      <x:c r="O617" s="26" t="n">
        <x:v>96.76</x:v>
      </x:c>
      <x:c r="P617" s="26" t="n">
        <x:v>23.54</x:v>
      </x:c>
      <x:c r="Q617" s="26" t="n">
        <x:v>44.46</x:v>
      </x:c>
      <x:c r="R617" s="26" t="n">
        <x:v>54.92</x:v>
      </x:c>
      <x:c r="S617" s="26" t="n">
        <x:v>470.19</x:v>
      </x:c>
    </x:row>
    <x:row r="618">
      <x:c r="A618" t="n">
        <x:v>500615</x:v>
      </x:c>
      <x:c r="B618" s="24" t="n">
        <x:v>45768</x:v>
      </x:c>
      <x:c r="C618" t="n">
        <x:v>1006</x:v>
      </x:c>
      <x:c r="D618" t="str">
        <x:v>Seller 1006</x:v>
      </x:c>
      <x:c r="E618" t="str">
        <x:v>Platinum</x:v>
      </x:c>
      <x:c r="F618" t="str">
        <x:v>East</x:v>
      </x:c>
      <x:c r="G618" t="str">
        <x:v>Home &amp; Kitchen</x:v>
      </x:c>
      <x:c r="H618" t="n">
        <x:v>1</x:v>
      </x:c>
      <x:c r="I618" s="26" t="n">
        <x:v>4873.8</x:v>
      </x:c>
      <x:c r="J618" s="26" t="n">
        <x:v>7519.2</x:v>
      </x:c>
      <x:c r="K618" s="28" t="n">
        <x:v>0.1406</x:v>
      </x:c>
      <x:c r="L618" s="26" t="n">
        <x:v>1057.2</x:v>
      </x:c>
      <x:c r="M618" t="n">
        <x:v>0</x:v>
      </x:c>
      <x:c r="N618" s="26" t="n">
        <x:v>0</x:v>
      </x:c>
      <x:c r="O618" s="26" t="n">
        <x:v>139.11</x:v>
      </x:c>
      <x:c r="P618" s="26" t="n">
        <x:v>33.84</x:v>
      </x:c>
      <x:c r="Q618" s="26" t="n">
        <x:v>63.91</x:v>
      </x:c>
      <x:c r="R618" s="26" t="n">
        <x:v>78.95</x:v>
      </x:c>
      <x:c r="S618" s="26" t="n">
        <x:v>741.39</x:v>
      </x:c>
    </x:row>
    <x:row r="619">
      <x:c r="A619" t="n">
        <x:v>500616</x:v>
      </x:c>
      <x:c r="B619" s="24" t="n">
        <x:v>45757</x:v>
      </x:c>
      <x:c r="C619" t="n">
        <x:v>1007</x:v>
      </x:c>
      <x:c r="D619" t="str">
        <x:v>Seller 1007</x:v>
      </x:c>
      <x:c r="E619" t="str">
        <x:v>Platinum</x:v>
      </x:c>
      <x:c r="F619" t="str">
        <x:v>South</x:v>
      </x:c>
      <x:c r="G619" t="str">
        <x:v>Home &amp; Kitchen</x:v>
      </x:c>
      <x:c r="H619" t="n">
        <x:v>1</x:v>
      </x:c>
      <x:c r="I619" s="26" t="n">
        <x:v>5223</x:v>
      </x:c>
      <x:c r="J619" s="26" t="n">
        <x:v>8058</x:v>
      </x:c>
      <x:c r="K619" s="28" t="n">
        <x:v>0.1416</x:v>
      </x:c>
      <x:c r="L619" s="26" t="n">
        <x:v>1141.01</x:v>
      </x:c>
      <x:c r="M619" t="n">
        <x:v>0</x:v>
      </x:c>
      <x:c r="N619" s="26" t="n">
        <x:v>0</x:v>
      </x:c>
      <x:c r="O619" s="26" t="n">
        <x:v>149.07</x:v>
      </x:c>
      <x:c r="P619" s="26" t="n">
        <x:v>36.26</x:v>
      </x:c>
      <x:c r="Q619" s="26" t="n">
        <x:v>68.49</x:v>
      </x:c>
      <x:c r="R619" s="26" t="n">
        <x:v>84.61</x:v>
      </x:c>
      <x:c r="S619" s="26" t="n">
        <x:v>802.58</x:v>
      </x:c>
    </x:row>
    <x:row r="620">
      <x:c r="A620" t="n">
        <x:v>500617</x:v>
      </x:c>
      <x:c r="B620" s="24" t="n">
        <x:v>45751</x:v>
      </x:c>
      <x:c r="C620" t="n">
        <x:v>1079</x:v>
      </x:c>
      <x:c r="D620" t="str">
        <x:v>Seller 1079</x:v>
      </x:c>
      <x:c r="E620" t="str">
        <x:v>Bronze</x:v>
      </x:c>
      <x:c r="F620" t="str">
        <x:v>South</x:v>
      </x:c>
      <x:c r="G620" t="str">
        <x:v>Pet Supplies</x:v>
      </x:c>
      <x:c r="H620" t="n">
        <x:v>2</x:v>
      </x:c>
      <x:c r="I620" s="26" t="n">
        <x:v>1545</x:v>
      </x:c>
      <x:c r="J620" s="26" t="n">
        <x:v>1907.4</x:v>
      </x:c>
      <x:c r="K620" s="28" t="n">
        <x:v>0.1399</x:v>
      </x:c>
      <x:c r="L620" s="26" t="n">
        <x:v>266.85</x:v>
      </x:c>
      <x:c r="M620" t="n">
        <x:v>0</x:v>
      </x:c>
      <x:c r="N620" s="26" t="n">
        <x:v>0</x:v>
      </x:c>
      <x:c r="O620" s="26" t="n">
        <x:v>35.29</x:v>
      </x:c>
      <x:c r="P620" s="26" t="n">
        <x:v>8.58</x:v>
      </x:c>
      <x:c r="Q620" s="26" t="n">
        <x:v>16.21</x:v>
      </x:c>
      <x:c r="R620" s="26" t="n">
        <x:v>20.03</x:v>
      </x:c>
      <x:c r="S620" s="26" t="n">
        <x:v>186.73</x:v>
      </x:c>
    </x:row>
    <x:row r="621">
      <x:c r="A621" t="n">
        <x:v>500618</x:v>
      </x:c>
      <x:c r="B621" s="24" t="n">
        <x:v>45776</x:v>
      </x:c>
      <x:c r="C621" t="n">
        <x:v>1024</x:v>
      </x:c>
      <x:c r="D621" t="str">
        <x:v>Seller 1024</x:v>
      </x:c>
      <x:c r="E621" t="str">
        <x:v>Gold</x:v>
      </x:c>
      <x:c r="F621" t="str">
        <x:v>West</x:v>
      </x:c>
      <x:c r="G621" t="str">
        <x:v>Pet Supplies</x:v>
      </x:c>
      <x:c r="H621" t="n">
        <x:v>1</x:v>
      </x:c>
      <x:c r="I621" s="26" t="n">
        <x:v>3048</x:v>
      </x:c>
      <x:c r="J621" s="26" t="n">
        <x:v>3489</x:v>
      </x:c>
      <x:c r="K621" s="28" t="n">
        <x:v>0.1278</x:v>
      </x:c>
      <x:c r="L621" s="26" t="n">
        <x:v>445.89</x:v>
      </x:c>
      <x:c r="M621" t="n">
        <x:v>0</x:v>
      </x:c>
      <x:c r="N621" s="26" t="n">
        <x:v>0</x:v>
      </x:c>
      <x:c r="O621" s="26" t="n">
        <x:v>64.55</x:v>
      </x:c>
      <x:c r="P621" s="26" t="n">
        <x:v>15.7</x:v>
      </x:c>
      <x:c r="Q621" s="26" t="n">
        <x:v>29.66</x:v>
      </x:c>
      <x:c r="R621" s="26" t="n">
        <x:v>36.63</x:v>
      </x:c>
      <x:c r="S621" s="26" t="n">
        <x:v>299.36</x:v>
      </x:c>
    </x:row>
    <x:row r="622">
      <x:c r="A622" t="n">
        <x:v>500619</x:v>
      </x:c>
      <x:c r="B622" s="24" t="n">
        <x:v>45751</x:v>
      </x:c>
      <x:c r="C622" t="n">
        <x:v>1026</x:v>
      </x:c>
      <x:c r="D622" t="str">
        <x:v>Seller 1026</x:v>
      </x:c>
      <x:c r="E622" t="str">
        <x:v>Gold</x:v>
      </x:c>
      <x:c r="F622" t="str">
        <x:v>East</x:v>
      </x:c>
      <x:c r="G622" t="str">
        <x:v>Electronics</x:v>
      </x:c>
      <x:c r="H622" t="n">
        <x:v>2</x:v>
      </x:c>
      <x:c r="I622" s="26" t="n">
        <x:v>5418</x:v>
      </x:c>
      <x:c r="J622" s="26" t="n">
        <x:v>12402.6</x:v>
      </x:c>
      <x:c r="K622" s="28" t="n">
        <x:v>0.1348</x:v>
      </x:c>
      <x:c r="L622" s="26" t="n">
        <x:v>1671.87</x:v>
      </x:c>
      <x:c r="M622" t="n">
        <x:v>0</x:v>
      </x:c>
      <x:c r="N622" s="26" t="n">
        <x:v>0</x:v>
      </x:c>
      <x:c r="O622" s="26" t="n">
        <x:v>229.45</x:v>
      </x:c>
      <x:c r="P622" s="26" t="n">
        <x:v>55.81</x:v>
      </x:c>
      <x:c r="Q622" s="26" t="n">
        <x:v>105.42</x:v>
      </x:c>
      <x:c r="R622" s="26" t="n">
        <x:v>130.23</x:v>
      </x:c>
      <x:c r="S622" s="26" t="n">
        <x:v>1150.96</x:v>
      </x:c>
    </x:row>
    <x:row r="623">
      <x:c r="A623" t="n">
        <x:v>500620</x:v>
      </x:c>
      <x:c r="B623" s="24" t="n">
        <x:v>45764</x:v>
      </x:c>
      <x:c r="C623" t="n">
        <x:v>1012</x:v>
      </x:c>
      <x:c r="D623" t="str">
        <x:v>Seller 1012</x:v>
      </x:c>
      <x:c r="E623" t="str">
        <x:v>Platinum</x:v>
      </x:c>
      <x:c r="F623" t="str">
        <x:v>East</x:v>
      </x:c>
      <x:c r="G623" t="str">
        <x:v>Beauty</x:v>
      </x:c>
      <x:c r="H623" t="n">
        <x:v>1</x:v>
      </x:c>
      <x:c r="I623" s="26" t="n">
        <x:v>2702.4</x:v>
      </x:c>
      <x:c r="J623" s="26" t="n">
        <x:v>4169.4</x:v>
      </x:c>
      <x:c r="K623" s="28" t="n">
        <x:v>0.1456</x:v>
      </x:c>
      <x:c r="L623" s="26" t="n">
        <x:v>607.06</x:v>
      </x:c>
      <x:c r="M623" t="n">
        <x:v>0</x:v>
      </x:c>
      <x:c r="N623" s="26" t="n">
        <x:v>0</x:v>
      </x:c>
      <x:c r="O623" s="26" t="n">
        <x:v>77.13</x:v>
      </x:c>
      <x:c r="P623" s="26" t="n">
        <x:v>18.76</x:v>
      </x:c>
      <x:c r="Q623" s="26" t="n">
        <x:v>35.44</x:v>
      </x:c>
      <x:c r="R623" s="26" t="n">
        <x:v>43.78</x:v>
      </x:c>
      <x:c r="S623" s="26" t="n">
        <x:v>431.95</x:v>
      </x:c>
    </x:row>
    <x:row r="624">
      <x:c r="A624" t="n">
        <x:v>500621</x:v>
      </x:c>
      <x:c r="B624" s="24" t="n">
        <x:v>45805</x:v>
      </x:c>
      <x:c r="C624" t="n">
        <x:v>1079</x:v>
      </x:c>
      <x:c r="D624" t="str">
        <x:v>Seller 1079</x:v>
      </x:c>
      <x:c r="E624" t="str">
        <x:v>Bronze</x:v>
      </x:c>
      <x:c r="F624" t="str">
        <x:v>South</x:v>
      </x:c>
      <x:c r="G624" t="str">
        <x:v>Apparel</x:v>
      </x:c>
      <x:c r="H624" t="n">
        <x:v>2</x:v>
      </x:c>
      <x:c r="I624" s="26" t="n">
        <x:v>1891.2</x:v>
      </x:c>
      <x:c r="J624" s="26" t="n">
        <x:v>2203.2</x:v>
      </x:c>
      <x:c r="K624" s="28" t="n">
        <x:v>0.1121</x:v>
      </x:c>
      <x:c r="L624" s="26" t="n">
        <x:v>246.98</x:v>
      </x:c>
      <x:c r="M624" t="n">
        <x:v>0</x:v>
      </x:c>
      <x:c r="N624" s="26" t="n">
        <x:v>0</x:v>
      </x:c>
      <x:c r="O624" s="26" t="n">
        <x:v>40.76</x:v>
      </x:c>
      <x:c r="P624" s="26" t="n">
        <x:v>9.91</x:v>
      </x:c>
      <x:c r="Q624" s="26" t="n">
        <x:v>18.73</x:v>
      </x:c>
      <x:c r="R624" s="26" t="n">
        <x:v>23.13</x:v>
      </x:c>
      <x:c r="S624" s="26" t="n">
        <x:v>154.44</x:v>
      </x:c>
    </x:row>
    <x:row r="625">
      <x:c r="A625" t="n">
        <x:v>500622</x:v>
      </x:c>
      <x:c r="B625" s="24" t="n">
        <x:v>45792</x:v>
      </x:c>
      <x:c r="C625" t="n">
        <x:v>1020</x:v>
      </x:c>
      <x:c r="D625" t="str">
        <x:v>Seller 1020</x:v>
      </x:c>
      <x:c r="E625" t="str">
        <x:v>Gold</x:v>
      </x:c>
      <x:c r="F625" t="str">
        <x:v>West</x:v>
      </x:c>
      <x:c r="G625" t="str">
        <x:v>Home &amp; Kitchen</x:v>
      </x:c>
      <x:c r="H625" t="n">
        <x:v>3</x:v>
      </x:c>
      <x:c r="I625" s="26" t="n">
        <x:v>2171.3999999999996</x:v>
      </x:c>
      <x:c r="J625" s="26" t="n">
        <x:v>7038</x:v>
      </x:c>
      <x:c r="K625" s="28" t="n">
        <x:v>0.1242</x:v>
      </x:c>
      <x:c r="L625" s="26" t="n">
        <x:v>874.12</x:v>
      </x:c>
      <x:c r="M625" t="n">
        <x:v>0</x:v>
      </x:c>
      <x:c r="N625" s="26" t="n">
        <x:v>0</x:v>
      </x:c>
      <x:c r="O625" s="26" t="n">
        <x:v>130.2</x:v>
      </x:c>
      <x:c r="P625" s="26" t="n">
        <x:v>31.67</x:v>
      </x:c>
      <x:c r="Q625" s="26" t="n">
        <x:v>59.82</x:v>
      </x:c>
      <x:c r="R625" s="26" t="n">
        <x:v>73.9</x:v>
      </x:c>
      <x:c r="S625" s="26" t="n">
        <x:v>578.52</x:v>
      </x:c>
    </x:row>
    <x:row r="626">
      <x:c r="A626" t="n">
        <x:v>500623</x:v>
      </x:c>
      <x:c r="B626" s="24" t="n">
        <x:v>45792</x:v>
      </x:c>
      <x:c r="C626" t="n">
        <x:v>1037</x:v>
      </x:c>
      <x:c r="D626" t="str">
        <x:v>Seller 1037</x:v>
      </x:c>
      <x:c r="E626" t="str">
        <x:v>Silver</x:v>
      </x:c>
      <x:c r="F626" t="str">
        <x:v>East</x:v>
      </x:c>
      <x:c r="G626" t="str">
        <x:v>Apparel</x:v>
      </x:c>
      <x:c r="H626" t="n">
        <x:v>2</x:v>
      </x:c>
      <x:c r="I626" s="26" t="n">
        <x:v>2029.8</x:v>
      </x:c>
      <x:c r="J626" s="26" t="n">
        <x:v>3356.4</x:v>
      </x:c>
      <x:c r="K626" s="28" t="n">
        <x:v>0.1129</x:v>
      </x:c>
      <x:c r="L626" s="26" t="n">
        <x:v>378.94</x:v>
      </x:c>
      <x:c r="M626" t="n">
        <x:v>0</x:v>
      </x:c>
      <x:c r="N626" s="26" t="n">
        <x:v>0</x:v>
      </x:c>
      <x:c r="O626" s="26" t="n">
        <x:v>62.09</x:v>
      </x:c>
      <x:c r="P626" s="26" t="n">
        <x:v>15.1</x:v>
      </x:c>
      <x:c r="Q626" s="26" t="n">
        <x:v>28.53</x:v>
      </x:c>
      <x:c r="R626" s="26" t="n">
        <x:v>35.24</x:v>
      </x:c>
      <x:c r="S626" s="26" t="n">
        <x:v>237.97</x:v>
      </x:c>
    </x:row>
    <x:row r="627">
      <x:c r="A627" t="n">
        <x:v>500624</x:v>
      </x:c>
      <x:c r="B627" s="24" t="n">
        <x:v>45792</x:v>
      </x:c>
      <x:c r="C627" t="n">
        <x:v>1064</x:v>
      </x:c>
      <x:c r="D627" t="str">
        <x:v>Seller 1064</x:v>
      </x:c>
      <x:c r="E627" t="str">
        <x:v>Bronze</x:v>
      </x:c>
      <x:c r="F627" t="str">
        <x:v>Central</x:v>
      </x:c>
      <x:c r="G627" t="str">
        <x:v>Sports</x:v>
      </x:c>
      <x:c r="H627" t="n">
        <x:v>3</x:v>
      </x:c>
      <x:c r="I627" s="26" t="n">
        <x:v>1053</x:v>
      </x:c>
      <x:c r="J627" s="26" t="n">
        <x:v>1839.6</x:v>
      </x:c>
      <x:c r="K627" s="28" t="n">
        <x:v>0.1278</x:v>
      </x:c>
      <x:c r="L627" s="26" t="n">
        <x:v>235.1</x:v>
      </x:c>
      <x:c r="M627" t="n">
        <x:v>0</x:v>
      </x:c>
      <x:c r="N627" s="26" t="n">
        <x:v>0</x:v>
      </x:c>
      <x:c r="O627" s="26" t="n">
        <x:v>34.03</x:v>
      </x:c>
      <x:c r="P627" s="26" t="n">
        <x:v>8.28</x:v>
      </x:c>
      <x:c r="Q627" s="26" t="n">
        <x:v>15.64</x:v>
      </x:c>
      <x:c r="R627" s="26" t="n">
        <x:v>19.32</x:v>
      </x:c>
      <x:c r="S627" s="26" t="n">
        <x:v>157.84</x:v>
      </x:c>
    </x:row>
    <x:row r="628">
      <x:c r="A628" t="n">
        <x:v>500625</x:v>
      </x:c>
      <x:c r="B628" s="24" t="n">
        <x:v>45804</x:v>
      </x:c>
      <x:c r="C628" t="n">
        <x:v>1053</x:v>
      </x:c>
      <x:c r="D628" t="str">
        <x:v>Seller 1053</x:v>
      </x:c>
      <x:c r="E628" t="str">
        <x:v>Silver</x:v>
      </x:c>
      <x:c r="F628" t="str">
        <x:v>Central</x:v>
      </x:c>
      <x:c r="G628" t="str">
        <x:v>Beauty</x:v>
      </x:c>
      <x:c r="H628" t="n">
        <x:v>2</x:v>
      </x:c>
      <x:c r="I628" s="26" t="n">
        <x:v>1305.6000000000001</x:v>
      </x:c>
      <x:c r="J628" s="26" t="n">
        <x:v>2158.8</x:v>
      </x:c>
      <x:c r="K628" s="28" t="n">
        <x:v>0.1542</x:v>
      </x:c>
      <x:c r="L628" s="26" t="n">
        <x:v>332.89</x:v>
      </x:c>
      <x:c r="M628" t="n">
        <x:v>0</x:v>
      </x:c>
      <x:c r="N628" s="26" t="n">
        <x:v>0</x:v>
      </x:c>
      <x:c r="O628" s="26" t="n">
        <x:v>39.94</x:v>
      </x:c>
      <x:c r="P628" s="26" t="n">
        <x:v>9.71</x:v>
      </x:c>
      <x:c r="Q628" s="26" t="n">
        <x:v>18.35</x:v>
      </x:c>
      <x:c r="R628" s="26" t="n">
        <x:v>22.67</x:v>
      </x:c>
      <x:c r="S628" s="26" t="n">
        <x:v>242.22</x:v>
      </x:c>
    </x:row>
    <x:row r="629">
      <x:c r="A629" t="n">
        <x:v>500626</x:v>
      </x:c>
      <x:c r="B629" s="24" t="n">
        <x:v>45804</x:v>
      </x:c>
      <x:c r="C629" t="n">
        <x:v>1027</x:v>
      </x:c>
      <x:c r="D629" t="str">
        <x:v>Seller 1027</x:v>
      </x:c>
      <x:c r="E629" t="str">
        <x:v>Gold</x:v>
      </x:c>
      <x:c r="F629" t="str">
        <x:v>West</x:v>
      </x:c>
      <x:c r="G629" t="str">
        <x:v>Apparel</x:v>
      </x:c>
      <x:c r="H629" t="n">
        <x:v>3</x:v>
      </x:c>
      <x:c r="I629" s="26" t="n">
        <x:v>1638.6</x:v>
      </x:c>
      <x:c r="J629" s="26" t="n">
        <x:v>5311.8</x:v>
      </x:c>
      <x:c r="K629" s="28" t="n">
        <x:v>0.1089</x:v>
      </x:c>
      <x:c r="L629" s="26" t="n">
        <x:v>578.46</x:v>
      </x:c>
      <x:c r="M629" t="n">
        <x:v>0</x:v>
      </x:c>
      <x:c r="N629" s="26" t="n">
        <x:v>0</x:v>
      </x:c>
      <x:c r="O629" s="26" t="n">
        <x:v>98.27</x:v>
      </x:c>
      <x:c r="P629" s="26" t="n">
        <x:v>23.9</x:v>
      </x:c>
      <x:c r="Q629" s="26" t="n">
        <x:v>45.15</x:v>
      </x:c>
      <x:c r="R629" s="26" t="n">
        <x:v>55.77</x:v>
      </x:c>
      <x:c r="S629" s="26" t="n">
        <x:v>355.36</x:v>
      </x:c>
    </x:row>
    <x:row r="630">
      <x:c r="A630" t="n">
        <x:v>500627</x:v>
      </x:c>
      <x:c r="B630" s="24" t="n">
        <x:v>45797</x:v>
      </x:c>
      <x:c r="C630" t="n">
        <x:v>1078</x:v>
      </x:c>
      <x:c r="D630" t="str">
        <x:v>Seller 1078</x:v>
      </x:c>
      <x:c r="E630" t="str">
        <x:v>Bronze</x:v>
      </x:c>
      <x:c r="F630" t="str">
        <x:v>East</x:v>
      </x:c>
      <x:c r="G630" t="str">
        <x:v>Home &amp; Kitchen</x:v>
      </x:c>
      <x:c r="H630" t="n">
        <x:v>2</x:v>
      </x:c>
      <x:c r="I630" s="26" t="n">
        <x:v>2400</x:v>
      </x:c>
      <x:c r="J630" s="26" t="n">
        <x:v>2796</x:v>
      </x:c>
      <x:c r="K630" s="28" t="n">
        <x:v>0.133</x:v>
      </x:c>
      <x:c r="L630" s="26" t="n">
        <x:v>371.87</x:v>
      </x:c>
      <x:c r="M630" t="n">
        <x:v>0</x:v>
      </x:c>
      <x:c r="N630" s="26" t="n">
        <x:v>0</x:v>
      </x:c>
      <x:c r="O630" s="26" t="n">
        <x:v>51.73</x:v>
      </x:c>
      <x:c r="P630" s="26" t="n">
        <x:v>12.58</x:v>
      </x:c>
      <x:c r="Q630" s="26" t="n">
        <x:v>23.77</x:v>
      </x:c>
      <x:c r="R630" s="26" t="n">
        <x:v>29.36</x:v>
      </x:c>
      <x:c r="S630" s="26" t="n">
        <x:v>254.44</x:v>
      </x:c>
    </x:row>
    <x:row r="631">
      <x:c r="A631" t="n">
        <x:v>500628</x:v>
      </x:c>
      <x:c r="B631" s="24" t="n">
        <x:v>45788</x:v>
      </x:c>
      <x:c r="C631" t="n">
        <x:v>1077</x:v>
      </x:c>
      <x:c r="D631" t="str">
        <x:v>Seller 1077</x:v>
      </x:c>
      <x:c r="E631" t="str">
        <x:v>Bronze</x:v>
      </x:c>
      <x:c r="F631" t="str">
        <x:v>South</x:v>
      </x:c>
      <x:c r="G631" t="str">
        <x:v>Home &amp; Kitchen</x:v>
      </x:c>
      <x:c r="H631" t="n">
        <x:v>1</x:v>
      </x:c>
      <x:c r="I631" s="26" t="n">
        <x:v>4530</x:v>
      </x:c>
      <x:c r="J631" s="26" t="n">
        <x:v>2638.2</x:v>
      </x:c>
      <x:c r="K631" s="28" t="n">
        <x:v>0.141</x:v>
      </x:c>
      <x:c r="L631" s="26" t="n">
        <x:v>371.99</x:v>
      </x:c>
      <x:c r="M631" t="n">
        <x:v>1</x:v>
      </x:c>
      <x:c r="N631" s="26" t="n">
        <x:v>2363.4</x:v>
      </x:c>
      <x:c r="O631" s="26" t="n">
        <x:v>48.81</x:v>
      </x:c>
      <x:c r="P631" s="26" t="n">
        <x:v>11.87</x:v>
      </x:c>
      <x:c r="Q631" s="26" t="n">
        <x:v>22.42</x:v>
      </x:c>
      <x:c r="R631" s="26" t="n">
        <x:v>27.7</x:v>
      </x:c>
      <x:c r="S631" s="26" t="n">
        <x:v>213.91</x:v>
      </x:c>
    </x:row>
    <x:row r="632">
      <x:c r="A632" t="n">
        <x:v>500629</x:v>
      </x:c>
      <x:c r="B632" s="24" t="n">
        <x:v>45805</x:v>
      </x:c>
      <x:c r="C632" t="n">
        <x:v>1048</x:v>
      </x:c>
      <x:c r="D632" t="str">
        <x:v>Seller 1048</x:v>
      </x:c>
      <x:c r="E632" t="str">
        <x:v>Silver</x:v>
      </x:c>
      <x:c r="F632" t="str">
        <x:v>East</x:v>
      </x:c>
      <x:c r="G632" t="str">
        <x:v>Electronics</x:v>
      </x:c>
      <x:c r="H632" t="n">
        <x:v>2</x:v>
      </x:c>
      <x:c r="I632" s="26" t="n">
        <x:v>3012</x:v>
      </x:c>
      <x:c r="J632" s="26" t="n">
        <x:v>4980</x:v>
      </x:c>
      <x:c r="K632" s="28" t="n">
        <x:v>0.1146</x:v>
      </x:c>
      <x:c r="L632" s="26" t="n">
        <x:v>570.71</x:v>
      </x:c>
      <x:c r="M632" t="n">
        <x:v>0</x:v>
      </x:c>
      <x:c r="N632" s="26" t="n">
        <x:v>0</x:v>
      </x:c>
      <x:c r="O632" s="26" t="n">
        <x:v>92.13</x:v>
      </x:c>
      <x:c r="P632" s="26" t="n">
        <x:v>22.41</x:v>
      </x:c>
      <x:c r="Q632" s="26" t="n">
        <x:v>42.33</x:v>
      </x:c>
      <x:c r="R632" s="26" t="n">
        <x:v>52.29</x:v>
      </x:c>
      <x:c r="S632" s="26" t="n">
        <x:v>361.55</x:v>
      </x:c>
    </x:row>
    <x:row r="633">
      <x:c r="A633" t="n">
        <x:v>500630</x:v>
      </x:c>
      <x:c r="B633" s="24" t="n">
        <x:v>45798</x:v>
      </x:c>
      <x:c r="C633" t="n">
        <x:v>1036</x:v>
      </x:c>
      <x:c r="D633" t="str">
        <x:v>Seller 1036</x:v>
      </x:c>
      <x:c r="E633" t="str">
        <x:v>Silver</x:v>
      </x:c>
      <x:c r="F633" t="str">
        <x:v>Central</x:v>
      </x:c>
      <x:c r="G633" t="str">
        <x:v>Pet Supplies</x:v>
      </x:c>
      <x:c r="H633" t="n">
        <x:v>2</x:v>
      </x:c>
      <x:c r="I633" s="26" t="n">
        <x:v>1648.1999999999998</x:v>
      </x:c>
      <x:c r="J633" s="26" t="n">
        <x:v>2725.2</x:v>
      </x:c>
      <x:c r="K633" s="28" t="n">
        <x:v>0.125</x:v>
      </x:c>
      <x:c r="L633" s="26" t="n">
        <x:v>340.65</x:v>
      </x:c>
      <x:c r="M633" t="n">
        <x:v>0</x:v>
      </x:c>
      <x:c r="N633" s="26" t="n">
        <x:v>0</x:v>
      </x:c>
      <x:c r="O633" s="26" t="n">
        <x:v>50.42</x:v>
      </x:c>
      <x:c r="P633" s="26" t="n">
        <x:v>12.26</x:v>
      </x:c>
      <x:c r="Q633" s="26" t="n">
        <x:v>23.16</x:v>
      </x:c>
      <x:c r="R633" s="26" t="n">
        <x:v>28.61</x:v>
      </x:c>
      <x:c r="S633" s="26" t="n">
        <x:v>226.19</x:v>
      </x:c>
    </x:row>
    <x:row r="634">
      <x:c r="A634" t="n">
        <x:v>500631</x:v>
      </x:c>
      <x:c r="B634" s="24" t="n">
        <x:v>45805</x:v>
      </x:c>
      <x:c r="C634" t="n">
        <x:v>1068</x:v>
      </x:c>
      <x:c r="D634" t="str">
        <x:v>Seller 1068</x:v>
      </x:c>
      <x:c r="E634" t="str">
        <x:v>Bronze</x:v>
      </x:c>
      <x:c r="F634" t="str">
        <x:v>South</x:v>
      </x:c>
      <x:c r="G634" t="str">
        <x:v>Apparel</x:v>
      </x:c>
      <x:c r="H634" t="n">
        <x:v>2</x:v>
      </x:c>
      <x:c r="I634" s="26" t="n">
        <x:v>1507.2</x:v>
      </x:c>
      <x:c r="J634" s="26" t="n">
        <x:v>1755.6</x:v>
      </x:c>
      <x:c r="K634" s="28" t="n">
        <x:v>0.1269</x:v>
      </x:c>
      <x:c r="L634" s="26" t="n">
        <x:v>222.79</x:v>
      </x:c>
      <x:c r="M634" t="n">
        <x:v>0</x:v>
      </x:c>
      <x:c r="N634" s="26" t="n">
        <x:v>0</x:v>
      </x:c>
      <x:c r="O634" s="26" t="n">
        <x:v>32.48</x:v>
      </x:c>
      <x:c r="P634" s="26" t="n">
        <x:v>7.9</x:v>
      </x:c>
      <x:c r="Q634" s="26" t="n">
        <x:v>14.92</x:v>
      </x:c>
      <x:c r="R634" s="26" t="n">
        <x:v>18.43</x:v>
      </x:c>
      <x:c r="S634" s="26" t="n">
        <x:v>149.05</x:v>
      </x:c>
    </x:row>
    <x:row r="635">
      <x:c r="A635" t="n">
        <x:v>500632</x:v>
      </x:c>
      <x:c r="B635" s="24" t="n">
        <x:v>45801</x:v>
      </x:c>
      <x:c r="C635" t="n">
        <x:v>1041</x:v>
      </x:c>
      <x:c r="D635" t="str">
        <x:v>Seller 1041</x:v>
      </x:c>
      <x:c r="E635" t="str">
        <x:v>Silver</x:v>
      </x:c>
      <x:c r="F635" t="str">
        <x:v>West</x:v>
      </x:c>
      <x:c r="G635" t="str">
        <x:v>Apparel</x:v>
      </x:c>
      <x:c r="H635" t="n">
        <x:v>1</x:v>
      </x:c>
      <x:c r="I635" s="26" t="n">
        <x:v>3645</x:v>
      </x:c>
      <x:c r="J635" s="26" t="n">
        <x:v>3013.2</x:v>
      </x:c>
      <x:c r="K635" s="28" t="n">
        <x:v>0.1303</x:v>
      </x:c>
      <x:c r="L635" s="26" t="n">
        <x:v>392.62</x:v>
      </x:c>
      <x:c r="M635" t="n">
        <x:v>0</x:v>
      </x:c>
      <x:c r="N635" s="26" t="n">
        <x:v>0</x:v>
      </x:c>
      <x:c r="O635" s="26" t="n">
        <x:v>55.74</x:v>
      </x:c>
      <x:c r="P635" s="26" t="n">
        <x:v>13.56</x:v>
      </x:c>
      <x:c r="Q635" s="26" t="n">
        <x:v>25.61</x:v>
      </x:c>
      <x:c r="R635" s="26" t="n">
        <x:v>31.64</x:v>
      </x:c>
      <x:c r="S635" s="26" t="n">
        <x:v>266.07</x:v>
      </x:c>
    </x:row>
    <x:row r="636">
      <x:c r="A636" t="n">
        <x:v>500633</x:v>
      </x:c>
      <x:c r="B636" s="24" t="n">
        <x:v>45798</x:v>
      </x:c>
      <x:c r="C636" t="n">
        <x:v>1064</x:v>
      </x:c>
      <x:c r="D636" t="str">
        <x:v>Seller 1064</x:v>
      </x:c>
      <x:c r="E636" t="str">
        <x:v>Bronze</x:v>
      </x:c>
      <x:c r="F636" t="str">
        <x:v>Central</x:v>
      </x:c>
      <x:c r="G636" t="str">
        <x:v>Pet Supplies</x:v>
      </x:c>
      <x:c r="H636" t="n">
        <x:v>3</x:v>
      </x:c>
      <x:c r="I636" s="26" t="n">
        <x:v>1349.3999999999999</x:v>
      </x:c>
      <x:c r="J636" s="26" t="n">
        <x:v>2358</x:v>
      </x:c>
      <x:c r="K636" s="28" t="n">
        <x:v>0.137</x:v>
      </x:c>
      <x:c r="L636" s="26" t="n">
        <x:v>323.05</x:v>
      </x:c>
      <x:c r="M636" t="n">
        <x:v>1</x:v>
      </x:c>
      <x:c r="N636" s="26" t="n">
        <x:v>1322.4</x:v>
      </x:c>
      <x:c r="O636" s="26" t="n">
        <x:v>43.62</x:v>
      </x:c>
      <x:c r="P636" s="26" t="n">
        <x:v>10.61</x:v>
      </x:c>
      <x:c r="Q636" s="26" t="n">
        <x:v>20.04</x:v>
      </x:c>
      <x:c r="R636" s="26" t="n">
        <x:v>24.76</x:v>
      </x:c>
      <x:c r="S636" s="26" t="n">
        <x:v>197.56</x:v>
      </x:c>
    </x:row>
    <x:row r="637">
      <x:c r="A637" t="n">
        <x:v>500634</x:v>
      </x:c>
      <x:c r="B637" s="24" t="n">
        <x:v>45803</x:v>
      </x:c>
      <x:c r="C637" t="n">
        <x:v>1016</x:v>
      </x:c>
      <x:c r="D637" t="str">
        <x:v>Seller 1016</x:v>
      </x:c>
      <x:c r="E637" t="str">
        <x:v>Gold</x:v>
      </x:c>
      <x:c r="F637" t="str">
        <x:v>West</x:v>
      </x:c>
      <x:c r="G637" t="str">
        <x:v>Sports</x:v>
      </x:c>
      <x:c r="H637" t="n">
        <x:v>2</x:v>
      </x:c>
      <x:c r="I637" s="26" t="n">
        <x:v>2766</x:v>
      </x:c>
      <x:c r="J637" s="26" t="n">
        <x:v>5977.2</x:v>
      </x:c>
      <x:c r="K637" s="28" t="n">
        <x:v>0.126</x:v>
      </x:c>
      <x:c r="L637" s="26" t="n">
        <x:v>753.13</x:v>
      </x:c>
      <x:c r="M637" t="n">
        <x:v>0</x:v>
      </x:c>
      <x:c r="N637" s="26" t="n">
        <x:v>0</x:v>
      </x:c>
      <x:c r="O637" s="26" t="n">
        <x:v>110.58</x:v>
      </x:c>
      <x:c r="P637" s="26" t="n">
        <x:v>26.9</x:v>
      </x:c>
      <x:c r="Q637" s="26" t="n">
        <x:v>50.81</x:v>
      </x:c>
      <x:c r="R637" s="26" t="n">
        <x:v>62.76</x:v>
      </x:c>
      <x:c r="S637" s="26" t="n">
        <x:v>502.08</x:v>
      </x:c>
    </x:row>
    <x:row r="638">
      <x:c r="A638" t="n">
        <x:v>500635</x:v>
      </x:c>
      <x:c r="B638" s="24" t="n">
        <x:v>45788</x:v>
      </x:c>
      <x:c r="C638" t="n">
        <x:v>1028</x:v>
      </x:c>
      <x:c r="D638" t="str">
        <x:v>Seller 1028</x:v>
      </x:c>
      <x:c r="E638" t="str">
        <x:v>Gold</x:v>
      </x:c>
      <x:c r="F638" t="str">
        <x:v>Central</x:v>
      </x:c>
      <x:c r="G638" t="str">
        <x:v>Sports</x:v>
      </x:c>
      <x:c r="H638" t="n">
        <x:v>2</x:v>
      </x:c>
      <x:c r="I638" s="26" t="n">
        <x:v>2562.6</x:v>
      </x:c>
      <x:c r="J638" s="26" t="n">
        <x:v>5538</x:v>
      </x:c>
      <x:c r="K638" s="28" t="n">
        <x:v>0.135</x:v>
      </x:c>
      <x:c r="L638" s="26" t="n">
        <x:v>747.63</x:v>
      </x:c>
      <x:c r="M638" t="n">
        <x:v>0</x:v>
      </x:c>
      <x:c r="N638" s="26" t="n">
        <x:v>0</x:v>
      </x:c>
      <x:c r="O638" s="26" t="n">
        <x:v>102.45</x:v>
      </x:c>
      <x:c r="P638" s="26" t="n">
        <x:v>24.92</x:v>
      </x:c>
      <x:c r="Q638" s="26" t="n">
        <x:v>47.07</x:v>
      </x:c>
      <x:c r="R638" s="26" t="n">
        <x:v>58.15</x:v>
      </x:c>
      <x:c r="S638" s="26" t="n">
        <x:v>515.03</x:v>
      </x:c>
    </x:row>
    <x:row r="639">
      <x:c r="A639" t="n">
        <x:v>500636</x:v>
      </x:c>
      <x:c r="B639" s="24" t="n">
        <x:v>45784</x:v>
      </x:c>
      <x:c r="C639" t="n">
        <x:v>1001</x:v>
      </x:c>
      <x:c r="D639" t="str">
        <x:v>Seller 1001</x:v>
      </x:c>
      <x:c r="E639" t="str">
        <x:v>Platinum</x:v>
      </x:c>
      <x:c r="F639" t="str">
        <x:v>East</x:v>
      </x:c>
      <x:c r="G639" t="str">
        <x:v>Electronics</x:v>
      </x:c>
      <x:c r="H639" t="n">
        <x:v>2</x:v>
      </x:c>
      <x:c r="I639" s="26" t="n">
        <x:v>4955.400000000001</x:v>
      </x:c>
      <x:c r="J639" s="26" t="n">
        <x:v>14431.8</x:v>
      </x:c>
      <x:c r="K639" s="28" t="n">
        <x:v>0.1267</x:v>
      </x:c>
      <x:c r="L639" s="26" t="n">
        <x:v>1828.51</x:v>
      </x:c>
      <x:c r="M639" t="n">
        <x:v>0</x:v>
      </x:c>
      <x:c r="N639" s="26" t="n">
        <x:v>0</x:v>
      </x:c>
      <x:c r="O639" s="26" t="n">
        <x:v>266.99</x:v>
      </x:c>
      <x:c r="P639" s="26" t="n">
        <x:v>64.94</x:v>
      </x:c>
      <x:c r="Q639" s="26" t="n">
        <x:v>122.67</x:v>
      </x:c>
      <x:c r="R639" s="26" t="n">
        <x:v>151.53</x:v>
      </x:c>
      <x:c r="S639" s="26" t="n">
        <x:v>1222.37</x:v>
      </x:c>
    </x:row>
    <x:row r="640">
      <x:c r="A640" t="n">
        <x:v>500637</x:v>
      </x:c>
      <x:c r="B640" s="24" t="n">
        <x:v>45792</x:v>
      </x:c>
      <x:c r="C640" t="n">
        <x:v>1043</x:v>
      </x:c>
      <x:c r="D640" t="str">
        <x:v>Seller 1043</x:v>
      </x:c>
      <x:c r="E640" t="str">
        <x:v>Silver</x:v>
      </x:c>
      <x:c r="F640" t="str">
        <x:v>West</x:v>
      </x:c>
      <x:c r="G640" t="str">
        <x:v>Pet Supplies</x:v>
      </x:c>
      <x:c r="H640" t="n">
        <x:v>1</x:v>
      </x:c>
      <x:c r="I640" s="26" t="n">
        <x:v>3157.2</x:v>
      </x:c>
      <x:c r="J640" s="26" t="n">
        <x:v>2610</x:v>
      </x:c>
      <x:c r="K640" s="28" t="n">
        <x:v>0.1209</x:v>
      </x:c>
      <x:c r="L640" s="26" t="n">
        <x:v>315.55</x:v>
      </x:c>
      <x:c r="M640" t="n">
        <x:v>0</x:v>
      </x:c>
      <x:c r="N640" s="26" t="n">
        <x:v>0</x:v>
      </x:c>
      <x:c r="O640" s="26" t="n">
        <x:v>48.28</x:v>
      </x:c>
      <x:c r="P640" s="26" t="n">
        <x:v>11.74</x:v>
      </x:c>
      <x:c r="Q640" s="26" t="n">
        <x:v>22.19</x:v>
      </x:c>
      <x:c r="R640" s="26" t="n">
        <x:v>27.41</x:v>
      </x:c>
      <x:c r="S640" s="26" t="n">
        <x:v>205.93</x:v>
      </x:c>
    </x:row>
    <x:row r="641">
      <x:c r="A641" t="n">
        <x:v>500638</x:v>
      </x:c>
      <x:c r="B641" s="24" t="n">
        <x:v>45801</x:v>
      </x:c>
      <x:c r="C641" t="n">
        <x:v>1069</x:v>
      </x:c>
      <x:c r="D641" t="str">
        <x:v>Seller 1069</x:v>
      </x:c>
      <x:c r="E641" t="str">
        <x:v>Bronze</x:v>
      </x:c>
      <x:c r="F641" t="str">
        <x:v>East</x:v>
      </x:c>
      <x:c r="G641" t="str">
        <x:v>Apparel</x:v>
      </x:c>
      <x:c r="H641" t="n">
        <x:v>2</x:v>
      </x:c>
      <x:c r="I641" s="26" t="n">
        <x:v>1609.8</x:v>
      </x:c>
      <x:c r="J641" s="26" t="n">
        <x:v>1875</x:v>
      </x:c>
      <x:c r="K641" s="28" t="n">
        <x:v>0.1258</x:v>
      </x:c>
      <x:c r="L641" s="26" t="n">
        <x:v>235.88</x:v>
      </x:c>
      <x:c r="M641" t="n">
        <x:v>0</x:v>
      </x:c>
      <x:c r="N641" s="26" t="n">
        <x:v>0</x:v>
      </x:c>
      <x:c r="O641" s="26" t="n">
        <x:v>34.69</x:v>
      </x:c>
      <x:c r="P641" s="26" t="n">
        <x:v>8.44</x:v>
      </x:c>
      <x:c r="Q641" s="26" t="n">
        <x:v>15.94</x:v>
      </x:c>
      <x:c r="R641" s="26" t="n">
        <x:v>19.69</x:v>
      </x:c>
      <x:c r="S641" s="26" t="n">
        <x:v>157.12</x:v>
      </x:c>
    </x:row>
    <x:row r="642">
      <x:c r="A642" t="n">
        <x:v>500639</x:v>
      </x:c>
      <x:c r="B642" s="24" t="n">
        <x:v>45780</x:v>
      </x:c>
      <x:c r="C642" t="n">
        <x:v>1041</x:v>
      </x:c>
      <x:c r="D642" t="str">
        <x:v>Seller 1041</x:v>
      </x:c>
      <x:c r="E642" t="str">
        <x:v>Silver</x:v>
      </x:c>
      <x:c r="F642" t="str">
        <x:v>West</x:v>
      </x:c>
      <x:c r="G642" t="str">
        <x:v>Apparel</x:v>
      </x:c>
      <x:c r="H642" t="n">
        <x:v>3</x:v>
      </x:c>
      <x:c r="I642" s="26" t="n">
        <x:v>1327.2</x:v>
      </x:c>
      <x:c r="J642" s="26" t="n">
        <x:v>3292.2</x:v>
      </x:c>
      <x:c r="K642" s="28" t="n">
        <x:v>0.116</x:v>
      </x:c>
      <x:c r="L642" s="26" t="n">
        <x:v>381.9</x:v>
      </x:c>
      <x:c r="M642" t="n">
        <x:v>0</x:v>
      </x:c>
      <x:c r="N642" s="26" t="n">
        <x:v>0</x:v>
      </x:c>
      <x:c r="O642" s="26" t="n">
        <x:v>60.91</x:v>
      </x:c>
      <x:c r="P642" s="26" t="n">
        <x:v>14.81</x:v>
      </x:c>
      <x:c r="Q642" s="26" t="n">
        <x:v>27.98</x:v>
      </x:c>
      <x:c r="R642" s="26" t="n">
        <x:v>34.57</x:v>
      </x:c>
      <x:c r="S642" s="26" t="n">
        <x:v>243.62</x:v>
      </x:c>
    </x:row>
    <x:row r="643">
      <x:c r="A643" t="n">
        <x:v>500640</x:v>
      </x:c>
      <x:c r="B643" s="24" t="n">
        <x:v>45790</x:v>
      </x:c>
      <x:c r="C643" t="n">
        <x:v>1020</x:v>
      </x:c>
      <x:c r="D643" t="str">
        <x:v>Seller 1020</x:v>
      </x:c>
      <x:c r="E643" t="str">
        <x:v>Gold</x:v>
      </x:c>
      <x:c r="F643" t="str">
        <x:v>West</x:v>
      </x:c>
      <x:c r="G643" t="str">
        <x:v>Home &amp; Kitchen</x:v>
      </x:c>
      <x:c r="H643" t="n">
        <x:v>5</x:v>
      </x:c>
      <x:c r="I643" s="26" t="n">
        <x:v>1203.6</x:v>
      </x:c>
      <x:c r="J643" s="26" t="n">
        <x:v>6502.2</x:v>
      </x:c>
      <x:c r="K643" s="28" t="n">
        <x:v>0.138</x:v>
      </x:c>
      <x:c r="L643" s="26" t="n">
        <x:v>897.3</x:v>
      </x:c>
      <x:c r="M643" t="n">
        <x:v>0</x:v>
      </x:c>
      <x:c r="N643" s="26" t="n">
        <x:v>0</x:v>
      </x:c>
      <x:c r="O643" s="26" t="n">
        <x:v>120.29</x:v>
      </x:c>
      <x:c r="P643" s="26" t="n">
        <x:v>29.26</x:v>
      </x:c>
      <x:c r="Q643" s="26" t="n">
        <x:v>55.27</x:v>
      </x:c>
      <x:c r="R643" s="26" t="n">
        <x:v>68.27</x:v>
      </x:c>
      <x:c r="S643" s="26" t="n">
        <x:v>624.21</x:v>
      </x:c>
    </x:row>
    <x:row r="644">
      <x:c r="A644" t="n">
        <x:v>500641</x:v>
      </x:c>
      <x:c r="B644" s="24" t="n">
        <x:v>45791</x:v>
      </x:c>
      <x:c r="C644" t="n">
        <x:v>1024</x:v>
      </x:c>
      <x:c r="D644" t="str">
        <x:v>Seller 1024</x:v>
      </x:c>
      <x:c r="E644" t="str">
        <x:v>Gold</x:v>
      </x:c>
      <x:c r="F644" t="str">
        <x:v>West</x:v>
      </x:c>
      <x:c r="G644" t="str">
        <x:v>Pet Supplies</x:v>
      </x:c>
      <x:c r="H644" t="n">
        <x:v>3</x:v>
      </x:c>
      <x:c r="I644" s="26" t="n">
        <x:v>726.5999999999999</x:v>
      </x:c>
      <x:c r="J644" s="26" t="n">
        <x:v>2355.6</x:v>
      </x:c>
      <x:c r="K644" s="28" t="n">
        <x:v>0.1369</x:v>
      </x:c>
      <x:c r="L644" s="26" t="n">
        <x:v>322.48</x:v>
      </x:c>
      <x:c r="M644" t="n">
        <x:v>0</x:v>
      </x:c>
      <x:c r="N644" s="26" t="n">
        <x:v>0</x:v>
      </x:c>
      <x:c r="O644" s="26" t="n">
        <x:v>43.58</x:v>
      </x:c>
      <x:c r="P644" s="26" t="n">
        <x:v>10.6</x:v>
      </x:c>
      <x:c r="Q644" s="26" t="n">
        <x:v>20.02</x:v>
      </x:c>
      <x:c r="R644" s="26" t="n">
        <x:v>24.73</x:v>
      </x:c>
      <x:c r="S644" s="26" t="n">
        <x:v>223.55</x:v>
      </x:c>
    </x:row>
    <x:row r="645">
      <x:c r="A645" t="n">
        <x:v>500642</x:v>
      </x:c>
      <x:c r="B645" s="24" t="n">
        <x:v>45781</x:v>
      </x:c>
      <x:c r="C645" t="n">
        <x:v>1012</x:v>
      </x:c>
      <x:c r="D645" t="str">
        <x:v>Seller 1012</x:v>
      </x:c>
      <x:c r="E645" t="str">
        <x:v>Platinum</x:v>
      </x:c>
      <x:c r="F645" t="str">
        <x:v>East</x:v>
      </x:c>
      <x:c r="G645" t="str">
        <x:v>Beauty</x:v>
      </x:c>
      <x:c r="H645" t="n">
        <x:v>2</x:v>
      </x:c>
      <x:c r="I645" s="26" t="n">
        <x:v>1551</x:v>
      </x:c>
      <x:c r="J645" s="26" t="n">
        <x:v>4516.8</x:v>
      </x:c>
      <x:c r="K645" s="28" t="n">
        <x:v>0.1558</x:v>
      </x:c>
      <x:c r="L645" s="26" t="n">
        <x:v>703.72</x:v>
      </x:c>
      <x:c r="M645" t="n">
        <x:v>0</x:v>
      </x:c>
      <x:c r="N645" s="26" t="n">
        <x:v>0</x:v>
      </x:c>
      <x:c r="O645" s="26" t="n">
        <x:v>83.56</x:v>
      </x:c>
      <x:c r="P645" s="26" t="n">
        <x:v>20.33</x:v>
      </x:c>
      <x:c r="Q645" s="26" t="n">
        <x:v>38.39</x:v>
      </x:c>
      <x:c r="R645" s="26" t="n">
        <x:v>47.43</x:v>
      </x:c>
      <x:c r="S645" s="26" t="n">
        <x:v>514.01</x:v>
      </x:c>
    </x:row>
    <x:row r="646">
      <x:c r="A646" t="n">
        <x:v>500643</x:v>
      </x:c>
      <x:c r="B646" s="24" t="n">
        <x:v>45784</x:v>
      </x:c>
      <x:c r="C646" t="n">
        <x:v>1048</x:v>
      </x:c>
      <x:c r="D646" t="str">
        <x:v>Seller 1048</x:v>
      </x:c>
      <x:c r="E646" t="str">
        <x:v>Silver</x:v>
      </x:c>
      <x:c r="F646" t="str">
        <x:v>East</x:v>
      </x:c>
      <x:c r="G646" t="str">
        <x:v>Home &amp; Kitchen</x:v>
      </x:c>
      <x:c r="H646" t="n">
        <x:v>3</x:v>
      </x:c>
      <x:c r="I646" s="26" t="n">
        <x:v>1419</x:v>
      </x:c>
      <x:c r="J646" s="26" t="n">
        <x:v>3519.6</x:v>
      </x:c>
      <x:c r="K646" s="28" t="n">
        <x:v>0.1236</x:v>
      </x:c>
      <x:c r="L646" s="26" t="n">
        <x:v>435.02</x:v>
      </x:c>
      <x:c r="M646" t="n">
        <x:v>0</x:v>
      </x:c>
      <x:c r="N646" s="26" t="n">
        <x:v>0</x:v>
      </x:c>
      <x:c r="O646" s="26" t="n">
        <x:v>65.11</x:v>
      </x:c>
      <x:c r="P646" s="26" t="n">
        <x:v>15.84</x:v>
      </x:c>
      <x:c r="Q646" s="26" t="n">
        <x:v>29.92</x:v>
      </x:c>
      <x:c r="R646" s="26" t="n">
        <x:v>36.96</x:v>
      </x:c>
      <x:c r="S646" s="26" t="n">
        <x:v>287.2</x:v>
      </x:c>
    </x:row>
    <x:row r="647">
      <x:c r="A647" t="n">
        <x:v>500644</x:v>
      </x:c>
      <x:c r="B647" s="24" t="n">
        <x:v>45794</x:v>
      </x:c>
      <x:c r="C647" t="n">
        <x:v>1044</x:v>
      </x:c>
      <x:c r="D647" t="str">
        <x:v>Seller 1044</x:v>
      </x:c>
      <x:c r="E647" t="str">
        <x:v>Silver</x:v>
      </x:c>
      <x:c r="F647" t="str">
        <x:v>East</x:v>
      </x:c>
      <x:c r="G647" t="str">
        <x:v>Pet Supplies</x:v>
      </x:c>
      <x:c r="H647" t="n">
        <x:v>3</x:v>
      </x:c>
      <x:c r="I647" s="26" t="n">
        <x:v>886.8</x:v>
      </x:c>
      <x:c r="J647" s="26" t="n">
        <x:v>2199.6</x:v>
      </x:c>
      <x:c r="K647" s="28" t="n">
        <x:v>0.1279</x:v>
      </x:c>
      <x:c r="L647" s="26" t="n">
        <x:v>281.33</x:v>
      </x:c>
      <x:c r="M647" t="n">
        <x:v>0</x:v>
      </x:c>
      <x:c r="N647" s="26" t="n">
        <x:v>0</x:v>
      </x:c>
      <x:c r="O647" s="26" t="n">
        <x:v>40.69</x:v>
      </x:c>
      <x:c r="P647" s="26" t="n">
        <x:v>9.9</x:v>
      </x:c>
      <x:c r="Q647" s="26" t="n">
        <x:v>18.7</x:v>
      </x:c>
      <x:c r="R647" s="26" t="n">
        <x:v>23.1</x:v>
      </x:c>
      <x:c r="S647" s="26" t="n">
        <x:v>188.95</x:v>
      </x:c>
    </x:row>
    <x:row r="648">
      <x:c r="A648" t="n">
        <x:v>500645</x:v>
      </x:c>
      <x:c r="B648" s="24" t="n">
        <x:v>45779</x:v>
      </x:c>
      <x:c r="C648" t="n">
        <x:v>1017</x:v>
      </x:c>
      <x:c r="D648" t="str">
        <x:v>Seller 1017</x:v>
      </x:c>
      <x:c r="E648" t="str">
        <x:v>Gold</x:v>
      </x:c>
      <x:c r="F648" t="str">
        <x:v>East</x:v>
      </x:c>
      <x:c r="G648" t="str">
        <x:v>Electronics</x:v>
      </x:c>
      <x:c r="H648" t="n">
        <x:v>3</x:v>
      </x:c>
      <x:c r="I648" s="26" t="n">
        <x:v>3057</x:v>
      </x:c>
      <x:c r="J648" s="26" t="n">
        <x:v>9907.8</x:v>
      </x:c>
      <x:c r="K648" s="28" t="n">
        <x:v>0.1338</x:v>
      </x:c>
      <x:c r="L648" s="26" t="n">
        <x:v>1325.66</x:v>
      </x:c>
      <x:c r="M648" t="n">
        <x:v>0</x:v>
      </x:c>
      <x:c r="N648" s="26" t="n">
        <x:v>0</x:v>
      </x:c>
      <x:c r="O648" s="26" t="n">
        <x:v>183.29</x:v>
      </x:c>
      <x:c r="P648" s="26" t="n">
        <x:v>44.59</x:v>
      </x:c>
      <x:c r="Q648" s="26" t="n">
        <x:v>84.22</x:v>
      </x:c>
      <x:c r="R648" s="26" t="n">
        <x:v>104.03</x:v>
      </x:c>
      <x:c r="S648" s="26" t="n">
        <x:v>909.54</x:v>
      </x:c>
    </x:row>
    <x:row r="649">
      <x:c r="A649" t="n">
        <x:v>500646</x:v>
      </x:c>
      <x:c r="B649" s="24" t="n">
        <x:v>45796</x:v>
      </x:c>
      <x:c r="C649" t="n">
        <x:v>1077</x:v>
      </x:c>
      <x:c r="D649" t="str">
        <x:v>Seller 1077</x:v>
      </x:c>
      <x:c r="E649" t="str">
        <x:v>Bronze</x:v>
      </x:c>
      <x:c r="F649" t="str">
        <x:v>South</x:v>
      </x:c>
      <x:c r="G649" t="str">
        <x:v>Beauty</x:v>
      </x:c>
      <x:c r="H649" t="n">
        <x:v>2</x:v>
      </x:c>
      <x:c r="I649" s="26" t="n">
        <x:v>1333.1999999999998</x:v>
      </x:c>
      <x:c r="J649" s="26" t="n">
        <x:v>1553.4</x:v>
      </x:c>
      <x:c r="K649" s="28" t="n">
        <x:v>0.1455</x:v>
      </x:c>
      <x:c r="L649" s="26" t="n">
        <x:v>226.02</x:v>
      </x:c>
      <x:c r="M649" t="n">
        <x:v>0</x:v>
      </x:c>
      <x:c r="N649" s="26" t="n">
        <x:v>0</x:v>
      </x:c>
      <x:c r="O649" s="26" t="n">
        <x:v>28.74</x:v>
      </x:c>
      <x:c r="P649" s="26" t="n">
        <x:v>6.99</x:v>
      </x:c>
      <x:c r="Q649" s="26" t="n">
        <x:v>13.2</x:v>
      </x:c>
      <x:c r="R649" s="26" t="n">
        <x:v>16.31</x:v>
      </x:c>
      <x:c r="S649" s="26" t="n">
        <x:v>160.78</x:v>
      </x:c>
    </x:row>
    <x:row r="650">
      <x:c r="A650" t="n">
        <x:v>500647</x:v>
      </x:c>
      <x:c r="B650" s="24" t="n">
        <x:v>45799</x:v>
      </x:c>
      <x:c r="C650" t="n">
        <x:v>1040</x:v>
      </x:c>
      <x:c r="D650" t="str">
        <x:v>Seller 1040</x:v>
      </x:c>
      <x:c r="E650" t="str">
        <x:v>Silver</x:v>
      </x:c>
      <x:c r="F650" t="str">
        <x:v>West</x:v>
      </x:c>
      <x:c r="G650" t="str">
        <x:v>Pet Supplies</x:v>
      </x:c>
      <x:c r="H650" t="n">
        <x:v>2</x:v>
      </x:c>
      <x:c r="I650" s="26" t="n">
        <x:v>1722</x:v>
      </x:c>
      <x:c r="J650" s="26" t="n">
        <x:v>2847</x:v>
      </x:c>
      <x:c r="K650" s="28" t="n">
        <x:v>0.1269</x:v>
      </x:c>
      <x:c r="L650" s="26" t="n">
        <x:v>361.28</x:v>
      </x:c>
      <x:c r="M650" t="n">
        <x:v>0</x:v>
      </x:c>
      <x:c r="N650" s="26" t="n">
        <x:v>0</x:v>
      </x:c>
      <x:c r="O650" s="26" t="n">
        <x:v>52.67</x:v>
      </x:c>
      <x:c r="P650" s="26" t="n">
        <x:v>12.81</x:v>
      </x:c>
      <x:c r="Q650" s="26" t="n">
        <x:v>24.2</x:v>
      </x:c>
      <x:c r="R650" s="26" t="n">
        <x:v>29.89</x:v>
      </x:c>
      <x:c r="S650" s="26" t="n">
        <x:v>241.71</x:v>
      </x:c>
    </x:row>
    <x:row r="651">
      <x:c r="A651" t="n">
        <x:v>500648</x:v>
      </x:c>
      <x:c r="B651" s="24" t="n">
        <x:v>45795</x:v>
      </x:c>
      <x:c r="C651" t="n">
        <x:v>1016</x:v>
      </x:c>
      <x:c r="D651" t="str">
        <x:v>Seller 1016</x:v>
      </x:c>
      <x:c r="E651" t="str">
        <x:v>Gold</x:v>
      </x:c>
      <x:c r="F651" t="str">
        <x:v>West</x:v>
      </x:c>
      <x:c r="G651" t="str">
        <x:v>Sports</x:v>
      </x:c>
      <x:c r="H651" t="n">
        <x:v>2</x:v>
      </x:c>
      <x:c r="I651" s="26" t="n">
        <x:v>2430.6</x:v>
      </x:c>
      <x:c r="J651" s="26" t="n">
        <x:v>5251.2</x:v>
      </x:c>
      <x:c r="K651" s="28" t="n">
        <x:v>0.139</x:v>
      </x:c>
      <x:c r="L651" s="26" t="n">
        <x:v>729.92</x:v>
      </x:c>
      <x:c r="M651" t="n">
        <x:v>0</x:v>
      </x:c>
      <x:c r="N651" s="26" t="n">
        <x:v>0</x:v>
      </x:c>
      <x:c r="O651" s="26" t="n">
        <x:v>97.15</x:v>
      </x:c>
      <x:c r="P651" s="26" t="n">
        <x:v>23.63</x:v>
      </x:c>
      <x:c r="Q651" s="26" t="n">
        <x:v>44.64</x:v>
      </x:c>
      <x:c r="R651" s="26" t="n">
        <x:v>55.14</x:v>
      </x:c>
      <x:c r="S651" s="26" t="n">
        <x:v>509.37</x:v>
      </x:c>
    </x:row>
    <x:row r="652">
      <x:c r="A652" t="n">
        <x:v>500649</x:v>
      </x:c>
      <x:c r="B652" s="24" t="n">
        <x:v>45787</x:v>
      </x:c>
      <x:c r="C652" t="n">
        <x:v>1045</x:v>
      </x:c>
      <x:c r="D652" t="str">
        <x:v>Seller 1045</x:v>
      </x:c>
      <x:c r="E652" t="str">
        <x:v>Silver</x:v>
      </x:c>
      <x:c r="F652" t="str">
        <x:v>Central</x:v>
      </x:c>
      <x:c r="G652" t="str">
        <x:v>Home &amp; Kitchen</x:v>
      </x:c>
      <x:c r="H652" t="n">
        <x:v>2</x:v>
      </x:c>
      <x:c r="I652" s="26" t="n">
        <x:v>3394.7999999999997</x:v>
      </x:c>
      <x:c r="J652" s="26" t="n">
        <x:v>5613</x:v>
      </x:c>
      <x:c r="K652" s="28" t="n">
        <x:v>0.1423</x:v>
      </x:c>
      <x:c r="L652" s="26" t="n">
        <x:v>798.73</x:v>
      </x:c>
      <x:c r="M652" t="n">
        <x:v>0</x:v>
      </x:c>
      <x:c r="N652" s="26" t="n">
        <x:v>0</x:v>
      </x:c>
      <x:c r="O652" s="26" t="n">
        <x:v>103.84</x:v>
      </x:c>
      <x:c r="P652" s="26" t="n">
        <x:v>25.26</x:v>
      </x:c>
      <x:c r="Q652" s="26" t="n">
        <x:v>47.71</x:v>
      </x:c>
      <x:c r="R652" s="26" t="n">
        <x:v>58.94</x:v>
      </x:c>
      <x:c r="S652" s="26" t="n">
        <x:v>562.98</x:v>
      </x:c>
    </x:row>
    <x:row r="653">
      <x:c r="A653" t="n">
        <x:v>500650</x:v>
      </x:c>
      <x:c r="B653" s="24" t="n">
        <x:v>45779</x:v>
      </x:c>
      <x:c r="C653" t="n">
        <x:v>1079</x:v>
      </x:c>
      <x:c r="D653" t="str">
        <x:v>Seller 1079</x:v>
      </x:c>
      <x:c r="E653" t="str">
        <x:v>Bronze</x:v>
      </x:c>
      <x:c r="F653" t="str">
        <x:v>South</x:v>
      </x:c>
      <x:c r="G653" t="str">
        <x:v>Sports</x:v>
      </x:c>
      <x:c r="H653" t="n">
        <x:v>2</x:v>
      </x:c>
      <x:c r="I653" s="26" t="n">
        <x:v>2346.6</x:v>
      </x:c>
      <x:c r="J653" s="26" t="n">
        <x:v>2733.6</x:v>
      </x:c>
      <x:c r="K653" s="28" t="n">
        <x:v>0.1273</x:v>
      </x:c>
      <x:c r="L653" s="26" t="n">
        <x:v>347.99</x:v>
      </x:c>
      <x:c r="M653" t="n">
        <x:v>0</x:v>
      </x:c>
      <x:c r="N653" s="26" t="n">
        <x:v>0</x:v>
      </x:c>
      <x:c r="O653" s="26" t="n">
        <x:v>50.57</x:v>
      </x:c>
      <x:c r="P653" s="26" t="n">
        <x:v>12.3</x:v>
      </x:c>
      <x:c r="Q653" s="26" t="n">
        <x:v>23.24</x:v>
      </x:c>
      <x:c r="R653" s="26" t="n">
        <x:v>28.7</x:v>
      </x:c>
      <x:c r="S653" s="26" t="n">
        <x:v>233.18</x:v>
      </x:c>
    </x:row>
    <x:row r="654">
      <x:c r="A654" t="n">
        <x:v>500651</x:v>
      </x:c>
      <x:c r="B654" s="24" t="n">
        <x:v>45797</x:v>
      </x:c>
      <x:c r="C654" t="n">
        <x:v>1012</x:v>
      </x:c>
      <x:c r="D654" t="str">
        <x:v>Seller 1012</x:v>
      </x:c>
      <x:c r="E654" t="str">
        <x:v>Platinum</x:v>
      </x:c>
      <x:c r="F654" t="str">
        <x:v>East</x:v>
      </x:c>
      <x:c r="G654" t="str">
        <x:v>Beauty</x:v>
      </x:c>
      <x:c r="H654" t="n">
        <x:v>3</x:v>
      </x:c>
      <x:c r="I654" s="26" t="n">
        <x:v>1136.4</x:v>
      </x:c>
      <x:c r="J654" s="26" t="n">
        <x:v>4965</x:v>
      </x:c>
      <x:c r="K654" s="28" t="n">
        <x:v>0.1472</x:v>
      </x:c>
      <x:c r="L654" s="26" t="n">
        <x:v>730.85</x:v>
      </x:c>
      <x:c r="M654" t="n">
        <x:v>0</x:v>
      </x:c>
      <x:c r="N654" s="26" t="n">
        <x:v>0</x:v>
      </x:c>
      <x:c r="O654" s="26" t="n">
        <x:v>91.85</x:v>
      </x:c>
      <x:c r="P654" s="26" t="n">
        <x:v>22.34</x:v>
      </x:c>
      <x:c r="Q654" s="26" t="n">
        <x:v>42.2</x:v>
      </x:c>
      <x:c r="R654" s="26" t="n">
        <x:v>52.13</x:v>
      </x:c>
      <x:c r="S654" s="26" t="n">
        <x:v>522.32</x:v>
      </x:c>
    </x:row>
    <x:row r="655">
      <x:c r="A655" t="n">
        <x:v>500652</x:v>
      </x:c>
      <x:c r="B655" s="24" t="n">
        <x:v>45802</x:v>
      </x:c>
      <x:c r="C655" t="n">
        <x:v>1046</x:v>
      </x:c>
      <x:c r="D655" t="str">
        <x:v>Seller 1046</x:v>
      </x:c>
      <x:c r="E655" t="str">
        <x:v>Silver</x:v>
      </x:c>
      <x:c r="F655" t="str">
        <x:v>Central</x:v>
      </x:c>
      <x:c r="G655" t="str">
        <x:v>Sports</x:v>
      </x:c>
      <x:c r="H655" t="n">
        <x:v>3</x:v>
      </x:c>
      <x:c r="I655" s="26" t="n">
        <x:v>994.8</x:v>
      </x:c>
      <x:c r="J655" s="26" t="n">
        <x:v>2467.2</x:v>
      </x:c>
      <x:c r="K655" s="28" t="n">
        <x:v>0.1321</x:v>
      </x:c>
      <x:c r="L655" s="26" t="n">
        <x:v>325.92</x:v>
      </x:c>
      <x:c r="M655" t="n">
        <x:v>0</x:v>
      </x:c>
      <x:c r="N655" s="26" t="n">
        <x:v>0</x:v>
      </x:c>
      <x:c r="O655" s="26" t="n">
        <x:v>45.64</x:v>
      </x:c>
      <x:c r="P655" s="26" t="n">
        <x:v>11.1</x:v>
      </x:c>
      <x:c r="Q655" s="26" t="n">
        <x:v>20.97</x:v>
      </x:c>
      <x:c r="R655" s="26" t="n">
        <x:v>25.91</x:v>
      </x:c>
      <x:c r="S655" s="26" t="n">
        <x:v>222.29</x:v>
      </x:c>
    </x:row>
    <x:row r="656">
      <x:c r="A656" t="n">
        <x:v>500653</x:v>
      </x:c>
      <x:c r="B656" s="24" t="n">
        <x:v>45798</x:v>
      </x:c>
      <x:c r="C656" t="n">
        <x:v>1060</x:v>
      </x:c>
      <x:c r="D656" t="str">
        <x:v>Seller 1060</x:v>
      </x:c>
      <x:c r="E656" t="str">
        <x:v>Bronze</x:v>
      </x:c>
      <x:c r="F656" t="str">
        <x:v>East</x:v>
      </x:c>
      <x:c r="G656" t="str">
        <x:v>Pet Supplies</x:v>
      </x:c>
      <x:c r="H656" t="n">
        <x:v>3</x:v>
      </x:c>
      <x:c r="I656" s="26" t="n">
        <x:v>1287.6000000000001</x:v>
      </x:c>
      <x:c r="J656" s="26" t="n">
        <x:v>2250</x:v>
      </x:c>
      <x:c r="K656" s="28" t="n">
        <x:v>0.1368</x:v>
      </x:c>
      <x:c r="L656" s="26" t="n">
        <x:v>307.8</x:v>
      </x:c>
      <x:c r="M656" t="n">
        <x:v>0</x:v>
      </x:c>
      <x:c r="N656" s="26" t="n">
        <x:v>0</x:v>
      </x:c>
      <x:c r="O656" s="26" t="n">
        <x:v>41.62</x:v>
      </x:c>
      <x:c r="P656" s="26" t="n">
        <x:v>10.12</x:v>
      </x:c>
      <x:c r="Q656" s="26" t="n">
        <x:v>19.12</x:v>
      </x:c>
      <x:c r="R656" s="26" t="n">
        <x:v>23.62</x:v>
      </x:c>
      <x:c r="S656" s="26" t="n">
        <x:v>213.3</x:v>
      </x:c>
    </x:row>
    <x:row r="657">
      <x:c r="A657" t="n">
        <x:v>500654</x:v>
      </x:c>
      <x:c r="B657" s="24" t="n">
        <x:v>45783</x:v>
      </x:c>
      <x:c r="C657" t="n">
        <x:v>1060</x:v>
      </x:c>
      <x:c r="D657" t="str">
        <x:v>Seller 1060</x:v>
      </x:c>
      <x:c r="E657" t="str">
        <x:v>Bronze</x:v>
      </x:c>
      <x:c r="F657" t="str">
        <x:v>East</x:v>
      </x:c>
      <x:c r="G657" t="str">
        <x:v>Pet Supplies</x:v>
      </x:c>
      <x:c r="H657" t="n">
        <x:v>3</x:v>
      </x:c>
      <x:c r="I657" s="26" t="n">
        <x:v>994.8</x:v>
      </x:c>
      <x:c r="J657" s="26" t="n">
        <x:v>1738.8</x:v>
      </x:c>
      <x:c r="K657" s="28" t="n">
        <x:v>0.1415</x:v>
      </x:c>
      <x:c r="L657" s="26" t="n">
        <x:v>246.04</x:v>
      </x:c>
      <x:c r="M657" t="n">
        <x:v>0</x:v>
      </x:c>
      <x:c r="N657" s="26" t="n">
        <x:v>0</x:v>
      </x:c>
      <x:c r="O657" s="26" t="n">
        <x:v>32.17</x:v>
      </x:c>
      <x:c r="P657" s="26" t="n">
        <x:v>7.82</x:v>
      </x:c>
      <x:c r="Q657" s="26" t="n">
        <x:v>14.78</x:v>
      </x:c>
      <x:c r="R657" s="26" t="n">
        <x:v>18.26</x:v>
      </x:c>
      <x:c r="S657" s="26" t="n">
        <x:v>173.01</x:v>
      </x:c>
    </x:row>
    <x:row r="658">
      <x:c r="A658" t="n">
        <x:v>500655</x:v>
      </x:c>
      <x:c r="B658" s="24" t="n">
        <x:v>45783</x:v>
      </x:c>
      <x:c r="C658" t="n">
        <x:v>1043</x:v>
      </x:c>
      <x:c r="D658" t="str">
        <x:v>Seller 1043</x:v>
      </x:c>
      <x:c r="E658" t="str">
        <x:v>Silver</x:v>
      </x:c>
      <x:c r="F658" t="str">
        <x:v>West</x:v>
      </x:c>
      <x:c r="G658" t="str">
        <x:v>Beauty</x:v>
      </x:c>
      <x:c r="H658" t="n">
        <x:v>2</x:v>
      </x:c>
      <x:c r="I658" s="26" t="n">
        <x:v>1335</x:v>
      </x:c>
      <x:c r="J658" s="26" t="n">
        <x:v>2207.4</x:v>
      </x:c>
      <x:c r="K658" s="28" t="n">
        <x:v>0.1444</x:v>
      </x:c>
      <x:c r="L658" s="26" t="n">
        <x:v>318.75</x:v>
      </x:c>
      <x:c r="M658" t="n">
        <x:v>0</x:v>
      </x:c>
      <x:c r="N658" s="26" t="n">
        <x:v>0</x:v>
      </x:c>
      <x:c r="O658" s="26" t="n">
        <x:v>40.84</x:v>
      </x:c>
      <x:c r="P658" s="26" t="n">
        <x:v>9.93</x:v>
      </x:c>
      <x:c r="Q658" s="26" t="n">
        <x:v>18.76</x:v>
      </x:c>
      <x:c r="R658" s="26" t="n">
        <x:v>23.18</x:v>
      </x:c>
      <x:c r="S658" s="26" t="n">
        <x:v>226.04</x:v>
      </x:c>
    </x:row>
    <x:row r="659">
      <x:c r="A659" t="n">
        <x:v>500656</x:v>
      </x:c>
      <x:c r="B659" s="24" t="n">
        <x:v>45795</x:v>
      </x:c>
      <x:c r="C659" t="n">
        <x:v>1037</x:v>
      </x:c>
      <x:c r="D659" t="str">
        <x:v>Seller 1037</x:v>
      </x:c>
      <x:c r="E659" t="str">
        <x:v>Silver</x:v>
      </x:c>
      <x:c r="F659" t="str">
        <x:v>East</x:v>
      </x:c>
      <x:c r="G659" t="str">
        <x:v>Sports</x:v>
      </x:c>
      <x:c r="H659" t="n">
        <x:v>1</x:v>
      </x:c>
      <x:c r="I659" s="26" t="n">
        <x:v>4363.8</x:v>
      </x:c>
      <x:c r="J659" s="26" t="n">
        <x:v>3607.2</x:v>
      </x:c>
      <x:c r="K659" s="28" t="n">
        <x:v>0.1257</x:v>
      </x:c>
      <x:c r="L659" s="26" t="n">
        <x:v>453.43</x:v>
      </x:c>
      <x:c r="M659" t="n">
        <x:v>0</x:v>
      </x:c>
      <x:c r="N659" s="26" t="n">
        <x:v>0</x:v>
      </x:c>
      <x:c r="O659" s="26" t="n">
        <x:v>66.73</x:v>
      </x:c>
      <x:c r="P659" s="26" t="n">
        <x:v>16.23</x:v>
      </x:c>
      <x:c r="Q659" s="26" t="n">
        <x:v>30.66</x:v>
      </x:c>
      <x:c r="R659" s="26" t="n">
        <x:v>37.88</x:v>
      </x:c>
      <x:c r="S659" s="26" t="n">
        <x:v>301.92</x:v>
      </x:c>
    </x:row>
    <x:row r="660">
      <x:c r="A660" t="n">
        <x:v>500657</x:v>
      </x:c>
      <x:c r="B660" s="24" t="n">
        <x:v>45793</x:v>
      </x:c>
      <x:c r="C660" t="n">
        <x:v>1010</x:v>
      </x:c>
      <x:c r="D660" t="str">
        <x:v>Seller 1010</x:v>
      </x:c>
      <x:c r="E660" t="str">
        <x:v>Platinum</x:v>
      </x:c>
      <x:c r="F660" t="str">
        <x:v>West</x:v>
      </x:c>
      <x:c r="G660" t="str">
        <x:v>Sports</x:v>
      </x:c>
      <x:c r="H660" t="n">
        <x:v>1</x:v>
      </x:c>
      <x:c r="I660" s="26" t="n">
        <x:v>4678.2</x:v>
      </x:c>
      <x:c r="J660" s="26" t="n">
        <x:v>6812.4</x:v>
      </x:c>
      <x:c r="K660" s="28" t="n">
        <x:v>0.1217</x:v>
      </x:c>
      <x:c r="L660" s="26" t="n">
        <x:v>829.07</x:v>
      </x:c>
      <x:c r="M660" t="n">
        <x:v>0</x:v>
      </x:c>
      <x:c r="N660" s="26" t="n">
        <x:v>0</x:v>
      </x:c>
      <x:c r="O660" s="26" t="n">
        <x:v>126.03</x:v>
      </x:c>
      <x:c r="P660" s="26" t="n">
        <x:v>30.66</x:v>
      </x:c>
      <x:c r="Q660" s="26" t="n">
        <x:v>57.91</x:v>
      </x:c>
      <x:c r="R660" s="26" t="n">
        <x:v>71.53</x:v>
      </x:c>
      <x:c r="S660" s="26" t="n">
        <x:v>542.95</x:v>
      </x:c>
    </x:row>
    <x:row r="661">
      <x:c r="A661" t="n">
        <x:v>500658</x:v>
      </x:c>
      <x:c r="B661" s="24" t="n">
        <x:v>45788</x:v>
      </x:c>
      <x:c r="C661" t="n">
        <x:v>1050</x:v>
      </x:c>
      <x:c r="D661" t="str">
        <x:v>Seller 1050</x:v>
      </x:c>
      <x:c r="E661" t="str">
        <x:v>Silver</x:v>
      </x:c>
      <x:c r="F661" t="str">
        <x:v>East</x:v>
      </x:c>
      <x:c r="G661" t="str">
        <x:v>Electronics</x:v>
      </x:c>
      <x:c r="H661" t="n">
        <x:v>2</x:v>
      </x:c>
      <x:c r="I661" s="26" t="n">
        <x:v>5384.4</x:v>
      </x:c>
      <x:c r="J661" s="26" t="n">
        <x:v>8902.8</x:v>
      </x:c>
      <x:c r="K661" s="28" t="n">
        <x:v>0.1233</x:v>
      </x:c>
      <x:c r="L661" s="26" t="n">
        <x:v>1097.72</x:v>
      </x:c>
      <x:c r="M661" t="n">
        <x:v>0</x:v>
      </x:c>
      <x:c r="N661" s="26" t="n">
        <x:v>0</x:v>
      </x:c>
      <x:c r="O661" s="26" t="n">
        <x:v>164.7</x:v>
      </x:c>
      <x:c r="P661" s="26" t="n">
        <x:v>40.06</x:v>
      </x:c>
      <x:c r="Q661" s="26" t="n">
        <x:v>75.67</x:v>
      </x:c>
      <x:c r="R661" s="26" t="n">
        <x:v>93.48</x:v>
      </x:c>
      <x:c r="S661" s="26" t="n">
        <x:v>723.8</x:v>
      </x:c>
    </x:row>
    <x:row r="662">
      <x:c r="A662" t="n">
        <x:v>500659</x:v>
      </x:c>
      <x:c r="B662" s="24" t="n">
        <x:v>45781</x:v>
      </x:c>
      <x:c r="C662" t="n">
        <x:v>1070</x:v>
      </x:c>
      <x:c r="D662" t="str">
        <x:v>Seller 1070</x:v>
      </x:c>
      <x:c r="E662" t="str">
        <x:v>Bronze</x:v>
      </x:c>
      <x:c r="F662" t="str">
        <x:v>West</x:v>
      </x:c>
      <x:c r="G662" t="str">
        <x:v>Electronics</x:v>
      </x:c>
      <x:c r="H662" t="n">
        <x:v>3</x:v>
      </x:c>
      <x:c r="I662" s="26" t="n">
        <x:v>3817.2</x:v>
      </x:c>
      <x:c r="J662" s="26" t="n">
        <x:v>6670.2</x:v>
      </x:c>
      <x:c r="K662" s="28" t="n">
        <x:v>0.1307</x:v>
      </x:c>
      <x:c r="L662" s="26" t="n">
        <x:v>871.8</x:v>
      </x:c>
      <x:c r="M662" t="n">
        <x:v>0</x:v>
      </x:c>
      <x:c r="N662" s="26" t="n">
        <x:v>0</x:v>
      </x:c>
      <x:c r="O662" s="26" t="n">
        <x:v>123.4</x:v>
      </x:c>
      <x:c r="P662" s="26" t="n">
        <x:v>30.02</x:v>
      </x:c>
      <x:c r="Q662" s="26" t="n">
        <x:v>56.7</x:v>
      </x:c>
      <x:c r="R662" s="26" t="n">
        <x:v>70.04</x:v>
      </x:c>
      <x:c r="S662" s="26" t="n">
        <x:v>591.65</x:v>
      </x:c>
    </x:row>
    <x:row r="663">
      <x:c r="A663" t="n">
        <x:v>500660</x:v>
      </x:c>
      <x:c r="B663" s="24" t="n">
        <x:v>45797</x:v>
      </x:c>
      <x:c r="C663" t="n">
        <x:v>1076</x:v>
      </x:c>
      <x:c r="D663" t="str">
        <x:v>Seller 1076</x:v>
      </x:c>
      <x:c r="E663" t="str">
        <x:v>Bronze</x:v>
      </x:c>
      <x:c r="F663" t="str">
        <x:v>Central</x:v>
      </x:c>
      <x:c r="G663" t="str">
        <x:v>Home &amp; Kitchen</x:v>
      </x:c>
      <x:c r="H663" t="n">
        <x:v>2</x:v>
      </x:c>
      <x:c r="I663" s="26" t="n">
        <x:v>2619</x:v>
      </x:c>
      <x:c r="J663" s="26" t="n">
        <x:v>3050.4</x:v>
      </x:c>
      <x:c r="K663" s="28" t="n">
        <x:v>0.1337</x:v>
      </x:c>
      <x:c r="L663" s="26" t="n">
        <x:v>407.84</x:v>
      </x:c>
      <x:c r="M663" t="n">
        <x:v>0</x:v>
      </x:c>
      <x:c r="N663" s="26" t="n">
        <x:v>0</x:v>
      </x:c>
      <x:c r="O663" s="26" t="n">
        <x:v>56.43</x:v>
      </x:c>
      <x:c r="P663" s="26" t="n">
        <x:v>13.73</x:v>
      </x:c>
      <x:c r="Q663" s="26" t="n">
        <x:v>25.93</x:v>
      </x:c>
      <x:c r="R663" s="26" t="n">
        <x:v>32.03</x:v>
      </x:c>
      <x:c r="S663" s="26" t="n">
        <x:v>279.72</x:v>
      </x:c>
    </x:row>
    <x:row r="664">
      <x:c r="A664" t="n">
        <x:v>500661</x:v>
      </x:c>
      <x:c r="B664" s="24" t="n">
        <x:v>45782</x:v>
      </x:c>
      <x:c r="C664" t="n">
        <x:v>1014</x:v>
      </x:c>
      <x:c r="D664" t="str">
        <x:v>Seller 1014</x:v>
      </x:c>
      <x:c r="E664" t="str">
        <x:v>Gold</x:v>
      </x:c>
      <x:c r="F664" t="str">
        <x:v>East</x:v>
      </x:c>
      <x:c r="G664" t="str">
        <x:v>Apparel</x:v>
      </x:c>
      <x:c r="H664" t="n">
        <x:v>1</x:v>
      </x:c>
      <x:c r="I664" s="26" t="n">
        <x:v>3516</x:v>
      </x:c>
      <x:c r="J664" s="26" t="n">
        <x:v>3798.6</x:v>
      </x:c>
      <x:c r="K664" s="28" t="n">
        <x:v>0.1159</x:v>
      </x:c>
      <x:c r="L664" s="26" t="n">
        <x:v>440.26</x:v>
      </x:c>
      <x:c r="M664" t="n">
        <x:v>1</x:v>
      </x:c>
      <x:c r="N664" s="26" t="n">
        <x:v>2461.2</x:v>
      </x:c>
      <x:c r="O664" s="26" t="n">
        <x:v>70.27</x:v>
      </x:c>
      <x:c r="P664" s="26" t="n">
        <x:v>17.09</x:v>
      </x:c>
      <x:c r="Q664" s="26" t="n">
        <x:v>32.29</x:v>
      </x:c>
      <x:c r="R664" s="26" t="n">
        <x:v>39.89</x:v>
      </x:c>
      <x:c r="S664" s="26" t="n">
        <x:v>231.49</x:v>
      </x:c>
    </x:row>
    <x:row r="665">
      <x:c r="A665" t="n">
        <x:v>500662</x:v>
      </x:c>
      <x:c r="B665" s="24" t="n">
        <x:v>45797</x:v>
      </x:c>
      <x:c r="C665" t="n">
        <x:v>1075</x:v>
      </x:c>
      <x:c r="D665" t="str">
        <x:v>Seller 1075</x:v>
      </x:c>
      <x:c r="E665" t="str">
        <x:v>Bronze</x:v>
      </x:c>
      <x:c r="F665" t="str">
        <x:v>East</x:v>
      </x:c>
      <x:c r="G665" t="str">
        <x:v>Pet Supplies</x:v>
      </x:c>
      <x:c r="H665" t="n">
        <x:v>3</x:v>
      </x:c>
      <x:c r="I665" s="26" t="n">
        <x:v>649.2</x:v>
      </x:c>
      <x:c r="J665" s="26" t="n">
        <x:v>1134.6</x:v>
      </x:c>
      <x:c r="K665" s="28" t="n">
        <x:v>0.1359</x:v>
      </x:c>
      <x:c r="L665" s="26" t="n">
        <x:v>154.19</x:v>
      </x:c>
      <x:c r="M665" t="n">
        <x:v>0</x:v>
      </x:c>
      <x:c r="N665" s="26" t="n">
        <x:v>0</x:v>
      </x:c>
      <x:c r="O665" s="26" t="n">
        <x:v>20.99</x:v>
      </x:c>
      <x:c r="P665" s="26" t="n">
        <x:v>5.11</x:v>
      </x:c>
      <x:c r="Q665" s="26" t="n">
        <x:v>9.64</x:v>
      </x:c>
      <x:c r="R665" s="26" t="n">
        <x:v>11.91</x:v>
      </x:c>
      <x:c r="S665" s="26" t="n">
        <x:v>106.54</x:v>
      </x:c>
    </x:row>
    <x:row r="666">
      <x:c r="A666" t="n">
        <x:v>500663</x:v>
      </x:c>
      <x:c r="B666" s="24" t="n">
        <x:v>45807</x:v>
      </x:c>
      <x:c r="C666" t="n">
        <x:v>1074</x:v>
      </x:c>
      <x:c r="D666" t="str">
        <x:v>Seller 1074</x:v>
      </x:c>
      <x:c r="E666" t="str">
        <x:v>Bronze</x:v>
      </x:c>
      <x:c r="F666" t="str">
        <x:v>East</x:v>
      </x:c>
      <x:c r="G666" t="str">
        <x:v>Electronics</x:v>
      </x:c>
      <x:c r="H666" t="n">
        <x:v>3</x:v>
      </x:c>
      <x:c r="I666" s="26" t="n">
        <x:v>4270.8</x:v>
      </x:c>
      <x:c r="J666" s="26" t="n">
        <x:v>7463.4</x:v>
      </x:c>
      <x:c r="K666" s="28" t="n">
        <x:v>0.1202</x:v>
      </x:c>
      <x:c r="L666" s="26" t="n">
        <x:v>897.1</x:v>
      </x:c>
      <x:c r="M666" t="n">
        <x:v>0</x:v>
      </x:c>
      <x:c r="N666" s="26" t="n">
        <x:v>0</x:v>
      </x:c>
      <x:c r="O666" s="26" t="n">
        <x:v>138.07</x:v>
      </x:c>
      <x:c r="P666" s="26" t="n">
        <x:v>33.59</x:v>
      </x:c>
      <x:c r="Q666" s="26" t="n">
        <x:v>63.44</x:v>
      </x:c>
      <x:c r="R666" s="26" t="n">
        <x:v>78.37</x:v>
      </x:c>
      <x:c r="S666" s="26" t="n">
        <x:v>583.64</x:v>
      </x:c>
    </x:row>
    <x:row r="667">
      <x:c r="A667" t="n">
        <x:v>500664</x:v>
      </x:c>
      <x:c r="B667" s="24" t="n">
        <x:v>45805</x:v>
      </x:c>
      <x:c r="C667" t="n">
        <x:v>1056</x:v>
      </x:c>
      <x:c r="D667" t="str">
        <x:v>Seller 1056</x:v>
      </x:c>
      <x:c r="E667" t="str">
        <x:v>Bronze</x:v>
      </x:c>
      <x:c r="F667" t="str">
        <x:v>West</x:v>
      </x:c>
      <x:c r="G667" t="str">
        <x:v>Apparel</x:v>
      </x:c>
      <x:c r="H667" t="n">
        <x:v>4</x:v>
      </x:c>
      <x:c r="I667" s="26" t="n">
        <x:v>484.8</x:v>
      </x:c>
      <x:c r="J667" s="26" t="n">
        <x:v>1128.6</x:v>
      </x:c>
      <x:c r="K667" s="28" t="n">
        <x:v>0.122</x:v>
      </x:c>
      <x:c r="L667" s="26" t="n">
        <x:v>137.69</x:v>
      </x:c>
      <x:c r="M667" t="n">
        <x:v>0</x:v>
      </x:c>
      <x:c r="N667" s="26" t="n">
        <x:v>0</x:v>
      </x:c>
      <x:c r="O667" s="26" t="n">
        <x:v>20.88</x:v>
      </x:c>
      <x:c r="P667" s="26" t="n">
        <x:v>5.08</x:v>
      </x:c>
      <x:c r="Q667" s="26" t="n">
        <x:v>9.59</x:v>
      </x:c>
      <x:c r="R667" s="26" t="n">
        <x:v>11.85</x:v>
      </x:c>
      <x:c r="S667" s="26" t="n">
        <x:v>90.29</x:v>
      </x:c>
    </x:row>
    <x:row r="668">
      <x:c r="A668" t="n">
        <x:v>500665</x:v>
      </x:c>
      <x:c r="B668" s="24" t="n">
        <x:v>45789</x:v>
      </x:c>
      <x:c r="C668" t="n">
        <x:v>1017</x:v>
      </x:c>
      <x:c r="D668" t="str">
        <x:v>Seller 1017</x:v>
      </x:c>
      <x:c r="E668" t="str">
        <x:v>Gold</x:v>
      </x:c>
      <x:c r="F668" t="str">
        <x:v>East</x:v>
      </x:c>
      <x:c r="G668" t="str">
        <x:v>Electronics</x:v>
      </x:c>
      <x:c r="H668" t="n">
        <x:v>1</x:v>
      </x:c>
      <x:c r="I668" s="26" t="n">
        <x:v>9343.2</x:v>
      </x:c>
      <x:c r="J668" s="26" t="n">
        <x:v>10093.8</x:v>
      </x:c>
      <x:c r="K668" s="28" t="n">
        <x:v>0.1143</x:v>
      </x:c>
      <x:c r="L668" s="26" t="n">
        <x:v>1153.72</x:v>
      </x:c>
      <x:c r="M668" t="n">
        <x:v>0</x:v>
      </x:c>
      <x:c r="N668" s="26" t="n">
        <x:v>0</x:v>
      </x:c>
      <x:c r="O668" s="26" t="n">
        <x:v>186.74</x:v>
      </x:c>
      <x:c r="P668" s="26" t="n">
        <x:v>45.42</x:v>
      </x:c>
      <x:c r="Q668" s="26" t="n">
        <x:v>85.8</x:v>
      </x:c>
      <x:c r="R668" s="26" t="n">
        <x:v>105.98</x:v>
      </x:c>
      <x:c r="S668" s="26" t="n">
        <x:v>729.78</x:v>
      </x:c>
    </x:row>
    <x:row r="669">
      <x:c r="A669" t="n">
        <x:v>500666</x:v>
      </x:c>
      <x:c r="B669" s="24" t="n">
        <x:v>45790</x:v>
      </x:c>
      <x:c r="C669" t="n">
        <x:v>1015</x:v>
      </x:c>
      <x:c r="D669" t="str">
        <x:v>Seller 1015</x:v>
      </x:c>
      <x:c r="E669" t="str">
        <x:v>Gold</x:v>
      </x:c>
      <x:c r="F669" t="str">
        <x:v>West</x:v>
      </x:c>
      <x:c r="G669" t="str">
        <x:v>Electronics</x:v>
      </x:c>
      <x:c r="H669" t="n">
        <x:v>2</x:v>
      </x:c>
      <x:c r="I669" s="26" t="n">
        <x:v>5428.8</x:v>
      </x:c>
      <x:c r="J669" s="26" t="n">
        <x:v>11730</x:v>
      </x:c>
      <x:c r="K669" s="28" t="n">
        <x:v>0.1225</x:v>
      </x:c>
      <x:c r="L669" s="26" t="n">
        <x:v>1436.92</x:v>
      </x:c>
      <x:c r="M669" t="n">
        <x:v>0</x:v>
      </x:c>
      <x:c r="N669" s="26" t="n">
        <x:v>0</x:v>
      </x:c>
      <x:c r="O669" s="26" t="n">
        <x:v>217</x:v>
      </x:c>
      <x:c r="P669" s="26" t="n">
        <x:v>52.78</x:v>
      </x:c>
      <x:c r="Q669" s="26" t="n">
        <x:v>99.71</x:v>
      </x:c>
      <x:c r="R669" s="26" t="n">
        <x:v>123.17</x:v>
      </x:c>
      <x:c r="S669" s="26" t="n">
        <x:v>944.27</x:v>
      </x:c>
    </x:row>
    <x:row r="670">
      <x:c r="A670" t="n">
        <x:v>500667</x:v>
      </x:c>
      <x:c r="B670" s="24" t="n">
        <x:v>45804</x:v>
      </x:c>
      <x:c r="C670" t="n">
        <x:v>1056</x:v>
      </x:c>
      <x:c r="D670" t="str">
        <x:v>Seller 1056</x:v>
      </x:c>
      <x:c r="E670" t="str">
        <x:v>Bronze</x:v>
      </x:c>
      <x:c r="F670" t="str">
        <x:v>West</x:v>
      </x:c>
      <x:c r="G670" t="str">
        <x:v>Apparel</x:v>
      </x:c>
      <x:c r="H670" t="n">
        <x:v>2</x:v>
      </x:c>
      <x:c r="I670" s="26" t="n">
        <x:v>1623</x:v>
      </x:c>
      <x:c r="J670" s="26" t="n">
        <x:v>1890.6</x:v>
      </x:c>
      <x:c r="K670" s="28" t="n">
        <x:v>0.1125</x:v>
      </x:c>
      <x:c r="L670" s="26" t="n">
        <x:v>212.69</x:v>
      </x:c>
      <x:c r="M670" t="n">
        <x:v>0</x:v>
      </x:c>
      <x:c r="N670" s="26" t="n">
        <x:v>0</x:v>
      </x:c>
      <x:c r="O670" s="26" t="n">
        <x:v>34.98</x:v>
      </x:c>
      <x:c r="P670" s="26" t="n">
        <x:v>8.51</x:v>
      </x:c>
      <x:c r="Q670" s="26" t="n">
        <x:v>16.07</x:v>
      </x:c>
      <x:c r="R670" s="26" t="n">
        <x:v>19.85</x:v>
      </x:c>
      <x:c r="S670" s="26" t="n">
        <x:v>133.29</x:v>
      </x:c>
    </x:row>
    <x:row r="671">
      <x:c r="A671" t="n">
        <x:v>500668</x:v>
      </x:c>
      <x:c r="B671" s="24" t="n">
        <x:v>45793</x:v>
      </x:c>
      <x:c r="C671" t="n">
        <x:v>1054</x:v>
      </x:c>
      <x:c r="D671" t="str">
        <x:v>Seller 1054</x:v>
      </x:c>
      <x:c r="E671" t="str">
        <x:v>Silver</x:v>
      </x:c>
      <x:c r="F671" t="str">
        <x:v>South</x:v>
      </x:c>
      <x:c r="G671" t="str">
        <x:v>Home &amp; Kitchen</x:v>
      </x:c>
      <x:c r="H671" t="n">
        <x:v>3</x:v>
      </x:c>
      <x:c r="I671" s="26" t="n">
        <x:v>1630.8</x:v>
      </x:c>
      <x:c r="J671" s="26" t="n">
        <x:v>4044</x:v>
      </x:c>
      <x:c r="K671" s="28" t="n">
        <x:v>0.1262</x:v>
      </x:c>
      <x:c r="L671" s="26" t="n">
        <x:v>510.35</x:v>
      </x:c>
      <x:c r="M671" t="n">
        <x:v>1</x:v>
      </x:c>
      <x:c r="N671" s="26" t="n">
        <x:v>3537</x:v>
      </x:c>
      <x:c r="O671" s="26" t="n">
        <x:v>74.81</x:v>
      </x:c>
      <x:c r="P671" s="26" t="n">
        <x:v>18.2</x:v>
      </x:c>
      <x:c r="Q671" s="26" t="n">
        <x:v>34.37</x:v>
      </x:c>
      <x:c r="R671" s="26" t="n">
        <x:v>42.46</x:v>
      </x:c>
      <x:c r="S671" s="26" t="n">
        <x:v>269.76</x:v>
      </x:c>
    </x:row>
    <x:row r="672">
      <x:c r="A672" t="n">
        <x:v>500669</x:v>
      </x:c>
      <x:c r="B672" s="24" t="n">
        <x:v>45797</x:v>
      </x:c>
      <x:c r="C672" t="n">
        <x:v>1056</x:v>
      </x:c>
      <x:c r="D672" t="str">
        <x:v>Seller 1056</x:v>
      </x:c>
      <x:c r="E672" t="str">
        <x:v>Bronze</x:v>
      </x:c>
      <x:c r="F672" t="str">
        <x:v>West</x:v>
      </x:c>
      <x:c r="G672" t="str">
        <x:v>Home &amp; Kitchen</x:v>
      </x:c>
      <x:c r="H672" t="n">
        <x:v>3</x:v>
      </x:c>
      <x:c r="I672" s="26" t="n">
        <x:v>1926</x:v>
      </x:c>
      <x:c r="J672" s="26" t="n">
        <x:v>3366</x:v>
      </x:c>
      <x:c r="K672" s="28" t="n">
        <x:v>0.133</x:v>
      </x:c>
      <x:c r="L672" s="26" t="n">
        <x:v>447.68</x:v>
      </x:c>
      <x:c r="M672" t="n">
        <x:v>0</x:v>
      </x:c>
      <x:c r="N672" s="26" t="n">
        <x:v>0</x:v>
      </x:c>
      <x:c r="O672" s="26" t="n">
        <x:v>62.27</x:v>
      </x:c>
      <x:c r="P672" s="26" t="n">
        <x:v>15.15</x:v>
      </x:c>
      <x:c r="Q672" s="26" t="n">
        <x:v>28.61</x:v>
      </x:c>
      <x:c r="R672" s="26" t="n">
        <x:v>35.34</x:v>
      </x:c>
      <x:c r="S672" s="26" t="n">
        <x:v>306.31</x:v>
      </x:c>
    </x:row>
    <x:row r="673">
      <x:c r="A673" t="n">
        <x:v>500670</x:v>
      </x:c>
      <x:c r="B673" s="24" t="n">
        <x:v>45791</x:v>
      </x:c>
      <x:c r="C673" t="n">
        <x:v>1055</x:v>
      </x:c>
      <x:c r="D673" t="str">
        <x:v>Seller 1055</x:v>
      </x:c>
      <x:c r="E673" t="str">
        <x:v>Bronze</x:v>
      </x:c>
      <x:c r="F673" t="str">
        <x:v>Central</x:v>
      </x:c>
      <x:c r="G673" t="str">
        <x:v>Pet Supplies</x:v>
      </x:c>
      <x:c r="H673" t="n">
        <x:v>1</x:v>
      </x:c>
      <x:c r="I673" s="26" t="n">
        <x:v>3194.4</x:v>
      </x:c>
      <x:c r="J673" s="26" t="n">
        <x:v>1860.6</x:v>
      </x:c>
      <x:c r="K673" s="28" t="n">
        <x:v>0.1397</x:v>
      </x:c>
      <x:c r="L673" s="26" t="n">
        <x:v>259.93</x:v>
      </x:c>
      <x:c r="M673" t="n">
        <x:v>0</x:v>
      </x:c>
      <x:c r="N673" s="26" t="n">
        <x:v>0</x:v>
      </x:c>
      <x:c r="O673" s="26" t="n">
        <x:v>34.42</x:v>
      </x:c>
      <x:c r="P673" s="26" t="n">
        <x:v>8.37</x:v>
      </x:c>
      <x:c r="Q673" s="26" t="n">
        <x:v>15.82</x:v>
      </x:c>
      <x:c r="R673" s="26" t="n">
        <x:v>19.54</x:v>
      </x:c>
      <x:c r="S673" s="26" t="n">
        <x:v>181.78</x:v>
      </x:c>
    </x:row>
    <x:row r="674">
      <x:c r="A674" t="n">
        <x:v>500671</x:v>
      </x:c>
      <x:c r="B674" s="24" t="n">
        <x:v>45796</x:v>
      </x:c>
      <x:c r="C674" t="n">
        <x:v>1078</x:v>
      </x:c>
      <x:c r="D674" t="str">
        <x:v>Seller 1078</x:v>
      </x:c>
      <x:c r="E674" t="str">
        <x:v>Bronze</x:v>
      </x:c>
      <x:c r="F674" t="str">
        <x:v>East</x:v>
      </x:c>
      <x:c r="G674" t="str">
        <x:v>Home &amp; Kitchen</x:v>
      </x:c>
      <x:c r="H674" t="n">
        <x:v>1</x:v>
      </x:c>
      <x:c r="I674" s="26" t="n">
        <x:v>4927.200000000001</x:v>
      </x:c>
      <x:c r="J674" s="26" t="n">
        <x:v>2869.8</x:v>
      </x:c>
      <x:c r="K674" s="28" t="n">
        <x:v>0.1401</x:v>
      </x:c>
      <x:c r="L674" s="26" t="n">
        <x:v>402.06</x:v>
      </x:c>
      <x:c r="M674" t="n">
        <x:v>0</x:v>
      </x:c>
      <x:c r="N674" s="26" t="n">
        <x:v>0</x:v>
      </x:c>
      <x:c r="O674" s="26" t="n">
        <x:v>53.09</x:v>
      </x:c>
      <x:c r="P674" s="26" t="n">
        <x:v>12.91</x:v>
      </x:c>
      <x:c r="Q674" s="26" t="n">
        <x:v>24.39</x:v>
      </x:c>
      <x:c r="R674" s="26" t="n">
        <x:v>30.13</x:v>
      </x:c>
      <x:c r="S674" s="26" t="n">
        <x:v>281.53</x:v>
      </x:c>
    </x:row>
    <x:row r="675">
      <x:c r="A675" t="n">
        <x:v>500672</x:v>
      </x:c>
      <x:c r="B675" s="24" t="n">
        <x:v>45780</x:v>
      </x:c>
      <x:c r="C675" t="n">
        <x:v>1047</x:v>
      </x:c>
      <x:c r="D675" t="str">
        <x:v>Seller 1047</x:v>
      </x:c>
      <x:c r="E675" t="str">
        <x:v>Silver</x:v>
      </x:c>
      <x:c r="F675" t="str">
        <x:v>East</x:v>
      </x:c>
      <x:c r="G675" t="str">
        <x:v>Sports</x:v>
      </x:c>
      <x:c r="H675" t="n">
        <x:v>3</x:v>
      </x:c>
      <x:c r="I675" s="26" t="n">
        <x:v>1618.8</x:v>
      </x:c>
      <x:c r="J675" s="26" t="n">
        <x:v>4014.6</x:v>
      </x:c>
      <x:c r="K675" s="28" t="n">
        <x:v>0.1248</x:v>
      </x:c>
      <x:c r="L675" s="26" t="n">
        <x:v>501.02</x:v>
      </x:c>
      <x:c r="M675" t="n">
        <x:v>0</x:v>
      </x:c>
      <x:c r="N675" s="26" t="n">
        <x:v>0</x:v>
      </x:c>
      <x:c r="O675" s="26" t="n">
        <x:v>74.27</x:v>
      </x:c>
      <x:c r="P675" s="26" t="n">
        <x:v>18.07</x:v>
      </x:c>
      <x:c r="Q675" s="26" t="n">
        <x:v>34.12</x:v>
      </x:c>
      <x:c r="R675" s="26" t="n">
        <x:v>42.15</x:v>
      </x:c>
      <x:c r="S675" s="26" t="n">
        <x:v>332.41</x:v>
      </x:c>
    </x:row>
    <x:row r="676">
      <x:c r="A676" t="n">
        <x:v>500673</x:v>
      </x:c>
      <x:c r="B676" s="24" t="n">
        <x:v>45794</x:v>
      </x:c>
      <x:c r="C676" t="n">
        <x:v>1019</x:v>
      </x:c>
      <x:c r="D676" t="str">
        <x:v>Seller 1019</x:v>
      </x:c>
      <x:c r="E676" t="str">
        <x:v>Gold</x:v>
      </x:c>
      <x:c r="F676" t="str">
        <x:v>East</x:v>
      </x:c>
      <x:c r="G676" t="str">
        <x:v>Apparel</x:v>
      </x:c>
      <x:c r="H676" t="n">
        <x:v>1</x:v>
      </x:c>
      <x:c r="I676" s="26" t="n">
        <x:v>3739.7999999999997</x:v>
      </x:c>
      <x:c r="J676" s="26" t="n">
        <x:v>4039.8</x:v>
      </x:c>
      <x:c r="K676" s="28" t="n">
        <x:v>0.126</x:v>
      </x:c>
      <x:c r="L676" s="26" t="n">
        <x:v>509.01</x:v>
      </x:c>
      <x:c r="M676" t="n">
        <x:v>0</x:v>
      </x:c>
      <x:c r="N676" s="26" t="n">
        <x:v>0</x:v>
      </x:c>
      <x:c r="O676" s="26" t="n">
        <x:v>74.74</x:v>
      </x:c>
      <x:c r="P676" s="26" t="n">
        <x:v>18.18</x:v>
      </x:c>
      <x:c r="Q676" s="26" t="n">
        <x:v>34.34</x:v>
      </x:c>
      <x:c r="R676" s="26" t="n">
        <x:v>42.42</x:v>
      </x:c>
      <x:c r="S676" s="26" t="n">
        <x:v>339.34</x:v>
      </x:c>
    </x:row>
    <x:row r="677">
      <x:c r="A677" t="n">
        <x:v>500674</x:v>
      </x:c>
      <x:c r="B677" s="24" t="n">
        <x:v>45803</x:v>
      </x:c>
      <x:c r="C677" t="n">
        <x:v>1079</x:v>
      </x:c>
      <x:c r="D677" t="str">
        <x:v>Seller 1079</x:v>
      </x:c>
      <x:c r="E677" t="str">
        <x:v>Bronze</x:v>
      </x:c>
      <x:c r="F677" t="str">
        <x:v>South</x:v>
      </x:c>
      <x:c r="G677" t="str">
        <x:v>Beauty</x:v>
      </x:c>
      <x:c r="H677" t="n">
        <x:v>1</x:v>
      </x:c>
      <x:c r="I677" s="26" t="n">
        <x:v>2700</x:v>
      </x:c>
      <x:c r="J677" s="26" t="n">
        <x:v>1572.6</x:v>
      </x:c>
      <x:c r="K677" s="28" t="n">
        <x:v>0.156</x:v>
      </x:c>
      <x:c r="L677" s="26" t="n">
        <x:v>245.33</x:v>
      </x:c>
      <x:c r="M677" t="n">
        <x:v>0</x:v>
      </x:c>
      <x:c r="N677" s="26" t="n">
        <x:v>0</x:v>
      </x:c>
      <x:c r="O677" s="26" t="n">
        <x:v>29.09</x:v>
      </x:c>
      <x:c r="P677" s="26" t="n">
        <x:v>7.08</x:v>
      </x:c>
      <x:c r="Q677" s="26" t="n">
        <x:v>13.37</x:v>
      </x:c>
      <x:c r="R677" s="26" t="n">
        <x:v>16.51</x:v>
      </x:c>
      <x:c r="S677" s="26" t="n">
        <x:v>179.28</x:v>
      </x:c>
    </x:row>
    <x:row r="678">
      <x:c r="A678" t="n">
        <x:v>500675</x:v>
      </x:c>
      <x:c r="B678" s="24" t="n">
        <x:v>45793</x:v>
      </x:c>
      <x:c r="C678" t="n">
        <x:v>1075</x:v>
      </x:c>
      <x:c r="D678" t="str">
        <x:v>Seller 1075</x:v>
      </x:c>
      <x:c r="E678" t="str">
        <x:v>Bronze</x:v>
      </x:c>
      <x:c r="F678" t="str">
        <x:v>East</x:v>
      </x:c>
      <x:c r="G678" t="str">
        <x:v>Electronics</x:v>
      </x:c>
      <x:c r="H678" t="n">
        <x:v>3</x:v>
      </x:c>
      <x:c r="I678" s="26" t="n">
        <x:v>3108</x:v>
      </x:c>
      <x:c r="J678" s="26" t="n">
        <x:v>5430.6</x:v>
      </x:c>
      <x:c r="K678" s="28" t="n">
        <x:v>0.1317</x:v>
      </x:c>
      <x:c r="L678" s="26" t="n">
        <x:v>715.21</x:v>
      </x:c>
      <x:c r="M678" t="n">
        <x:v>0</x:v>
      </x:c>
      <x:c r="N678" s="26" t="n">
        <x:v>0</x:v>
      </x:c>
      <x:c r="O678" s="26" t="n">
        <x:v>100.47</x:v>
      </x:c>
      <x:c r="P678" s="26" t="n">
        <x:v>24.44</x:v>
      </x:c>
      <x:c r="Q678" s="26" t="n">
        <x:v>46.16</x:v>
      </x:c>
      <x:c r="R678" s="26" t="n">
        <x:v>57.02</x:v>
      </x:c>
      <x:c r="S678" s="26" t="n">
        <x:v>487.12</x:v>
      </x:c>
    </x:row>
    <x:row r="679">
      <x:c r="A679" t="n">
        <x:v>500676</x:v>
      </x:c>
      <x:c r="B679" s="24" t="n">
        <x:v>45801</x:v>
      </x:c>
      <x:c r="C679" t="n">
        <x:v>1074</x:v>
      </x:c>
      <x:c r="D679" t="str">
        <x:v>Seller 1074</x:v>
      </x:c>
      <x:c r="E679" t="str">
        <x:v>Bronze</x:v>
      </x:c>
      <x:c r="F679" t="str">
        <x:v>East</x:v>
      </x:c>
      <x:c r="G679" t="str">
        <x:v>Electronics</x:v>
      </x:c>
      <x:c r="H679" t="n">
        <x:v>1</x:v>
      </x:c>
      <x:c r="I679" s="26" t="n">
        <x:v>9543</x:v>
      </x:c>
      <x:c r="J679" s="26" t="n">
        <x:v>5558.4</x:v>
      </x:c>
      <x:c r="K679" s="28" t="n">
        <x:v>0.1322</x:v>
      </x:c>
      <x:c r="L679" s="26" t="n">
        <x:v>734.82</x:v>
      </x:c>
      <x:c r="M679" t="n">
        <x:v>1</x:v>
      </x:c>
      <x:c r="N679" s="26" t="n">
        <x:v>5365.2</x:v>
      </x:c>
      <x:c r="O679" s="26" t="n">
        <x:v>102.83</x:v>
      </x:c>
      <x:c r="P679" s="26" t="n">
        <x:v>25.01</x:v>
      </x:c>
      <x:c r="Q679" s="26" t="n">
        <x:v>47.25</x:v>
      </x:c>
      <x:c r="R679" s="26" t="n">
        <x:v>58.36</x:v>
      </x:c>
      <x:c r="S679" s="26" t="n">
        <x:v>394.06</x:v>
      </x:c>
    </x:row>
    <x:row r="680">
      <x:c r="A680" t="n">
        <x:v>500677</x:v>
      </x:c>
      <x:c r="B680" s="24" t="n">
        <x:v>45787</x:v>
      </x:c>
      <x:c r="C680" t="n">
        <x:v>1039</x:v>
      </x:c>
      <x:c r="D680" t="str">
        <x:v>Seller 1039</x:v>
      </x:c>
      <x:c r="E680" t="str">
        <x:v>Silver</x:v>
      </x:c>
      <x:c r="F680" t="str">
        <x:v>East</x:v>
      </x:c>
      <x:c r="G680" t="str">
        <x:v>Pet Supplies</x:v>
      </x:c>
      <x:c r="H680" t="n">
        <x:v>2</x:v>
      </x:c>
      <x:c r="I680" s="26" t="n">
        <x:v>1525.2</x:v>
      </x:c>
      <x:c r="J680" s="26" t="n">
        <x:v>2522.4</x:v>
      </x:c>
      <x:c r="K680" s="28" t="n">
        <x:v>0.1314</x:v>
      </x:c>
      <x:c r="L680" s="26" t="n">
        <x:v>331.44</x:v>
      </x:c>
      <x:c r="M680" t="n">
        <x:v>0</x:v>
      </x:c>
      <x:c r="N680" s="26" t="n">
        <x:v>0</x:v>
      </x:c>
      <x:c r="O680" s="26" t="n">
        <x:v>46.66</x:v>
      </x:c>
      <x:c r="P680" s="26" t="n">
        <x:v>11.35</x:v>
      </x:c>
      <x:c r="Q680" s="26" t="n">
        <x:v>21.44</x:v>
      </x:c>
      <x:c r="R680" s="26" t="n">
        <x:v>26.49</x:v>
      </x:c>
      <x:c r="S680" s="26" t="n">
        <x:v>225.5</x:v>
      </x:c>
    </x:row>
    <x:row r="681">
      <x:c r="A681" t="n">
        <x:v>500678</x:v>
      </x:c>
      <x:c r="B681" s="24" t="n">
        <x:v>45797</x:v>
      </x:c>
      <x:c r="C681" t="n">
        <x:v>1080</x:v>
      </x:c>
      <x:c r="D681" t="str">
        <x:v>Seller 1080</x:v>
      </x:c>
      <x:c r="E681" t="str">
        <x:v>Bronze</x:v>
      </x:c>
      <x:c r="F681" t="str">
        <x:v>South</x:v>
      </x:c>
      <x:c r="G681" t="str">
        <x:v>Beauty</x:v>
      </x:c>
      <x:c r="H681" t="n">
        <x:v>2</x:v>
      </x:c>
      <x:c r="I681" s="26" t="n">
        <x:v>1330.8</x:v>
      </x:c>
      <x:c r="J681" s="26" t="n">
        <x:v>1549.8</x:v>
      </x:c>
      <x:c r="K681" s="28" t="n">
        <x:v>0.1348</x:v>
      </x:c>
      <x:c r="L681" s="26" t="n">
        <x:v>208.91</x:v>
      </x:c>
      <x:c r="M681" t="n">
        <x:v>0</x:v>
      </x:c>
      <x:c r="N681" s="26" t="n">
        <x:v>0</x:v>
      </x:c>
      <x:c r="O681" s="26" t="n">
        <x:v>28.67</x:v>
      </x:c>
      <x:c r="P681" s="26" t="n">
        <x:v>6.97</x:v>
      </x:c>
      <x:c r="Q681" s="26" t="n">
        <x:v>13.17</x:v>
      </x:c>
      <x:c r="R681" s="26" t="n">
        <x:v>16.27</x:v>
      </x:c>
      <x:c r="S681" s="26" t="n">
        <x:v>143.82</x:v>
      </x:c>
    </x:row>
    <x:row r="682">
      <x:c r="A682" t="n">
        <x:v>500679</x:v>
      </x:c>
      <x:c r="B682" s="24" t="n">
        <x:v>45799</x:v>
      </x:c>
      <x:c r="C682" t="n">
        <x:v>1036</x:v>
      </x:c>
      <x:c r="D682" t="str">
        <x:v>Seller 1036</x:v>
      </x:c>
      <x:c r="E682" t="str">
        <x:v>Silver</x:v>
      </x:c>
      <x:c r="F682" t="str">
        <x:v>Central</x:v>
      </x:c>
      <x:c r="G682" t="str">
        <x:v>Pet Supplies</x:v>
      </x:c>
      <x:c r="H682" t="n">
        <x:v>2</x:v>
      </x:c>
      <x:c r="I682" s="26" t="n">
        <x:v>1970.4</x:v>
      </x:c>
      <x:c r="J682" s="26" t="n">
        <x:v>3257.4</x:v>
      </x:c>
      <x:c r="K682" s="28" t="n">
        <x:v>0.1345</x:v>
      </x:c>
      <x:c r="L682" s="26" t="n">
        <x:v>438.12</x:v>
      </x:c>
      <x:c r="M682" t="n">
        <x:v>0</x:v>
      </x:c>
      <x:c r="N682" s="26" t="n">
        <x:v>0</x:v>
      </x:c>
      <x:c r="O682" s="26" t="n">
        <x:v>60.26</x:v>
      </x:c>
      <x:c r="P682" s="26" t="n">
        <x:v>14.66</x:v>
      </x:c>
      <x:c r="Q682" s="26" t="n">
        <x:v>27.69</x:v>
      </x:c>
      <x:c r="R682" s="26" t="n">
        <x:v>34.2</x:v>
      </x:c>
      <x:c r="S682" s="26" t="n">
        <x:v>301.31</x:v>
      </x:c>
    </x:row>
    <x:row r="683">
      <x:c r="A683" t="n">
        <x:v>500680</x:v>
      </x:c>
      <x:c r="B683" s="24" t="n">
        <x:v>45779</x:v>
      </x:c>
      <x:c r="C683" t="n">
        <x:v>1058</x:v>
      </x:c>
      <x:c r="D683" t="str">
        <x:v>Seller 1058</x:v>
      </x:c>
      <x:c r="E683" t="str">
        <x:v>Bronze</x:v>
      </x:c>
      <x:c r="F683" t="str">
        <x:v>East</x:v>
      </x:c>
      <x:c r="G683" t="str">
        <x:v>Beauty</x:v>
      </x:c>
      <x:c r="H683" t="n">
        <x:v>3</x:v>
      </x:c>
      <x:c r="I683" s="26" t="n">
        <x:v>1209</x:v>
      </x:c>
      <x:c r="J683" s="26" t="n">
        <x:v>2112.6</x:v>
      </x:c>
      <x:c r="K683" s="28" t="n">
        <x:v>0.1387</x:v>
      </x:c>
      <x:c r="L683" s="26" t="n">
        <x:v>293.02</x:v>
      </x:c>
      <x:c r="M683" t="n">
        <x:v>0</x:v>
      </x:c>
      <x:c r="N683" s="26" t="n">
        <x:v>0</x:v>
      </x:c>
      <x:c r="O683" s="26" t="n">
        <x:v>39.08</x:v>
      </x:c>
      <x:c r="P683" s="26" t="n">
        <x:v>9.51</x:v>
      </x:c>
      <x:c r="Q683" s="26" t="n">
        <x:v>17.96</x:v>
      </x:c>
      <x:c r="R683" s="26" t="n">
        <x:v>22.18</x:v>
      </x:c>
      <x:c r="S683" s="26" t="n">
        <x:v>204.29</x:v>
      </x:c>
    </x:row>
    <x:row r="684">
      <x:c r="A684" t="n">
        <x:v>500681</x:v>
      </x:c>
      <x:c r="B684" s="24" t="n">
        <x:v>45790</x:v>
      </x:c>
      <x:c r="C684" t="n">
        <x:v>1044</x:v>
      </x:c>
      <x:c r="D684" t="str">
        <x:v>Seller 1044</x:v>
      </x:c>
      <x:c r="E684" t="str">
        <x:v>Silver</x:v>
      </x:c>
      <x:c r="F684" t="str">
        <x:v>East</x:v>
      </x:c>
      <x:c r="G684" t="str">
        <x:v>Home &amp; Kitchen</x:v>
      </x:c>
      <x:c r="H684" t="n">
        <x:v>1</x:v>
      </x:c>
      <x:c r="I684" s="26" t="n">
        <x:v>4507.200000000001</x:v>
      </x:c>
      <x:c r="J684" s="26" t="n">
        <x:v>3726</x:v>
      </x:c>
      <x:c r="K684" s="28" t="n">
        <x:v>0.1431</x:v>
      </x:c>
      <x:c r="L684" s="26" t="n">
        <x:v>533.19</x:v>
      </x:c>
      <x:c r="M684" t="n">
        <x:v>0</x:v>
      </x:c>
      <x:c r="N684" s="26" t="n">
        <x:v>0</x:v>
      </x:c>
      <x:c r="O684" s="26" t="n">
        <x:v>68.93</x:v>
      </x:c>
      <x:c r="P684" s="26" t="n">
        <x:v>16.77</x:v>
      </x:c>
      <x:c r="Q684" s="26" t="n">
        <x:v>31.67</x:v>
      </x:c>
      <x:c r="R684" s="26" t="n">
        <x:v>39.12</x:v>
      </x:c>
      <x:c r="S684" s="26" t="n">
        <x:v>376.7</x:v>
      </x:c>
    </x:row>
    <x:row r="685">
      <x:c r="A685" t="n">
        <x:v>500682</x:v>
      </x:c>
      <x:c r="B685" s="24" t="n">
        <x:v>45786</x:v>
      </x:c>
      <x:c r="C685" t="n">
        <x:v>1031</x:v>
      </x:c>
      <x:c r="D685" t="str">
        <x:v>Seller 1031</x:v>
      </x:c>
      <x:c r="E685" t="str">
        <x:v>Silver</x:v>
      </x:c>
      <x:c r="F685" t="str">
        <x:v>West</x:v>
      </x:c>
      <x:c r="G685" t="str">
        <x:v>Home &amp; Kitchen</x:v>
      </x:c>
      <x:c r="H685" t="n">
        <x:v>2</x:v>
      </x:c>
      <x:c r="I685" s="26" t="n">
        <x:v>2224.7999999999997</x:v>
      </x:c>
      <x:c r="J685" s="26" t="n">
        <x:v>3678</x:v>
      </x:c>
      <x:c r="K685" s="28" t="n">
        <x:v>0.1369</x:v>
      </x:c>
      <x:c r="L685" s="26" t="n">
        <x:v>503.52</x:v>
      </x:c>
      <x:c r="M685" t="n">
        <x:v>0</x:v>
      </x:c>
      <x:c r="N685" s="26" t="n">
        <x:v>0</x:v>
      </x:c>
      <x:c r="O685" s="26" t="n">
        <x:v>68.04</x:v>
      </x:c>
      <x:c r="P685" s="26" t="n">
        <x:v>16.55</x:v>
      </x:c>
      <x:c r="Q685" s="26" t="n">
        <x:v>31.26</x:v>
      </x:c>
      <x:c r="R685" s="26" t="n">
        <x:v>38.62</x:v>
      </x:c>
      <x:c r="S685" s="26" t="n">
        <x:v>349.04</x:v>
      </x:c>
    </x:row>
    <x:row r="686">
      <x:c r="A686" t="n">
        <x:v>500683</x:v>
      </x:c>
      <x:c r="B686" s="24" t="n">
        <x:v>45785</x:v>
      </x:c>
      <x:c r="C686" t="n">
        <x:v>1015</x:v>
      </x:c>
      <x:c r="D686" t="str">
        <x:v>Seller 1015</x:v>
      </x:c>
      <x:c r="E686" t="str">
        <x:v>Gold</x:v>
      </x:c>
      <x:c r="F686" t="str">
        <x:v>West</x:v>
      </x:c>
      <x:c r="G686" t="str">
        <x:v>Pet Supplies</x:v>
      </x:c>
      <x:c r="H686" t="n">
        <x:v>1</x:v>
      </x:c>
      <x:c r="I686" s="26" t="n">
        <x:v>3183.6000000000004</x:v>
      </x:c>
      <x:c r="J686" s="26" t="n">
        <x:v>3439.8</x:v>
      </x:c>
      <x:c r="K686" s="28" t="n">
        <x:v>0.1314</x:v>
      </x:c>
      <x:c r="L686" s="26" t="n">
        <x:v>451.99</x:v>
      </x:c>
      <x:c r="M686" t="n">
        <x:v>0</x:v>
      </x:c>
      <x:c r="N686" s="26" t="n">
        <x:v>0</x:v>
      </x:c>
      <x:c r="O686" s="26" t="n">
        <x:v>63.64</x:v>
      </x:c>
      <x:c r="P686" s="26" t="n">
        <x:v>15.48</x:v>
      </x:c>
      <x:c r="Q686" s="26" t="n">
        <x:v>29.24</x:v>
      </x:c>
      <x:c r="R686" s="26" t="n">
        <x:v>36.12</x:v>
      </x:c>
      <x:c r="S686" s="26" t="n">
        <x:v>307.52</x:v>
      </x:c>
    </x:row>
    <x:row r="687">
      <x:c r="A687" t="n">
        <x:v>500684</x:v>
      </x:c>
      <x:c r="B687" s="24" t="n">
        <x:v>45803</x:v>
      </x:c>
      <x:c r="C687" t="n">
        <x:v>1049</x:v>
      </x:c>
      <x:c r="D687" t="str">
        <x:v>Seller 1049</x:v>
      </x:c>
      <x:c r="E687" t="str">
        <x:v>Silver</x:v>
      </x:c>
      <x:c r="F687" t="str">
        <x:v>West</x:v>
      </x:c>
      <x:c r="G687" t="str">
        <x:v>Home &amp; Kitchen</x:v>
      </x:c>
      <x:c r="H687" t="n">
        <x:v>2</x:v>
      </x:c>
      <x:c r="I687" s="26" t="n">
        <x:v>2655.6</x:v>
      </x:c>
      <x:c r="J687" s="26" t="n">
        <x:v>4391.4</x:v>
      </x:c>
      <x:c r="K687" s="28" t="n">
        <x:v>0.1357</x:v>
      </x:c>
      <x:c r="L687" s="26" t="n">
        <x:v>595.91</x:v>
      </x:c>
      <x:c r="M687" t="n">
        <x:v>0</x:v>
      </x:c>
      <x:c r="N687" s="26" t="n">
        <x:v>0</x:v>
      </x:c>
      <x:c r="O687" s="26" t="n">
        <x:v>81.24</x:v>
      </x:c>
      <x:c r="P687" s="26" t="n">
        <x:v>19.76</x:v>
      </x:c>
      <x:c r="Q687" s="26" t="n">
        <x:v>37.33</x:v>
      </x:c>
      <x:c r="R687" s="26" t="n">
        <x:v>46.11</x:v>
      </x:c>
      <x:c r="S687" s="26" t="n">
        <x:v>411.47</x:v>
      </x:c>
    </x:row>
    <x:row r="688">
      <x:c r="A688" t="n">
        <x:v>500685</x:v>
      </x:c>
      <x:c r="B688" s="24" t="n">
        <x:v>45789</x:v>
      </x:c>
      <x:c r="C688" t="n">
        <x:v>1058</x:v>
      </x:c>
      <x:c r="D688" t="str">
        <x:v>Seller 1058</x:v>
      </x:c>
      <x:c r="E688" t="str">
        <x:v>Bronze</x:v>
      </x:c>
      <x:c r="F688" t="str">
        <x:v>East</x:v>
      </x:c>
      <x:c r="G688" t="str">
        <x:v>Beauty</x:v>
      </x:c>
      <x:c r="H688" t="n">
        <x:v>2</x:v>
      </x:c>
      <x:c r="I688" s="26" t="n">
        <x:v>1557.6000000000001</x:v>
      </x:c>
      <x:c r="J688" s="26" t="n">
        <x:v>1815</x:v>
      </x:c>
      <x:c r="K688" s="28" t="n">
        <x:v>0.1559</x:v>
      </x:c>
      <x:c r="L688" s="26" t="n">
        <x:v>282.96</x:v>
      </x:c>
      <x:c r="M688" t="n">
        <x:v>0</x:v>
      </x:c>
      <x:c r="N688" s="26" t="n">
        <x:v>0</x:v>
      </x:c>
      <x:c r="O688" s="26" t="n">
        <x:v>33.58</x:v>
      </x:c>
      <x:c r="P688" s="26" t="n">
        <x:v>8.17</x:v>
      </x:c>
      <x:c r="Q688" s="26" t="n">
        <x:v>15.43</x:v>
      </x:c>
      <x:c r="R688" s="26" t="n">
        <x:v>19.06</x:v>
      </x:c>
      <x:c r="S688" s="26" t="n">
        <x:v>206.73</x:v>
      </x:c>
    </x:row>
    <x:row r="689">
      <x:c r="A689" t="n">
        <x:v>500686</x:v>
      </x:c>
      <x:c r="B689" s="24" t="n">
        <x:v>45796</x:v>
      </x:c>
      <x:c r="C689" t="n">
        <x:v>1056</x:v>
      </x:c>
      <x:c r="D689" t="str">
        <x:v>Seller 1056</x:v>
      </x:c>
      <x:c r="E689" t="str">
        <x:v>Bronze</x:v>
      </x:c>
      <x:c r="F689" t="str">
        <x:v>West</x:v>
      </x:c>
      <x:c r="G689" t="str">
        <x:v>Apparel</x:v>
      </x:c>
      <x:c r="H689" t="n">
        <x:v>2</x:v>
      </x:c>
      <x:c r="I689" s="26" t="n">
        <x:v>1719.6</x:v>
      </x:c>
      <x:c r="J689" s="26" t="n">
        <x:v>2003.4</x:v>
      </x:c>
      <x:c r="K689" s="28" t="n">
        <x:v>0.1145</x:v>
      </x:c>
      <x:c r="L689" s="26" t="n">
        <x:v>229.39</x:v>
      </x:c>
      <x:c r="M689" t="n">
        <x:v>0</x:v>
      </x:c>
      <x:c r="N689" s="26" t="n">
        <x:v>0</x:v>
      </x:c>
      <x:c r="O689" s="26" t="n">
        <x:v>37.06</x:v>
      </x:c>
      <x:c r="P689" s="26" t="n">
        <x:v>9.02</x:v>
      </x:c>
      <x:c r="Q689" s="26" t="n">
        <x:v>17.03</x:v>
      </x:c>
      <x:c r="R689" s="26" t="n">
        <x:v>21.04</x:v>
      </x:c>
      <x:c r="S689" s="26" t="n">
        <x:v>145.25</x:v>
      </x:c>
    </x:row>
    <x:row r="690">
      <x:c r="A690" t="n">
        <x:v>500687</x:v>
      </x:c>
      <x:c r="B690" s="24" t="n">
        <x:v>45799</x:v>
      </x:c>
      <x:c r="C690" t="n">
        <x:v>1051</x:v>
      </x:c>
      <x:c r="D690" t="str">
        <x:v>Seller 1051</x:v>
      </x:c>
      <x:c r="E690" t="str">
        <x:v>Silver</x:v>
      </x:c>
      <x:c r="F690" t="str">
        <x:v>East</x:v>
      </x:c>
      <x:c r="G690" t="str">
        <x:v>Sports</x:v>
      </x:c>
      <x:c r="H690" t="n">
        <x:v>2</x:v>
      </x:c>
      <x:c r="I690" s="26" t="n">
        <x:v>2038.1999999999998</x:v>
      </x:c>
      <x:c r="J690" s="26" t="n">
        <x:v>3369.6</x:v>
      </x:c>
      <x:c r="K690" s="28" t="n">
        <x:v>0.1321</x:v>
      </x:c>
      <x:c r="L690" s="26" t="n">
        <x:v>445.12</x:v>
      </x:c>
      <x:c r="M690" t="n">
        <x:v>0</x:v>
      </x:c>
      <x:c r="N690" s="26" t="n">
        <x:v>0</x:v>
      </x:c>
      <x:c r="O690" s="26" t="n">
        <x:v>62.34</x:v>
      </x:c>
      <x:c r="P690" s="26" t="n">
        <x:v>15.16</x:v>
      </x:c>
      <x:c r="Q690" s="26" t="n">
        <x:v>28.64</x:v>
      </x:c>
      <x:c r="R690" s="26" t="n">
        <x:v>35.38</x:v>
      </x:c>
      <x:c r="S690" s="26" t="n">
        <x:v>303.6</x:v>
      </x:c>
    </x:row>
    <x:row r="691">
      <x:c r="A691" t="n">
        <x:v>500688</x:v>
      </x:c>
      <x:c r="B691" s="24" t="n">
        <x:v>45799</x:v>
      </x:c>
      <x:c r="C691" t="n">
        <x:v>1024</x:v>
      </x:c>
      <x:c r="D691" t="str">
        <x:v>Seller 1024</x:v>
      </x:c>
      <x:c r="E691" t="str">
        <x:v>Gold</x:v>
      </x:c>
      <x:c r="F691" t="str">
        <x:v>West</x:v>
      </x:c>
      <x:c r="G691" t="str">
        <x:v>Pet Supplies</x:v>
      </x:c>
      <x:c r="H691" t="n">
        <x:v>2</x:v>
      </x:c>
      <x:c r="I691" s="26" t="n">
        <x:v>1562.3999999999999</x:v>
      </x:c>
      <x:c r="J691" s="26" t="n">
        <x:v>3375.6</x:v>
      </x:c>
      <x:c r="K691" s="28" t="n">
        <x:v>0.1216</x:v>
      </x:c>
      <x:c r="L691" s="26" t="n">
        <x:v>410.47</x:v>
      </x:c>
      <x:c r="M691" t="n">
        <x:v>0</x:v>
      </x:c>
      <x:c r="N691" s="26" t="n">
        <x:v>0</x:v>
      </x:c>
      <x:c r="O691" s="26" t="n">
        <x:v>62.45</x:v>
      </x:c>
      <x:c r="P691" s="26" t="n">
        <x:v>15.19</x:v>
      </x:c>
      <x:c r="Q691" s="26" t="n">
        <x:v>28.69</x:v>
      </x:c>
      <x:c r="R691" s="26" t="n">
        <x:v>35.44</x:v>
      </x:c>
      <x:c r="S691" s="26" t="n">
        <x:v>268.7</x:v>
      </x:c>
    </x:row>
    <x:row r="692">
      <x:c r="A692" t="n">
        <x:v>500689</x:v>
      </x:c>
      <x:c r="B692" s="24" t="n">
        <x:v>45797</x:v>
      </x:c>
      <x:c r="C692" t="n">
        <x:v>1058</x:v>
      </x:c>
      <x:c r="D692" t="str">
        <x:v>Seller 1058</x:v>
      </x:c>
      <x:c r="E692" t="str">
        <x:v>Bronze</x:v>
      </x:c>
      <x:c r="F692" t="str">
        <x:v>East</x:v>
      </x:c>
      <x:c r="G692" t="str">
        <x:v>Beauty</x:v>
      </x:c>
      <x:c r="H692" t="n">
        <x:v>2</x:v>
      </x:c>
      <x:c r="I692" s="26" t="n">
        <x:v>1161</x:v>
      </x:c>
      <x:c r="J692" s="26" t="n">
        <x:v>1352.4</x:v>
      </x:c>
      <x:c r="K692" s="28" t="n">
        <x:v>0.1338</x:v>
      </x:c>
      <x:c r="L692" s="26" t="n">
        <x:v>180.95</x:v>
      </x:c>
      <x:c r="M692" t="n">
        <x:v>0</x:v>
      </x:c>
      <x:c r="N692" s="26" t="n">
        <x:v>0</x:v>
      </x:c>
      <x:c r="O692" s="26" t="n">
        <x:v>25.02</x:v>
      </x:c>
      <x:c r="P692" s="26" t="n">
        <x:v>6.09</x:v>
      </x:c>
      <x:c r="Q692" s="26" t="n">
        <x:v>11.5</x:v>
      </x:c>
      <x:c r="R692" s="26" t="n">
        <x:v>14.2</x:v>
      </x:c>
      <x:c r="S692" s="26" t="n">
        <x:v>124.15</x:v>
      </x:c>
    </x:row>
    <x:row r="693">
      <x:c r="A693" t="n">
        <x:v>500690</x:v>
      </x:c>
      <x:c r="B693" s="24" t="n">
        <x:v>45802</x:v>
      </x:c>
      <x:c r="C693" t="n">
        <x:v>1028</x:v>
      </x:c>
      <x:c r="D693" t="str">
        <x:v>Seller 1028</x:v>
      </x:c>
      <x:c r="E693" t="str">
        <x:v>Gold</x:v>
      </x:c>
      <x:c r="F693" t="str">
        <x:v>Central</x:v>
      </x:c>
      <x:c r="G693" t="str">
        <x:v>Pet Supplies</x:v>
      </x:c>
      <x:c r="H693" t="n">
        <x:v>4</x:v>
      </x:c>
      <x:c r="I693" s="26" t="n">
        <x:v>1215</x:v>
      </x:c>
      <x:c r="J693" s="26" t="n">
        <x:v>5250.6</x:v>
      </x:c>
      <x:c r="K693" s="28" t="n">
        <x:v>0.1221</x:v>
      </x:c>
      <x:c r="L693" s="26" t="n">
        <x:v>641.1</x:v>
      </x:c>
      <x:c r="M693" t="n">
        <x:v>0</x:v>
      </x:c>
      <x:c r="N693" s="26" t="n">
        <x:v>0</x:v>
      </x:c>
      <x:c r="O693" s="26" t="n">
        <x:v>97.14</x:v>
      </x:c>
      <x:c r="P693" s="26" t="n">
        <x:v>23.63</x:v>
      </x:c>
      <x:c r="Q693" s="26" t="n">
        <x:v>44.63</x:v>
      </x:c>
      <x:c r="R693" s="26" t="n">
        <x:v>55.13</x:v>
      </x:c>
      <x:c r="S693" s="26" t="n">
        <x:v>420.57</x:v>
      </x:c>
    </x:row>
    <x:row r="694">
      <x:c r="A694" t="n">
        <x:v>500691</x:v>
      </x:c>
      <x:c r="B694" s="24" t="n">
        <x:v>45798</x:v>
      </x:c>
      <x:c r="C694" t="n">
        <x:v>1073</x:v>
      </x:c>
      <x:c r="D694" t="str">
        <x:v>Seller 1073</x:v>
      </x:c>
      <x:c r="E694" t="str">
        <x:v>Bronze</x:v>
      </x:c>
      <x:c r="F694" t="str">
        <x:v>Central</x:v>
      </x:c>
      <x:c r="G694" t="str">
        <x:v>Home &amp; Kitchen</x:v>
      </x:c>
      <x:c r="H694" t="n">
        <x:v>3</x:v>
      </x:c>
      <x:c r="I694" s="26" t="n">
        <x:v>1270.8</x:v>
      </x:c>
      <x:c r="J694" s="26" t="n">
        <x:v>2220.6</x:v>
      </x:c>
      <x:c r="K694" s="28" t="n">
        <x:v>0.1291</x:v>
      </x:c>
      <x:c r="L694" s="26" t="n">
        <x:v>286.68</x:v>
      </x:c>
      <x:c r="M694" t="n">
        <x:v>0</x:v>
      </x:c>
      <x:c r="N694" s="26" t="n">
        <x:v>0</x:v>
      </x:c>
      <x:c r="O694" s="26" t="n">
        <x:v>41.08</x:v>
      </x:c>
      <x:c r="P694" s="26" t="n">
        <x:v>9.99</x:v>
      </x:c>
      <x:c r="Q694" s="26" t="n">
        <x:v>18.88</x:v>
      </x:c>
      <x:c r="R694" s="26" t="n">
        <x:v>23.32</x:v>
      </x:c>
      <x:c r="S694" s="26" t="n">
        <x:v>193.41</x:v>
      </x:c>
    </x:row>
    <x:row r="695">
      <x:c r="A695" t="n">
        <x:v>500692</x:v>
      </x:c>
      <x:c r="B695" s="24" t="n">
        <x:v>45802</x:v>
      </x:c>
      <x:c r="C695" t="n">
        <x:v>1059</x:v>
      </x:c>
      <x:c r="D695" t="str">
        <x:v>Seller 1059</x:v>
      </x:c>
      <x:c r="E695" t="str">
        <x:v>Bronze</x:v>
      </x:c>
      <x:c r="F695" t="str">
        <x:v>Central</x:v>
      </x:c>
      <x:c r="G695" t="str">
        <x:v>Beauty</x:v>
      </x:c>
      <x:c r="H695" t="n">
        <x:v>2</x:v>
      </x:c>
      <x:c r="I695" s="26" t="n">
        <x:v>998.4000000000001</x:v>
      </x:c>
      <x:c r="J695" s="26" t="n">
        <x:v>1162.8</x:v>
      </x:c>
      <x:c r="K695" s="28" t="n">
        <x:v>0.149</x:v>
      </x:c>
      <x:c r="L695" s="26" t="n">
        <x:v>173.26</x:v>
      </x:c>
      <x:c r="M695" t="n">
        <x:v>0</x:v>
      </x:c>
      <x:c r="N695" s="26" t="n">
        <x:v>0</x:v>
      </x:c>
      <x:c r="O695" s="26" t="n">
        <x:v>21.51</x:v>
      </x:c>
      <x:c r="P695" s="26" t="n">
        <x:v>5.23</x:v>
      </x:c>
      <x:c r="Q695" s="26" t="n">
        <x:v>9.88</x:v>
      </x:c>
      <x:c r="R695" s="26" t="n">
        <x:v>12.21</x:v>
      </x:c>
      <x:c r="S695" s="26" t="n">
        <x:v>124.42</x:v>
      </x:c>
    </x:row>
    <x:row r="696">
      <x:c r="A696" t="n">
        <x:v>500693</x:v>
      </x:c>
      <x:c r="B696" s="24" t="n">
        <x:v>45783</x:v>
      </x:c>
      <x:c r="C696" t="n">
        <x:v>1010</x:v>
      </x:c>
      <x:c r="D696" t="str">
        <x:v>Seller 1010</x:v>
      </x:c>
      <x:c r="E696" t="str">
        <x:v>Platinum</x:v>
      </x:c>
      <x:c r="F696" t="str">
        <x:v>West</x:v>
      </x:c>
      <x:c r="G696" t="str">
        <x:v>Home &amp; Kitchen</x:v>
      </x:c>
      <x:c r="H696" t="n">
        <x:v>3</x:v>
      </x:c>
      <x:c r="I696" s="26" t="n">
        <x:v>1789.2</x:v>
      </x:c>
      <x:c r="J696" s="26" t="n">
        <x:v>7815.6</x:v>
      </x:c>
      <x:c r="K696" s="28" t="n">
        <x:v>0.1469</x:v>
      </x:c>
      <x:c r="L696" s="26" t="n">
        <x:v>1148.11</x:v>
      </x:c>
      <x:c r="M696" t="n">
        <x:v>0</x:v>
      </x:c>
      <x:c r="N696" s="26" t="n">
        <x:v>0</x:v>
      </x:c>
      <x:c r="O696" s="26" t="n">
        <x:v>144.59</x:v>
      </x:c>
      <x:c r="P696" s="26" t="n">
        <x:v>35.17</x:v>
      </x:c>
      <x:c r="Q696" s="26" t="n">
        <x:v>66.43</x:v>
      </x:c>
      <x:c r="R696" s="26" t="n">
        <x:v>82.06</x:v>
      </x:c>
      <x:c r="S696" s="26" t="n">
        <x:v>819.86</x:v>
      </x:c>
    </x:row>
    <x:row r="697">
      <x:c r="A697" t="n">
        <x:v>500694</x:v>
      </x:c>
      <x:c r="B697" s="24" t="n">
        <x:v>45795</x:v>
      </x:c>
      <x:c r="C697" t="n">
        <x:v>1057</x:v>
      </x:c>
      <x:c r="D697" t="str">
        <x:v>Seller 1057</x:v>
      </x:c>
      <x:c r="E697" t="str">
        <x:v>Bronze</x:v>
      </x:c>
      <x:c r="F697" t="str">
        <x:v>South</x:v>
      </x:c>
      <x:c r="G697" t="str">
        <x:v>Electronics</x:v>
      </x:c>
      <x:c r="H697" t="n">
        <x:v>3</x:v>
      </x:c>
      <x:c r="I697" s="26" t="n">
        <x:v>2839.7999999999997</x:v>
      </x:c>
      <x:c r="J697" s="26" t="n">
        <x:v>4962.6</x:v>
      </x:c>
      <x:c r="K697" s="28" t="n">
        <x:v>0.1224</x:v>
      </x:c>
      <x:c r="L697" s="26" t="n">
        <x:v>607.42</x:v>
      </x:c>
      <x:c r="M697" t="n">
        <x:v>0</x:v>
      </x:c>
      <x:c r="N697" s="26" t="n">
        <x:v>0</x:v>
      </x:c>
      <x:c r="O697" s="26" t="n">
        <x:v>91.81</x:v>
      </x:c>
      <x:c r="P697" s="26" t="n">
        <x:v>22.33</x:v>
      </x:c>
      <x:c r="Q697" s="26" t="n">
        <x:v>42.18</x:v>
      </x:c>
      <x:c r="R697" s="26" t="n">
        <x:v>52.11</x:v>
      </x:c>
      <x:c r="S697" s="26" t="n">
        <x:v>398.99</x:v>
      </x:c>
    </x:row>
    <x:row r="698">
      <x:c r="A698" t="n">
        <x:v>500695</x:v>
      </x:c>
      <x:c r="B698" s="24" t="n">
        <x:v>45786</x:v>
      </x:c>
      <x:c r="C698" t="n">
        <x:v>1056</x:v>
      </x:c>
      <x:c r="D698" t="str">
        <x:v>Seller 1056</x:v>
      </x:c>
      <x:c r="E698" t="str">
        <x:v>Bronze</x:v>
      </x:c>
      <x:c r="F698" t="str">
        <x:v>West</x:v>
      </x:c>
      <x:c r="G698" t="str">
        <x:v>Apparel</x:v>
      </x:c>
      <x:c r="H698" t="n">
        <x:v>1</x:v>
      </x:c>
      <x:c r="I698" s="26" t="n">
        <x:v>3308.4</x:v>
      </x:c>
      <x:c r="J698" s="26" t="n">
        <x:v>1927.2</x:v>
      </x:c>
      <x:c r="K698" s="28" t="n">
        <x:v>0.1252</x:v>
      </x:c>
      <x:c r="L698" s="26" t="n">
        <x:v>241.29</x:v>
      </x:c>
      <x:c r="M698" t="n">
        <x:v>1</x:v>
      </x:c>
      <x:c r="N698" s="26" t="n">
        <x:v>1555.2</x:v>
      </x:c>
      <x:c r="O698" s="26" t="n">
        <x:v>35.65</x:v>
      </x:c>
      <x:c r="P698" s="26" t="n">
        <x:v>8.67</x:v>
      </x:c>
      <x:c r="Q698" s="26" t="n">
        <x:v>16.38</x:v>
      </x:c>
      <x:c r="R698" s="26" t="n">
        <x:v>20.24</x:v>
      </x:c>
      <x:c r="S698" s="26" t="n">
        <x:v>129.24</x:v>
      </x:c>
    </x:row>
    <x:row r="699">
      <x:c r="A699" t="n">
        <x:v>500696</x:v>
      </x:c>
      <x:c r="B699" s="24" t="n">
        <x:v>45782</x:v>
      </x:c>
      <x:c r="C699" t="n">
        <x:v>1058</x:v>
      </x:c>
      <x:c r="D699" t="str">
        <x:v>Seller 1058</x:v>
      </x:c>
      <x:c r="E699" t="str">
        <x:v>Bronze</x:v>
      </x:c>
      <x:c r="F699" t="str">
        <x:v>East</x:v>
      </x:c>
      <x:c r="G699" t="str">
        <x:v>Beauty</x:v>
      </x:c>
      <x:c r="H699" t="n">
        <x:v>1</x:v>
      </x:c>
      <x:c r="I699" s="26" t="n">
        <x:v>2644.2</x:v>
      </x:c>
      <x:c r="J699" s="26" t="n">
        <x:v>1540.2</x:v>
      </x:c>
      <x:c r="K699" s="28" t="n">
        <x:v>0.133</x:v>
      </x:c>
      <x:c r="L699" s="26" t="n">
        <x:v>204.85</x:v>
      </x:c>
      <x:c r="M699" t="n">
        <x:v>0</x:v>
      </x:c>
      <x:c r="N699" s="26" t="n">
        <x:v>0</x:v>
      </x:c>
      <x:c r="O699" s="26" t="n">
        <x:v>28.49</x:v>
      </x:c>
      <x:c r="P699" s="26" t="n">
        <x:v>6.93</x:v>
      </x:c>
      <x:c r="Q699" s="26" t="n">
        <x:v>13.09</x:v>
      </x:c>
      <x:c r="R699" s="26" t="n">
        <x:v>16.17</x:v>
      </x:c>
      <x:c r="S699" s="26" t="n">
        <x:v>140.16</x:v>
      </x:c>
    </x:row>
    <x:row r="700">
      <x:c r="A700" t="n">
        <x:v>500697</x:v>
      </x:c>
      <x:c r="B700" s="24" t="n">
        <x:v>45801</x:v>
      </x:c>
      <x:c r="C700" t="n">
        <x:v>1043</x:v>
      </x:c>
      <x:c r="D700" t="str">
        <x:v>Seller 1043</x:v>
      </x:c>
      <x:c r="E700" t="str">
        <x:v>Silver</x:v>
      </x:c>
      <x:c r="F700" t="str">
        <x:v>West</x:v>
      </x:c>
      <x:c r="G700" t="str">
        <x:v>Sports</x:v>
      </x:c>
      <x:c r="H700" t="n">
        <x:v>4</x:v>
      </x:c>
      <x:c r="I700" s="26" t="n">
        <x:v>1153.1999999999998</x:v>
      </x:c>
      <x:c r="J700" s="26" t="n">
        <x:v>3813.6</x:v>
      </x:c>
      <x:c r="K700" s="28" t="n">
        <x:v>0.1345</x:v>
      </x:c>
      <x:c r="L700" s="26" t="n">
        <x:v>512.93</x:v>
      </x:c>
      <x:c r="M700" t="n">
        <x:v>0</x:v>
      </x:c>
      <x:c r="N700" s="26" t="n">
        <x:v>0</x:v>
      </x:c>
      <x:c r="O700" s="26" t="n">
        <x:v>70.55</x:v>
      </x:c>
      <x:c r="P700" s="26" t="n">
        <x:v>17.16</x:v>
      </x:c>
      <x:c r="Q700" s="26" t="n">
        <x:v>32.42</x:v>
      </x:c>
      <x:c r="R700" s="26" t="n">
        <x:v>40.04</x:v>
      </x:c>
      <x:c r="S700" s="26" t="n">
        <x:v>352.76</x:v>
      </x:c>
    </x:row>
    <x:row r="701">
      <x:c r="A701" t="n">
        <x:v>500698</x:v>
      </x:c>
      <x:c r="B701" s="24" t="n">
        <x:v>45807</x:v>
      </x:c>
      <x:c r="C701" t="n">
        <x:v>1009</x:v>
      </x:c>
      <x:c r="D701" t="str">
        <x:v>Seller 1009</x:v>
      </x:c>
      <x:c r="E701" t="str">
        <x:v>Platinum</x:v>
      </x:c>
      <x:c r="F701" t="str">
        <x:v>Central</x:v>
      </x:c>
      <x:c r="G701" t="str">
        <x:v>Pet Supplies</x:v>
      </x:c>
      <x:c r="H701" t="n">
        <x:v>4</x:v>
      </x:c>
      <x:c r="I701" s="26" t="n">
        <x:v>792.6</x:v>
      </x:c>
      <x:c r="J701" s="26" t="n">
        <x:v>4618.2</x:v>
      </x:c>
      <x:c r="K701" s="28" t="n">
        <x:v>0.1396</x:v>
      </x:c>
      <x:c r="L701" s="26" t="n">
        <x:v>644.7</x:v>
      </x:c>
      <x:c r="M701" t="n">
        <x:v>0</x:v>
      </x:c>
      <x:c r="N701" s="26" t="n">
        <x:v>0</x:v>
      </x:c>
      <x:c r="O701" s="26" t="n">
        <x:v>85.44</x:v>
      </x:c>
      <x:c r="P701" s="26" t="n">
        <x:v>20.78</x:v>
      </x:c>
      <x:c r="Q701" s="26" t="n">
        <x:v>39.25</x:v>
      </x:c>
      <x:c r="R701" s="26" t="n">
        <x:v>48.49</x:v>
      </x:c>
      <x:c r="S701" s="26" t="n">
        <x:v>450.74</x:v>
      </x:c>
    </x:row>
    <x:row r="702">
      <x:c r="A702" t="n">
        <x:v>500699</x:v>
      </x:c>
      <x:c r="B702" s="24" t="n">
        <x:v>45805</x:v>
      </x:c>
      <x:c r="C702" t="n">
        <x:v>1046</x:v>
      </x:c>
      <x:c r="D702" t="str">
        <x:v>Seller 1046</x:v>
      </x:c>
      <x:c r="E702" t="str">
        <x:v>Silver</x:v>
      </x:c>
      <x:c r="F702" t="str">
        <x:v>Central</x:v>
      </x:c>
      <x:c r="G702" t="str">
        <x:v>Sports</x:v>
      </x:c>
      <x:c r="H702" t="n">
        <x:v>2</x:v>
      </x:c>
      <x:c r="I702" s="26" t="n">
        <x:v>2396.3999999999996</x:v>
      </x:c>
      <x:c r="J702" s="26" t="n">
        <x:v>3961.8</x:v>
      </x:c>
      <x:c r="K702" s="28" t="n">
        <x:v>0.1399</x:v>
      </x:c>
      <x:c r="L702" s="26" t="n">
        <x:v>554.26</x:v>
      </x:c>
      <x:c r="M702" t="n">
        <x:v>0</x:v>
      </x:c>
      <x:c r="N702" s="26" t="n">
        <x:v>0</x:v>
      </x:c>
      <x:c r="O702" s="26" t="n">
        <x:v>73.29</x:v>
      </x:c>
      <x:c r="P702" s="26" t="n">
        <x:v>17.83</x:v>
      </x:c>
      <x:c r="Q702" s="26" t="n">
        <x:v>33.68</x:v>
      </x:c>
      <x:c r="R702" s="26" t="n">
        <x:v>41.6</x:v>
      </x:c>
      <x:c r="S702" s="26" t="n">
        <x:v>387.86</x:v>
      </x:c>
    </x:row>
    <x:row r="703">
      <x:c r="A703" t="n">
        <x:v>500700</x:v>
      </x:c>
      <x:c r="B703" s="24" t="n">
        <x:v>45790</x:v>
      </x:c>
      <x:c r="C703" t="n">
        <x:v>1044</x:v>
      </x:c>
      <x:c r="D703" t="str">
        <x:v>Seller 1044</x:v>
      </x:c>
      <x:c r="E703" t="str">
        <x:v>Silver</x:v>
      </x:c>
      <x:c r="F703" t="str">
        <x:v>East</x:v>
      </x:c>
      <x:c r="G703" t="str">
        <x:v>Pet Supplies</x:v>
      </x:c>
      <x:c r="H703" t="n">
        <x:v>1</x:v>
      </x:c>
      <x:c r="I703" s="26" t="n">
        <x:v>3226.8</x:v>
      </x:c>
      <x:c r="J703" s="26" t="n">
        <x:v>2667.6</x:v>
      </x:c>
      <x:c r="K703" s="28" t="n">
        <x:v>0.1355</x:v>
      </x:c>
      <x:c r="L703" s="26" t="n">
        <x:v>361.46</x:v>
      </x:c>
      <x:c r="M703" t="n">
        <x:v>0</x:v>
      </x:c>
      <x:c r="N703" s="26" t="n">
        <x:v>0</x:v>
      </x:c>
      <x:c r="O703" s="26" t="n">
        <x:v>49.35</x:v>
      </x:c>
      <x:c r="P703" s="26" t="n">
        <x:v>12</x:v>
      </x:c>
      <x:c r="Q703" s="26" t="n">
        <x:v>22.67</x:v>
      </x:c>
      <x:c r="R703" s="26" t="n">
        <x:v>28.01</x:v>
      </x:c>
      <x:c r="S703" s="26" t="n">
        <x:v>249.42</x:v>
      </x:c>
    </x:row>
    <x:row r="704">
      <x:c r="A704" t="n">
        <x:v>500701</x:v>
      </x:c>
      <x:c r="B704" s="24" t="n">
        <x:v>45792</x:v>
      </x:c>
      <x:c r="C704" t="n">
        <x:v>1025</x:v>
      </x:c>
      <x:c r="D704" t="str">
        <x:v>Seller 1025</x:v>
      </x:c>
      <x:c r="E704" t="str">
        <x:v>Gold</x:v>
      </x:c>
      <x:c r="F704" t="str">
        <x:v>Central</x:v>
      </x:c>
      <x:c r="G704" t="str">
        <x:v>Pet Supplies</x:v>
      </x:c>
      <x:c r="H704" t="n">
        <x:v>2</x:v>
      </x:c>
      <x:c r="I704" s="26" t="n">
        <x:v>1635.6000000000001</x:v>
      </x:c>
      <x:c r="J704" s="26" t="n">
        <x:v>3534</x:v>
      </x:c>
      <x:c r="K704" s="28" t="n">
        <x:v>0.1365</x:v>
      </x:c>
      <x:c r="L704" s="26" t="n">
        <x:v>482.39</x:v>
      </x:c>
      <x:c r="M704" t="n">
        <x:v>0</x:v>
      </x:c>
      <x:c r="N704" s="26" t="n">
        <x:v>0</x:v>
      </x:c>
      <x:c r="O704" s="26" t="n">
        <x:v>65.38</x:v>
      </x:c>
      <x:c r="P704" s="26" t="n">
        <x:v>15.9</x:v>
      </x:c>
      <x:c r="Q704" s="26" t="n">
        <x:v>30.04</x:v>
      </x:c>
      <x:c r="R704" s="26" t="n">
        <x:v>37.11</x:v>
      </x:c>
      <x:c r="S704" s="26" t="n">
        <x:v>333.96</x:v>
      </x:c>
    </x:row>
    <x:row r="705">
      <x:c r="A705" t="n">
        <x:v>500702</x:v>
      </x:c>
      <x:c r="B705" s="24" t="n">
        <x:v>45795</x:v>
      </x:c>
      <x:c r="C705" t="n">
        <x:v>1025</x:v>
      </x:c>
      <x:c r="D705" t="str">
        <x:v>Seller 1025</x:v>
      </x:c>
      <x:c r="E705" t="str">
        <x:v>Gold</x:v>
      </x:c>
      <x:c r="F705" t="str">
        <x:v>Central</x:v>
      </x:c>
      <x:c r="G705" t="str">
        <x:v>Pet Supplies</x:v>
      </x:c>
      <x:c r="H705" t="n">
        <x:v>3</x:v>
      </x:c>
      <x:c r="I705" s="26" t="n">
        <x:v>1413</x:v>
      </x:c>
      <x:c r="J705" s="26" t="n">
        <x:v>4579.2</x:v>
      </x:c>
      <x:c r="K705" s="28" t="n">
        <x:v>0.1342</x:v>
      </x:c>
      <x:c r="L705" s="26" t="n">
        <x:v>614.53</x:v>
      </x:c>
      <x:c r="M705" t="n">
        <x:v>0</x:v>
      </x:c>
      <x:c r="N705" s="26" t="n">
        <x:v>0</x:v>
      </x:c>
      <x:c r="O705" s="26" t="n">
        <x:v>84.72</x:v>
      </x:c>
      <x:c r="P705" s="26" t="n">
        <x:v>20.61</x:v>
      </x:c>
      <x:c r="Q705" s="26" t="n">
        <x:v>38.92</x:v>
      </x:c>
      <x:c r="R705" s="26" t="n">
        <x:v>48.08</x:v>
      </x:c>
      <x:c r="S705" s="26" t="n">
        <x:v>422.2</x:v>
      </x:c>
    </x:row>
    <x:row r="706">
      <x:c r="A706" t="n">
        <x:v>500703</x:v>
      </x:c>
      <x:c r="B706" s="24" t="n">
        <x:v>45788</x:v>
      </x:c>
      <x:c r="C706" t="n">
        <x:v>1040</x:v>
      </x:c>
      <x:c r="D706" t="str">
        <x:v>Seller 1040</x:v>
      </x:c>
      <x:c r="E706" t="str">
        <x:v>Silver</x:v>
      </x:c>
      <x:c r="F706" t="str">
        <x:v>West</x:v>
      </x:c>
      <x:c r="G706" t="str">
        <x:v>Pet Supplies</x:v>
      </x:c>
      <x:c r="H706" t="n">
        <x:v>4</x:v>
      </x:c>
      <x:c r="I706" s="26" t="n">
        <x:v>680.4</x:v>
      </x:c>
      <x:c r="J706" s="26" t="n">
        <x:v>2250</x:v>
      </x:c>
      <x:c r="K706" s="28" t="n">
        <x:v>0.1432</x:v>
      </x:c>
      <x:c r="L706" s="26" t="n">
        <x:v>322.2</x:v>
      </x:c>
      <x:c r="M706" t="n">
        <x:v>0</x:v>
      </x:c>
      <x:c r="N706" s="26" t="n">
        <x:v>0</x:v>
      </x:c>
      <x:c r="O706" s="26" t="n">
        <x:v>41.62</x:v>
      </x:c>
      <x:c r="P706" s="26" t="n">
        <x:v>10.12</x:v>
      </x:c>
      <x:c r="Q706" s="26" t="n">
        <x:v>19.12</x:v>
      </x:c>
      <x:c r="R706" s="26" t="n">
        <x:v>23.62</x:v>
      </x:c>
      <x:c r="S706" s="26" t="n">
        <x:v>227.7</x:v>
      </x:c>
    </x:row>
    <x:row r="707">
      <x:c r="A707" t="n">
        <x:v>500704</x:v>
      </x:c>
      <x:c r="B707" s="24" t="n">
        <x:v>45795</x:v>
      </x:c>
      <x:c r="C707" t="n">
        <x:v>1006</x:v>
      </x:c>
      <x:c r="D707" t="str">
        <x:v>Seller 1006</x:v>
      </x:c>
      <x:c r="E707" t="str">
        <x:v>Platinum</x:v>
      </x:c>
      <x:c r="F707" t="str">
        <x:v>East</x:v>
      </x:c>
      <x:c r="G707" t="str">
        <x:v>Sports</x:v>
      </x:c>
      <x:c r="H707" t="n">
        <x:v>2</x:v>
      </x:c>
      <x:c r="I707" s="26" t="n">
        <x:v>2796</x:v>
      </x:c>
      <x:c r="J707" s="26" t="n">
        <x:v>8143.2</x:v>
      </x:c>
      <x:c r="K707" s="28" t="n">
        <x:v>0.1286</x:v>
      </x:c>
      <x:c r="L707" s="26" t="n">
        <x:v>1047.22</x:v>
      </x:c>
      <x:c r="M707" t="n">
        <x:v>0</x:v>
      </x:c>
      <x:c r="N707" s="26" t="n">
        <x:v>0</x:v>
      </x:c>
      <x:c r="O707" s="26" t="n">
        <x:v>150.65</x:v>
      </x:c>
      <x:c r="P707" s="26" t="n">
        <x:v>36.64</x:v>
      </x:c>
      <x:c r="Q707" s="26" t="n">
        <x:v>69.22</x:v>
      </x:c>
      <x:c r="R707" s="26" t="n">
        <x:v>85.5</x:v>
      </x:c>
      <x:c r="S707" s="26" t="n">
        <x:v>705.2</x:v>
      </x:c>
    </x:row>
    <x:row r="708">
      <x:c r="A708" t="n">
        <x:v>500705</x:v>
      </x:c>
      <x:c r="B708" s="24" t="n">
        <x:v>45807</x:v>
      </x:c>
      <x:c r="C708" t="n">
        <x:v>1020</x:v>
      </x:c>
      <x:c r="D708" t="str">
        <x:v>Seller 1020</x:v>
      </x:c>
      <x:c r="E708" t="str">
        <x:v>Gold</x:v>
      </x:c>
      <x:c r="F708" t="str">
        <x:v>West</x:v>
      </x:c>
      <x:c r="G708" t="str">
        <x:v>Home &amp; Kitchen</x:v>
      </x:c>
      <x:c r="H708" t="n">
        <x:v>2</x:v>
      </x:c>
      <x:c r="I708" s="26" t="n">
        <x:v>2410.8</x:v>
      </x:c>
      <x:c r="J708" s="26" t="n">
        <x:v>5209.2</x:v>
      </x:c>
      <x:c r="K708" s="28" t="n">
        <x:v>0.1264</x:v>
      </x:c>
      <x:c r="L708" s="26" t="n">
        <x:v>658.44</x:v>
      </x:c>
      <x:c r="M708" t="n">
        <x:v>0</x:v>
      </x:c>
      <x:c r="N708" s="26" t="n">
        <x:v>0</x:v>
      </x:c>
      <x:c r="O708" s="26" t="n">
        <x:v>96.37</x:v>
      </x:c>
      <x:c r="P708" s="26" t="n">
        <x:v>23.44</x:v>
      </x:c>
      <x:c r="Q708" s="26" t="n">
        <x:v>44.28</x:v>
      </x:c>
      <x:c r="R708" s="26" t="n">
        <x:v>54.7</x:v>
      </x:c>
      <x:c r="S708" s="26" t="n">
        <x:v>439.66</x:v>
      </x:c>
    </x:row>
    <x:row r="709">
      <x:c r="A709" t="n">
        <x:v>500706</x:v>
      </x:c>
      <x:c r="B709" s="24" t="n">
        <x:v>45803</x:v>
      </x:c>
      <x:c r="C709" t="n">
        <x:v>1080</x:v>
      </x:c>
      <x:c r="D709" t="str">
        <x:v>Seller 1080</x:v>
      </x:c>
      <x:c r="E709" t="str">
        <x:v>Bronze</x:v>
      </x:c>
      <x:c r="F709" t="str">
        <x:v>South</x:v>
      </x:c>
      <x:c r="G709" t="str">
        <x:v>Beauty</x:v>
      </x:c>
      <x:c r="H709" t="n">
        <x:v>2</x:v>
      </x:c>
      <x:c r="I709" s="26" t="n">
        <x:v>1213.1999999999998</x:v>
      </x:c>
      <x:c r="J709" s="26" t="n">
        <x:v>1413.6</x:v>
      </x:c>
      <x:c r="K709" s="28" t="n">
        <x:v>0.1371</x:v>
      </x:c>
      <x:c r="L709" s="26" t="n">
        <x:v>193.8</x:v>
      </x:c>
      <x:c r="M709" t="n">
        <x:v>0</x:v>
      </x:c>
      <x:c r="N709" s="26" t="n">
        <x:v>0</x:v>
      </x:c>
      <x:c r="O709" s="26" t="n">
        <x:v>26.15</x:v>
      </x:c>
      <x:c r="P709" s="26" t="n">
        <x:v>6.36</x:v>
      </x:c>
      <x:c r="Q709" s="26" t="n">
        <x:v>12.02</x:v>
      </x:c>
      <x:c r="R709" s="26" t="n">
        <x:v>14.84</x:v>
      </x:c>
      <x:c r="S709" s="26" t="n">
        <x:v>134.43</x:v>
      </x:c>
    </x:row>
    <x:row r="710">
      <x:c r="A710" t="n">
        <x:v>500707</x:v>
      </x:c>
      <x:c r="B710" s="24" t="n">
        <x:v>45803</x:v>
      </x:c>
      <x:c r="C710" t="n">
        <x:v>1013</x:v>
      </x:c>
      <x:c r="D710" t="str">
        <x:v>Seller 1013</x:v>
      </x:c>
      <x:c r="E710" t="str">
        <x:v>Gold</x:v>
      </x:c>
      <x:c r="F710" t="str">
        <x:v>West</x:v>
      </x:c>
      <x:c r="G710" t="str">
        <x:v>Electronics</x:v>
      </x:c>
      <x:c r="H710" t="n">
        <x:v>3</x:v>
      </x:c>
      <x:c r="I710" s="26" t="n">
        <x:v>3717.6</x:v>
      </x:c>
      <x:c r="J710" s="26" t="n">
        <x:v>12049.2</x:v>
      </x:c>
      <x:c r="K710" s="28" t="n">
        <x:v>0.1326</x:v>
      </x:c>
      <x:c r="L710" s="26" t="n">
        <x:v>1597.72</x:v>
      </x:c>
      <x:c r="M710" t="n">
        <x:v>0</x:v>
      </x:c>
      <x:c r="N710" s="26" t="n">
        <x:v>0</x:v>
      </x:c>
      <x:c r="O710" s="26" t="n">
        <x:v>222.91</x:v>
      </x:c>
      <x:c r="P710" s="26" t="n">
        <x:v>54.22</x:v>
      </x:c>
      <x:c r="Q710" s="26" t="n">
        <x:v>102.42</x:v>
      </x:c>
      <x:c r="R710" s="26" t="n">
        <x:v>126.52</x:v>
      </x:c>
      <x:c r="S710" s="26" t="n">
        <x:v>1091.66</x:v>
      </x:c>
    </x:row>
    <x:row r="711">
      <x:c r="A711" t="n">
        <x:v>500708</x:v>
      </x:c>
      <x:c r="B711" s="24" t="n">
        <x:v>45788</x:v>
      </x:c>
      <x:c r="C711" t="n">
        <x:v>1079</x:v>
      </x:c>
      <x:c r="D711" t="str">
        <x:v>Seller 1079</x:v>
      </x:c>
      <x:c r="E711" t="str">
        <x:v>Bronze</x:v>
      </x:c>
      <x:c r="F711" t="str">
        <x:v>South</x:v>
      </x:c>
      <x:c r="G711" t="str">
        <x:v>Beauty</x:v>
      </x:c>
      <x:c r="H711" t="n">
        <x:v>2</x:v>
      </x:c>
      <x:c r="I711" s="26" t="n">
        <x:v>1110</x:v>
      </x:c>
      <x:c r="J711" s="26" t="n">
        <x:v>1293.6</x:v>
      </x:c>
      <x:c r="K711" s="28" t="n">
        <x:v>0.1525</x:v>
      </x:c>
      <x:c r="L711" s="26" t="n">
        <x:v>197.27</x:v>
      </x:c>
      <x:c r="M711" t="n">
        <x:v>0</x:v>
      </x:c>
      <x:c r="N711" s="26" t="n">
        <x:v>0</x:v>
      </x:c>
      <x:c r="O711" s="26" t="n">
        <x:v>23.93</x:v>
      </x:c>
      <x:c r="P711" s="26" t="n">
        <x:v>5.82</x:v>
      </x:c>
      <x:c r="Q711" s="26" t="n">
        <x:v>11</x:v>
      </x:c>
      <x:c r="R711" s="26" t="n">
        <x:v>13.58</x:v>
      </x:c>
      <x:c r="S711" s="26" t="n">
        <x:v>142.94</x:v>
      </x:c>
    </x:row>
    <x:row r="712">
      <x:c r="A712" t="n">
        <x:v>500709</x:v>
      </x:c>
      <x:c r="B712" s="24" t="n">
        <x:v>45783</x:v>
      </x:c>
      <x:c r="C712" t="n">
        <x:v>1016</x:v>
      </x:c>
      <x:c r="D712" t="str">
        <x:v>Seller 1016</x:v>
      </x:c>
      <x:c r="E712" t="str">
        <x:v>Gold</x:v>
      </x:c>
      <x:c r="F712" t="str">
        <x:v>West</x:v>
      </x:c>
      <x:c r="G712" t="str">
        <x:v>Sports</x:v>
      </x:c>
      <x:c r="H712" t="n">
        <x:v>1</x:v>
      </x:c>
      <x:c r="I712" s="26" t="n">
        <x:v>4468.8</x:v>
      </x:c>
      <x:c r="J712" s="26" t="n">
        <x:v>4827.6</x:v>
      </x:c>
      <x:c r="K712" s="28" t="n">
        <x:v>0.1392</x:v>
      </x:c>
      <x:c r="L712" s="26" t="n">
        <x:v>672</x:v>
      </x:c>
      <x:c r="M712" t="n">
        <x:v>0</x:v>
      </x:c>
      <x:c r="N712" s="26" t="n">
        <x:v>0</x:v>
      </x:c>
      <x:c r="O712" s="26" t="n">
        <x:v>89.31</x:v>
      </x:c>
      <x:c r="P712" s="26" t="n">
        <x:v>21.72</x:v>
      </x:c>
      <x:c r="Q712" s="26" t="n">
        <x:v>41.03</x:v>
      </x:c>
      <x:c r="R712" s="26" t="n">
        <x:v>50.69</x:v>
      </x:c>
      <x:c r="S712" s="26" t="n">
        <x:v>469.24</x:v>
      </x:c>
    </x:row>
    <x:row r="713">
      <x:c r="A713" t="n">
        <x:v>500710</x:v>
      </x:c>
      <x:c r="B713" s="24" t="n">
        <x:v>45785</x:v>
      </x:c>
      <x:c r="C713" t="n">
        <x:v>1043</x:v>
      </x:c>
      <x:c r="D713" t="str">
        <x:v>Seller 1043</x:v>
      </x:c>
      <x:c r="E713" t="str">
        <x:v>Silver</x:v>
      </x:c>
      <x:c r="F713" t="str">
        <x:v>West</x:v>
      </x:c>
      <x:c r="G713" t="str">
        <x:v>Sports</x:v>
      </x:c>
      <x:c r="H713" t="n">
        <x:v>2</x:v>
      </x:c>
      <x:c r="I713" s="26" t="n">
        <x:v>2887.2</x:v>
      </x:c>
      <x:c r="J713" s="26" t="n">
        <x:v>4773.6</x:v>
      </x:c>
      <x:c r="K713" s="28" t="n">
        <x:v>0.12</x:v>
      </x:c>
      <x:c r="L713" s="26" t="n">
        <x:v>572.83</x:v>
      </x:c>
      <x:c r="M713" t="n">
        <x:v>0</x:v>
      </x:c>
      <x:c r="N713" s="26" t="n">
        <x:v>0</x:v>
      </x:c>
      <x:c r="O713" s="26" t="n">
        <x:v>88.31</x:v>
      </x:c>
      <x:c r="P713" s="26" t="n">
        <x:v>21.48</x:v>
      </x:c>
      <x:c r="Q713" s="26" t="n">
        <x:v>40.58</x:v>
      </x:c>
      <x:c r="R713" s="26" t="n">
        <x:v>50.12</x:v>
      </x:c>
      <x:c r="S713" s="26" t="n">
        <x:v>372.34</x:v>
      </x:c>
    </x:row>
    <x:row r="714">
      <x:c r="A714" t="n">
        <x:v>500711</x:v>
      </x:c>
      <x:c r="B714" s="24" t="n">
        <x:v>45778</x:v>
      </x:c>
      <x:c r="C714" t="n">
        <x:v>1075</x:v>
      </x:c>
      <x:c r="D714" t="str">
        <x:v>Seller 1075</x:v>
      </x:c>
      <x:c r="E714" t="str">
        <x:v>Bronze</x:v>
      </x:c>
      <x:c r="F714" t="str">
        <x:v>East</x:v>
      </x:c>
      <x:c r="G714" t="str">
        <x:v>Electronics</x:v>
      </x:c>
      <x:c r="H714" t="n">
        <x:v>4</x:v>
      </x:c>
      <x:c r="I714" s="26" t="n">
        <x:v>2968.2</x:v>
      </x:c>
      <x:c r="J714" s="26" t="n">
        <x:v>6915</x:v>
      </x:c>
      <x:c r="K714" s="28" t="n">
        <x:v>0.1277</x:v>
      </x:c>
      <x:c r="L714" s="26" t="n">
        <x:v>883.05</x:v>
      </x:c>
      <x:c r="M714" t="n">
        <x:v>1</x:v>
      </x:c>
      <x:c r="N714" s="26" t="n">
        <x:v>5318.4</x:v>
      </x:c>
      <x:c r="O714" s="26" t="n">
        <x:v>127.93</x:v>
      </x:c>
      <x:c r="P714" s="26" t="n">
        <x:v>31.12</x:v>
      </x:c>
      <x:c r="Q714" s="26" t="n">
        <x:v>58.78</x:v>
      </x:c>
      <x:c r="R714" s="26" t="n">
        <x:v>72.61</x:v>
      </x:c>
      <x:c r="S714" s="26" t="n">
        <x:v>486.25</x:v>
      </x:c>
    </x:row>
    <x:row r="715">
      <x:c r="A715" t="n">
        <x:v>500712</x:v>
      </x:c>
      <x:c r="B715" s="24" t="n">
        <x:v>45802</x:v>
      </x:c>
      <x:c r="C715" t="n">
        <x:v>1001</x:v>
      </x:c>
      <x:c r="D715" t="str">
        <x:v>Seller 1001</x:v>
      </x:c>
      <x:c r="E715" t="str">
        <x:v>Platinum</x:v>
      </x:c>
      <x:c r="F715" t="str">
        <x:v>East</x:v>
      </x:c>
      <x:c r="G715" t="str">
        <x:v>Electronics</x:v>
      </x:c>
      <x:c r="H715" t="n">
        <x:v>3</x:v>
      </x:c>
      <x:c r="I715" s="26" t="n">
        <x:v>3436.8</x:v>
      </x:c>
      <x:c r="J715" s="26" t="n">
        <x:v>15015</x:v>
      </x:c>
      <x:c r="K715" s="28" t="n">
        <x:v>0.1343</x:v>
      </x:c>
      <x:c r="L715" s="26" t="n">
        <x:v>2016.51</x:v>
      </x:c>
      <x:c r="M715" t="n">
        <x:v>0</x:v>
      </x:c>
      <x:c r="N715" s="26" t="n">
        <x:v>0</x:v>
      </x:c>
      <x:c r="O715" s="26" t="n">
        <x:v>277.78</x:v>
      </x:c>
      <x:c r="P715" s="26" t="n">
        <x:v>67.57</x:v>
      </x:c>
      <x:c r="Q715" s="26" t="n">
        <x:v>127.63</x:v>
      </x:c>
      <x:c r="R715" s="26" t="n">
        <x:v>157.66</x:v>
      </x:c>
      <x:c r="S715" s="26" t="n">
        <x:v>1385.88</x:v>
      </x:c>
    </x:row>
    <x:row r="716">
      <x:c r="A716" t="n">
        <x:v>500713</x:v>
      </x:c>
      <x:c r="B716" s="24" t="n">
        <x:v>45797</x:v>
      </x:c>
      <x:c r="C716" t="n">
        <x:v>1061</x:v>
      </x:c>
      <x:c r="D716" t="str">
        <x:v>Seller 1061</x:v>
      </x:c>
      <x:c r="E716" t="str">
        <x:v>Bronze</x:v>
      </x:c>
      <x:c r="F716" t="str">
        <x:v>Central</x:v>
      </x:c>
      <x:c r="G716" t="str">
        <x:v>Electronics</x:v>
      </x:c>
      <x:c r="H716" t="n">
        <x:v>2</x:v>
      </x:c>
      <x:c r="I716" s="26" t="n">
        <x:v>5307</x:v>
      </x:c>
      <x:c r="J716" s="26" t="n">
        <x:v>6182.4</x:v>
      </x:c>
      <x:c r="K716" s="28" t="n">
        <x:v>0.1256</x:v>
      </x:c>
      <x:c r="L716" s="26" t="n">
        <x:v>776.51</x:v>
      </x:c>
      <x:c r="M716" t="n">
        <x:v>0</x:v>
      </x:c>
      <x:c r="N716" s="26" t="n">
        <x:v>0</x:v>
      </x:c>
      <x:c r="O716" s="26" t="n">
        <x:v>114.37</x:v>
      </x:c>
      <x:c r="P716" s="26" t="n">
        <x:v>27.82</x:v>
      </x:c>
      <x:c r="Q716" s="26" t="n">
        <x:v>52.55</x:v>
      </x:c>
      <x:c r="R716" s="26" t="n">
        <x:v>64.92</x:v>
      </x:c>
      <x:c r="S716" s="26" t="n">
        <x:v>516.85</x:v>
      </x:c>
    </x:row>
    <x:row r="717">
      <x:c r="A717" t="n">
        <x:v>500714</x:v>
      </x:c>
      <x:c r="B717" s="24" t="n">
        <x:v>45791</x:v>
      </x:c>
      <x:c r="C717" t="n">
        <x:v>1005</x:v>
      </x:c>
      <x:c r="D717" t="str">
        <x:v>Seller 1005</x:v>
      </x:c>
      <x:c r="E717" t="str">
        <x:v>Platinum</x:v>
      </x:c>
      <x:c r="F717" t="str">
        <x:v>East</x:v>
      </x:c>
      <x:c r="G717" t="str">
        <x:v>Electronics</x:v>
      </x:c>
      <x:c r="H717" t="n">
        <x:v>2</x:v>
      </x:c>
      <x:c r="I717" s="26" t="n">
        <x:v>3412.2</x:v>
      </x:c>
      <x:c r="J717" s="26" t="n">
        <x:v>9938.4</x:v>
      </x:c>
      <x:c r="K717" s="28" t="n">
        <x:v>0.1151</x:v>
      </x:c>
      <x:c r="L717" s="26" t="n">
        <x:v>1143.91</x:v>
      </x:c>
      <x:c r="M717" t="n">
        <x:v>0</x:v>
      </x:c>
      <x:c r="N717" s="26" t="n">
        <x:v>0</x:v>
      </x:c>
      <x:c r="O717" s="26" t="n">
        <x:v>183.86</x:v>
      </x:c>
      <x:c r="P717" s="26" t="n">
        <x:v>44.72</x:v>
      </x:c>
      <x:c r="Q717" s="26" t="n">
        <x:v>84.48</x:v>
      </x:c>
      <x:c r="R717" s="26" t="n">
        <x:v>104.35</x:v>
      </x:c>
      <x:c r="S717" s="26" t="n">
        <x:v>726.5</x:v>
      </x:c>
    </x:row>
    <x:row r="718">
      <x:c r="A718" t="n">
        <x:v>500715</x:v>
      </x:c>
      <x:c r="B718" s="24" t="n">
        <x:v>45795</x:v>
      </x:c>
      <x:c r="C718" t="n">
        <x:v>1001</x:v>
      </x:c>
      <x:c r="D718" t="str">
        <x:v>Seller 1001</x:v>
      </x:c>
      <x:c r="E718" t="str">
        <x:v>Platinum</x:v>
      </x:c>
      <x:c r="F718" t="str">
        <x:v>East</x:v>
      </x:c>
      <x:c r="G718" t="str">
        <x:v>Electronics</x:v>
      </x:c>
      <x:c r="H718" t="n">
        <x:v>3</x:v>
      </x:c>
      <x:c r="I718" s="26" t="n">
        <x:v>4809.599999999999</x:v>
      </x:c>
      <x:c r="J718" s="26" t="n">
        <x:v>21009.6</x:v>
      </x:c>
      <x:c r="K718" s="28" t="n">
        <x:v>0.1364</x:v>
      </x:c>
      <x:c r="L718" s="26" t="n">
        <x:v>2865.71</x:v>
      </x:c>
      <x:c r="M718" t="n">
        <x:v>0</x:v>
      </x:c>
      <x:c r="N718" s="26" t="n">
        <x:v>0</x:v>
      </x:c>
      <x:c r="O718" s="26" t="n">
        <x:v>388.68</x:v>
      </x:c>
      <x:c r="P718" s="26" t="n">
        <x:v>94.54</x:v>
      </x:c>
      <x:c r="Q718" s="26" t="n">
        <x:v>178.58</x:v>
      </x:c>
      <x:c r="R718" s="26" t="n">
        <x:v>220.6</x:v>
      </x:c>
      <x:c r="S718" s="26" t="n">
        <x:v>1983.31</x:v>
      </x:c>
    </x:row>
    <x:row r="719">
      <x:c r="A719" t="n">
        <x:v>500716</x:v>
      </x:c>
      <x:c r="B719" s="24" t="n">
        <x:v>45799</x:v>
      </x:c>
      <x:c r="C719" t="n">
        <x:v>1065</x:v>
      </x:c>
      <x:c r="D719" t="str">
        <x:v>Seller 1065</x:v>
      </x:c>
      <x:c r="E719" t="str">
        <x:v>Bronze</x:v>
      </x:c>
      <x:c r="F719" t="str">
        <x:v>South</x:v>
      </x:c>
      <x:c r="G719" t="str">
        <x:v>Home &amp; Kitchen</x:v>
      </x:c>
      <x:c r="H719" t="n">
        <x:v>2</x:v>
      </x:c>
      <x:c r="I719" s="26" t="n">
        <x:v>1887</x:v>
      </x:c>
      <x:c r="J719" s="26" t="n">
        <x:v>2198.4</x:v>
      </x:c>
      <x:c r="K719" s="28" t="n">
        <x:v>0.1296</x:v>
      </x:c>
      <x:c r="L719" s="26" t="n">
        <x:v>284.91</x:v>
      </x:c>
      <x:c r="M719" t="n">
        <x:v>0</x:v>
      </x:c>
      <x:c r="N719" s="26" t="n">
        <x:v>0</x:v>
      </x:c>
      <x:c r="O719" s="26" t="n">
        <x:v>40.67</x:v>
      </x:c>
      <x:c r="P719" s="26" t="n">
        <x:v>9.89</x:v>
      </x:c>
      <x:c r="Q719" s="26" t="n">
        <x:v>18.69</x:v>
      </x:c>
      <x:c r="R719" s="26" t="n">
        <x:v>23.08</x:v>
      </x:c>
      <x:c r="S719" s="26" t="n">
        <x:v>192.58</x:v>
      </x:c>
    </x:row>
    <x:row r="720">
      <x:c r="A720" t="n">
        <x:v>500717</x:v>
      </x:c>
      <x:c r="B720" s="24" t="n">
        <x:v>45786</x:v>
      </x:c>
      <x:c r="C720" t="n">
        <x:v>1061</x:v>
      </x:c>
      <x:c r="D720" t="str">
        <x:v>Seller 1061</x:v>
      </x:c>
      <x:c r="E720" t="str">
        <x:v>Bronze</x:v>
      </x:c>
      <x:c r="F720" t="str">
        <x:v>Central</x:v>
      </x:c>
      <x:c r="G720" t="str">
        <x:v>Electronics</x:v>
      </x:c>
      <x:c r="H720" t="n">
        <x:v>3</x:v>
      </x:c>
      <x:c r="I720" s="26" t="n">
        <x:v>4228.2</x:v>
      </x:c>
      <x:c r="J720" s="26" t="n">
        <x:v>7388.4</x:v>
      </x:c>
      <x:c r="K720" s="28" t="n">
        <x:v>0.1143</x:v>
      </x:c>
      <x:c r="L720" s="26" t="n">
        <x:v>844.49</x:v>
      </x:c>
      <x:c r="M720" t="n">
        <x:v>0</x:v>
      </x:c>
      <x:c r="N720" s="26" t="n">
        <x:v>0</x:v>
      </x:c>
      <x:c r="O720" s="26" t="n">
        <x:v>136.69</x:v>
      </x:c>
      <x:c r="P720" s="26" t="n">
        <x:v>33.25</x:v>
      </x:c>
      <x:c r="Q720" s="26" t="n">
        <x:v>62.8</x:v>
      </x:c>
      <x:c r="R720" s="26" t="n">
        <x:v>77.58</x:v>
      </x:c>
      <x:c r="S720" s="26" t="n">
        <x:v>534.18</x:v>
      </x:c>
    </x:row>
    <x:row r="721">
      <x:c r="A721" t="n">
        <x:v>500718</x:v>
      </x:c>
      <x:c r="B721" s="24" t="n">
        <x:v>45783</x:v>
      </x:c>
      <x:c r="C721" t="n">
        <x:v>1043</x:v>
      </x:c>
      <x:c r="D721" t="str">
        <x:v>Seller 1043</x:v>
      </x:c>
      <x:c r="E721" t="str">
        <x:v>Silver</x:v>
      </x:c>
      <x:c r="F721" t="str">
        <x:v>West</x:v>
      </x:c>
      <x:c r="G721" t="str">
        <x:v>Sports</x:v>
      </x:c>
      <x:c r="H721" t="n">
        <x:v>3</x:v>
      </x:c>
      <x:c r="I721" s="26" t="n">
        <x:v>1264.8</x:v>
      </x:c>
      <x:c r="J721" s="26" t="n">
        <x:v>3136.8</x:v>
      </x:c>
      <x:c r="K721" s="28" t="n">
        <x:v>0.1185</x:v>
      </x:c>
      <x:c r="L721" s="26" t="n">
        <x:v>371.71</x:v>
      </x:c>
      <x:c r="M721" t="n">
        <x:v>0</x:v>
      </x:c>
      <x:c r="N721" s="26" t="n">
        <x:v>0</x:v>
      </x:c>
      <x:c r="O721" s="26" t="n">
        <x:v>58.03</x:v>
      </x:c>
      <x:c r="P721" s="26" t="n">
        <x:v>14.12</x:v>
      </x:c>
      <x:c r="Q721" s="26" t="n">
        <x:v>26.66</x:v>
      </x:c>
      <x:c r="R721" s="26" t="n">
        <x:v>32.94</x:v>
      </x:c>
      <x:c r="S721" s="26" t="n">
        <x:v>239.97</x:v>
      </x:c>
    </x:row>
    <x:row r="722">
      <x:c r="A722" t="n">
        <x:v>500719</x:v>
      </x:c>
      <x:c r="B722" s="24" t="n">
        <x:v>45784</x:v>
      </x:c>
      <x:c r="C722" t="n">
        <x:v>1004</x:v>
      </x:c>
      <x:c r="D722" t="str">
        <x:v>Seller 1004</x:v>
      </x:c>
      <x:c r="E722" t="str">
        <x:v>Platinum</x:v>
      </x:c>
      <x:c r="F722" t="str">
        <x:v>East</x:v>
      </x:c>
      <x:c r="G722" t="str">
        <x:v>Sports</x:v>
      </x:c>
      <x:c r="H722" t="n">
        <x:v>4</x:v>
      </x:c>
      <x:c r="I722" s="26" t="n">
        <x:v>1656</x:v>
      </x:c>
      <x:c r="J722" s="26" t="n">
        <x:v>9646.2</x:v>
      </x:c>
      <x:c r="K722" s="28" t="n">
        <x:v>0.1333</x:v>
      </x:c>
      <x:c r="L722" s="26" t="n">
        <x:v>1285.84</x:v>
      </x:c>
      <x:c r="M722" t="n">
        <x:v>0</x:v>
      </x:c>
      <x:c r="N722" s="26" t="n">
        <x:v>0</x:v>
      </x:c>
      <x:c r="O722" s="26" t="n">
        <x:v>178.45</x:v>
      </x:c>
      <x:c r="P722" s="26" t="n">
        <x:v>43.41</x:v>
      </x:c>
      <x:c r="Q722" s="26" t="n">
        <x:v>81.99</x:v>
      </x:c>
      <x:c r="R722" s="26" t="n">
        <x:v>101.29</x:v>
      </x:c>
      <x:c r="S722" s="26" t="n">
        <x:v>880.7</x:v>
      </x:c>
    </x:row>
    <x:row r="723">
      <x:c r="A723" t="n">
        <x:v>500720</x:v>
      </x:c>
      <x:c r="B723" s="24" t="n">
        <x:v>45806</x:v>
      </x:c>
      <x:c r="C723" t="n">
        <x:v>1042</x:v>
      </x:c>
      <x:c r="D723" t="str">
        <x:v>Seller 1042</x:v>
      </x:c>
      <x:c r="E723" t="str">
        <x:v>Silver</x:v>
      </x:c>
      <x:c r="F723" t="str">
        <x:v>East</x:v>
      </x:c>
      <x:c r="G723" t="str">
        <x:v>Pet Supplies</x:v>
      </x:c>
      <x:c r="H723" t="n">
        <x:v>3</x:v>
      </x:c>
      <x:c r="I723" s="26" t="n">
        <x:v>1154.3999999999999</x:v>
      </x:c>
      <x:c r="J723" s="26" t="n">
        <x:v>2863.2</x:v>
      </x:c>
      <x:c r="K723" s="28" t="n">
        <x:v>0.1257</x:v>
      </x:c>
      <x:c r="L723" s="26" t="n">
        <x:v>359.9</x:v>
      </x:c>
      <x:c r="M723" t="n">
        <x:v>0</x:v>
      </x:c>
      <x:c r="N723" s="26" t="n">
        <x:v>0</x:v>
      </x:c>
      <x:c r="O723" s="26" t="n">
        <x:v>52.97</x:v>
      </x:c>
      <x:c r="P723" s="26" t="n">
        <x:v>12.88</x:v>
      </x:c>
      <x:c r="Q723" s="26" t="n">
        <x:v>24.34</x:v>
      </x:c>
      <x:c r="R723" s="26" t="n">
        <x:v>30.06</x:v>
      </x:c>
      <x:c r="S723" s="26" t="n">
        <x:v>239.65</x:v>
      </x:c>
    </x:row>
    <x:row r="724">
      <x:c r="A724" t="n">
        <x:v>500721</x:v>
      </x:c>
      <x:c r="B724" s="24" t="n">
        <x:v>45783</x:v>
      </x:c>
      <x:c r="C724" t="n">
        <x:v>1029</x:v>
      </x:c>
      <x:c r="D724" t="str">
        <x:v>Seller 1029</x:v>
      </x:c>
      <x:c r="E724" t="str">
        <x:v>Gold</x:v>
      </x:c>
      <x:c r="F724" t="str">
        <x:v>West</x:v>
      </x:c>
      <x:c r="G724" t="str">
        <x:v>Home &amp; Kitchen</x:v>
      </x:c>
      <x:c r="H724" t="n">
        <x:v>2</x:v>
      </x:c>
      <x:c r="I724" s="26" t="n">
        <x:v>2392.8</x:v>
      </x:c>
      <x:c r="J724" s="26" t="n">
        <x:v>5170.8</x:v>
      </x:c>
      <x:c r="K724" s="28" t="n">
        <x:v>0.1335</x:v>
      </x:c>
      <x:c r="L724" s="26" t="n">
        <x:v>690.3</x:v>
      </x:c>
      <x:c r="M724" t="n">
        <x:v>0</x:v>
      </x:c>
      <x:c r="N724" s="26" t="n">
        <x:v>0</x:v>
      </x:c>
      <x:c r="O724" s="26" t="n">
        <x:v>95.66</x:v>
      </x:c>
      <x:c r="P724" s="26" t="n">
        <x:v>23.27</x:v>
      </x:c>
      <x:c r="Q724" s="26" t="n">
        <x:v>43.95</x:v>
      </x:c>
      <x:c r="R724" s="26" t="n">
        <x:v>54.29</x:v>
      </x:c>
      <x:c r="S724" s="26" t="n">
        <x:v>473.13</x:v>
      </x:c>
    </x:row>
    <x:row r="725">
      <x:c r="A725" t="n">
        <x:v>500722</x:v>
      </x:c>
      <x:c r="B725" s="24" t="n">
        <x:v>45779</x:v>
      </x:c>
      <x:c r="C725" t="n">
        <x:v>1050</x:v>
      </x:c>
      <x:c r="D725" t="str">
        <x:v>Seller 1050</x:v>
      </x:c>
      <x:c r="E725" t="str">
        <x:v>Silver</x:v>
      </x:c>
      <x:c r="F725" t="str">
        <x:v>East</x:v>
      </x:c>
      <x:c r="G725" t="str">
        <x:v>Electronics</x:v>
      </x:c>
      <x:c r="H725" t="n">
        <x:v>2</x:v>
      </x:c>
      <x:c r="I725" s="26" t="n">
        <x:v>4470</x:v>
      </x:c>
      <x:c r="J725" s="26" t="n">
        <x:v>7390.8</x:v>
      </x:c>
      <x:c r="K725" s="28" t="n">
        <x:v>0.1216</x:v>
      </x:c>
      <x:c r="L725" s="26" t="n">
        <x:v>898.72</x:v>
      </x:c>
      <x:c r="M725" t="n">
        <x:v>0</x:v>
      </x:c>
      <x:c r="N725" s="26" t="n">
        <x:v>0</x:v>
      </x:c>
      <x:c r="O725" s="26" t="n">
        <x:v>136.73</x:v>
      </x:c>
      <x:c r="P725" s="26" t="n">
        <x:v>33.26</x:v>
      </x:c>
      <x:c r="Q725" s="26" t="n">
        <x:v>62.82</x:v>
      </x:c>
      <x:c r="R725" s="26" t="n">
        <x:v>77.6</x:v>
      </x:c>
      <x:c r="S725" s="26" t="n">
        <x:v>588.31</x:v>
      </x:c>
    </x:row>
    <x:row r="726">
      <x:c r="A726" t="n">
        <x:v>500723</x:v>
      </x:c>
      <x:c r="B726" s="24" t="n">
        <x:v>45806</x:v>
      </x:c>
      <x:c r="C726" t="n">
        <x:v>1073</x:v>
      </x:c>
      <x:c r="D726" t="str">
        <x:v>Seller 1073</x:v>
      </x:c>
      <x:c r="E726" t="str">
        <x:v>Bronze</x:v>
      </x:c>
      <x:c r="F726" t="str">
        <x:v>Central</x:v>
      </x:c>
      <x:c r="G726" t="str">
        <x:v>Electronics</x:v>
      </x:c>
      <x:c r="H726" t="n">
        <x:v>3</x:v>
      </x:c>
      <x:c r="I726" s="26" t="n">
        <x:v>3928.2</x:v>
      </x:c>
      <x:c r="J726" s="26" t="n">
        <x:v>6864.6</x:v>
      </x:c>
      <x:c r="K726" s="28" t="n">
        <x:v>0.124</x:v>
      </x:c>
      <x:c r="L726" s="26" t="n">
        <x:v>851.21</x:v>
      </x:c>
      <x:c r="M726" t="n">
        <x:v>0</x:v>
      </x:c>
      <x:c r="N726" s="26" t="n">
        <x:v>0</x:v>
      </x:c>
      <x:c r="O726" s="26" t="n">
        <x:v>127</x:v>
      </x:c>
      <x:c r="P726" s="26" t="n">
        <x:v>30.89</x:v>
      </x:c>
      <x:c r="Q726" s="26" t="n">
        <x:v>58.35</x:v>
      </x:c>
      <x:c r="R726" s="26" t="n">
        <x:v>72.08</x:v>
      </x:c>
      <x:c r="S726" s="26" t="n">
        <x:v>562.9</x:v>
      </x:c>
    </x:row>
    <x:row r="727">
      <x:c r="A727" t="n">
        <x:v>500724</x:v>
      </x:c>
      <x:c r="B727" s="24" t="n">
        <x:v>45805</x:v>
      </x:c>
      <x:c r="C727" t="n">
        <x:v>1038</x:v>
      </x:c>
      <x:c r="D727" t="str">
        <x:v>Seller 1038</x:v>
      </x:c>
      <x:c r="E727" t="str">
        <x:v>Silver</x:v>
      </x:c>
      <x:c r="F727" t="str">
        <x:v>South</x:v>
      </x:c>
      <x:c r="G727" t="str">
        <x:v>Sports</x:v>
      </x:c>
      <x:c r="H727" t="n">
        <x:v>2</x:v>
      </x:c>
      <x:c r="I727" s="26" t="n">
        <x:v>1776</x:v>
      </x:c>
      <x:c r="J727" s="26" t="n">
        <x:v>2936.4</x:v>
      </x:c>
      <x:c r="K727" s="28" t="n">
        <x:v>0.1307</x:v>
      </x:c>
      <x:c r="L727" s="26" t="n">
        <x:v>383.79</x:v>
      </x:c>
      <x:c r="M727" t="n">
        <x:v>0</x:v>
      </x:c>
      <x:c r="N727" s="26" t="n">
        <x:v>0</x:v>
      </x:c>
      <x:c r="O727" s="26" t="n">
        <x:v>54.32</x:v>
      </x:c>
      <x:c r="P727" s="26" t="n">
        <x:v>13.21</x:v>
      </x:c>
      <x:c r="Q727" s="26" t="n">
        <x:v>24.96</x:v>
      </x:c>
      <x:c r="R727" s="26" t="n">
        <x:v>30.83</x:v>
      </x:c>
      <x:c r="S727" s="26" t="n">
        <x:v>260.46</x:v>
      </x:c>
    </x:row>
    <x:row r="728">
      <x:c r="A728" t="n">
        <x:v>500725</x:v>
      </x:c>
      <x:c r="B728" s="24" t="n">
        <x:v>45786</x:v>
      </x:c>
      <x:c r="C728" t="n">
        <x:v>1030</x:v>
      </x:c>
      <x:c r="D728" t="str">
        <x:v>Seller 1030</x:v>
      </x:c>
      <x:c r="E728" t="str">
        <x:v>Gold</x:v>
      </x:c>
      <x:c r="F728" t="str">
        <x:v>South</x:v>
      </x:c>
      <x:c r="G728" t="str">
        <x:v>Pet Supplies</x:v>
      </x:c>
      <x:c r="H728" t="n">
        <x:v>3</x:v>
      </x:c>
      <x:c r="I728" s="26" t="n">
        <x:v>813.6</x:v>
      </x:c>
      <x:c r="J728" s="26" t="n">
        <x:v>2637</x:v>
      </x:c>
      <x:c r="K728" s="28" t="n">
        <x:v>0.1439</x:v>
      </x:c>
      <x:c r="L728" s="26" t="n">
        <x:v>379.46</x:v>
      </x:c>
      <x:c r="M728" t="n">
        <x:v>0</x:v>
      </x:c>
      <x:c r="N728" s="26" t="n">
        <x:v>0</x:v>
      </x:c>
      <x:c r="O728" s="26" t="n">
        <x:v>48.78</x:v>
      </x:c>
      <x:c r="P728" s="26" t="n">
        <x:v>11.87</x:v>
      </x:c>
      <x:c r="Q728" s="26" t="n">
        <x:v>22.41</x:v>
      </x:c>
      <x:c r="R728" s="26" t="n">
        <x:v>27.69</x:v>
      </x:c>
      <x:c r="S728" s="26" t="n">
        <x:v>268.71</x:v>
      </x:c>
    </x:row>
    <x:row r="729">
      <x:c r="A729" t="n">
        <x:v>500726</x:v>
      </x:c>
      <x:c r="B729" s="24" t="n">
        <x:v>45796</x:v>
      </x:c>
      <x:c r="C729" t="n">
        <x:v>1002</x:v>
      </x:c>
      <x:c r="D729" t="str">
        <x:v>Seller 1002</x:v>
      </x:c>
      <x:c r="E729" t="str">
        <x:v>Platinum</x:v>
      </x:c>
      <x:c r="F729" t="str">
        <x:v>Central</x:v>
      </x:c>
      <x:c r="G729" t="str">
        <x:v>Home &amp; Kitchen</x:v>
      </x:c>
      <x:c r="H729" t="n">
        <x:v>2</x:v>
      </x:c>
      <x:c r="I729" s="26" t="n">
        <x:v>2164.7999999999997</x:v>
      </x:c>
      <x:c r="J729" s="26" t="n">
        <x:v>6304.8</x:v>
      </x:c>
      <x:c r="K729" s="28" t="n">
        <x:v>0.1309</x:v>
      </x:c>
      <x:c r="L729" s="26" t="n">
        <x:v>825.3</x:v>
      </x:c>
      <x:c r="M729" t="n">
        <x:v>0</x:v>
      </x:c>
      <x:c r="N729" s="26" t="n">
        <x:v>0</x:v>
      </x:c>
      <x:c r="O729" s="26" t="n">
        <x:v>116.64</x:v>
      </x:c>
      <x:c r="P729" s="26" t="n">
        <x:v>28.37</x:v>
      </x:c>
      <x:c r="Q729" s="26" t="n">
        <x:v>53.59</x:v>
      </x:c>
      <x:c r="R729" s="26" t="n">
        <x:v>66.2</x:v>
      </x:c>
      <x:c r="S729" s="26" t="n">
        <x:v>560.5</x:v>
      </x:c>
    </x:row>
    <x:row r="730">
      <x:c r="A730" t="n">
        <x:v>500727</x:v>
      </x:c>
      <x:c r="B730" s="24" t="n">
        <x:v>45791</x:v>
      </x:c>
      <x:c r="C730" t="n">
        <x:v>1020</x:v>
      </x:c>
      <x:c r="D730" t="str">
        <x:v>Seller 1020</x:v>
      </x:c>
      <x:c r="E730" t="str">
        <x:v>Gold</x:v>
      </x:c>
      <x:c r="F730" t="str">
        <x:v>West</x:v>
      </x:c>
      <x:c r="G730" t="str">
        <x:v>Electronics</x:v>
      </x:c>
      <x:c r="H730" t="n">
        <x:v>2</x:v>
      </x:c>
      <x:c r="I730" s="26" t="n">
        <x:v>4453.2</x:v>
      </x:c>
      <x:c r="J730" s="26" t="n">
        <x:v>9622.8</x:v>
      </x:c>
      <x:c r="K730" s="28" t="n">
        <x:v>0.1368</x:v>
      </x:c>
      <x:c r="L730" s="26" t="n">
        <x:v>1316.4</x:v>
      </x:c>
      <x:c r="M730" t="n">
        <x:v>0</x:v>
      </x:c>
      <x:c r="N730" s="26" t="n">
        <x:v>0</x:v>
      </x:c>
      <x:c r="O730" s="26" t="n">
        <x:v>178.02</x:v>
      </x:c>
      <x:c r="P730" s="26" t="n">
        <x:v>43.3</x:v>
      </x:c>
      <x:c r="Q730" s="26" t="n">
        <x:v>81.79</x:v>
      </x:c>
      <x:c r="R730" s="26" t="n">
        <x:v>101.04</x:v>
      </x:c>
      <x:c r="S730" s="26" t="n">
        <x:v>912.24</x:v>
      </x:c>
    </x:row>
    <x:row r="731">
      <x:c r="A731" t="n">
        <x:v>500728</x:v>
      </x:c>
      <x:c r="B731" s="24" t="n">
        <x:v>45802</x:v>
      </x:c>
      <x:c r="C731" t="n">
        <x:v>1068</x:v>
      </x:c>
      <x:c r="D731" t="str">
        <x:v>Seller 1068</x:v>
      </x:c>
      <x:c r="E731" t="str">
        <x:v>Bronze</x:v>
      </x:c>
      <x:c r="F731" t="str">
        <x:v>South</x:v>
      </x:c>
      <x:c r="G731" t="str">
        <x:v>Pet Supplies</x:v>
      </x:c>
      <x:c r="H731" t="n">
        <x:v>3</x:v>
      </x:c>
      <x:c r="I731" s="26" t="n">
        <x:v>681</x:v>
      </x:c>
      <x:c r="J731" s="26" t="n">
        <x:v>1190.4</x:v>
      </x:c>
      <x:c r="K731" s="28" t="n">
        <x:v>0.1224</x:v>
      </x:c>
      <x:c r="L731" s="26" t="n">
        <x:v>145.7</x:v>
      </x:c>
      <x:c r="M731" t="n">
        <x:v>0</x:v>
      </x:c>
      <x:c r="N731" s="26" t="n">
        <x:v>0</x:v>
      </x:c>
      <x:c r="O731" s="26" t="n">
        <x:v>22.02</x:v>
      </x:c>
      <x:c r="P731" s="26" t="n">
        <x:v>5.36</x:v>
      </x:c>
      <x:c r="Q731" s="26" t="n">
        <x:v>10.12</x:v>
      </x:c>
      <x:c r="R731" s="26" t="n">
        <x:v>12.5</x:v>
      </x:c>
      <x:c r="S731" s="26" t="n">
        <x:v>95.71</x:v>
      </x:c>
    </x:row>
    <x:row r="732">
      <x:c r="A732" t="n">
        <x:v>500729</x:v>
      </x:c>
      <x:c r="B732" s="24" t="n">
        <x:v>45778</x:v>
      </x:c>
      <x:c r="C732" t="n">
        <x:v>1002</x:v>
      </x:c>
      <x:c r="D732" t="str">
        <x:v>Seller 1002</x:v>
      </x:c>
      <x:c r="E732" t="str">
        <x:v>Platinum</x:v>
      </x:c>
      <x:c r="F732" t="str">
        <x:v>Central</x:v>
      </x:c>
      <x:c r="G732" t="str">
        <x:v>Home &amp; Kitchen</x:v>
      </x:c>
      <x:c r="H732" t="n">
        <x:v>2</x:v>
      </x:c>
      <x:c r="I732" s="26" t="n">
        <x:v>2613</x:v>
      </x:c>
      <x:c r="J732" s="26" t="n">
        <x:v>7609.2</x:v>
      </x:c>
      <x:c r="K732" s="28" t="n">
        <x:v>0.1316</x:v>
      </x:c>
      <x:c r="L732" s="26" t="n">
        <x:v>1001.37</x:v>
      </x:c>
      <x:c r="M732" t="n">
        <x:v>0</x:v>
      </x:c>
      <x:c r="N732" s="26" t="n">
        <x:v>0</x:v>
      </x:c>
      <x:c r="O732" s="26" t="n">
        <x:v>140.77</x:v>
      </x:c>
      <x:c r="P732" s="26" t="n">
        <x:v>34.24</x:v>
      </x:c>
      <x:c r="Q732" s="26" t="n">
        <x:v>64.68</x:v>
      </x:c>
      <x:c r="R732" s="26" t="n">
        <x:v>79.9</x:v>
      </x:c>
      <x:c r="S732" s="26" t="n">
        <x:v>681.78</x:v>
      </x:c>
    </x:row>
    <x:row r="733">
      <x:c r="A733" t="n">
        <x:v>500730</x:v>
      </x:c>
      <x:c r="B733" s="24" t="n">
        <x:v>45792</x:v>
      </x:c>
      <x:c r="C733" t="n">
        <x:v>1062</x:v>
      </x:c>
      <x:c r="D733" t="str">
        <x:v>Seller 1062</x:v>
      </x:c>
      <x:c r="E733" t="str">
        <x:v>Bronze</x:v>
      </x:c>
      <x:c r="F733" t="str">
        <x:v>West</x:v>
      </x:c>
      <x:c r="G733" t="str">
        <x:v>Electronics</x:v>
      </x:c>
      <x:c r="H733" t="n">
        <x:v>3</x:v>
      </x:c>
      <x:c r="I733" s="26" t="n">
        <x:v>3556.2000000000003</x:v>
      </x:c>
      <x:c r="J733" s="26" t="n">
        <x:v>6214.2</x:v>
      </x:c>
      <x:c r="K733" s="28" t="n">
        <x:v>0.1267</x:v>
      </x:c>
      <x:c r="L733" s="26" t="n">
        <x:v>787.34</x:v>
      </x:c>
      <x:c r="M733" t="n">
        <x:v>0</x:v>
      </x:c>
      <x:c r="N733" s="26" t="n">
        <x:v>0</x:v>
      </x:c>
      <x:c r="O733" s="26" t="n">
        <x:v>114.96</x:v>
      </x:c>
      <x:c r="P733" s="26" t="n">
        <x:v>27.96</x:v>
      </x:c>
      <x:c r="Q733" s="26" t="n">
        <x:v>52.82</x:v>
      </x:c>
      <x:c r="R733" s="26" t="n">
        <x:v>65.25</x:v>
      </x:c>
      <x:c r="S733" s="26" t="n">
        <x:v>526.34</x:v>
      </x:c>
    </x:row>
    <x:row r="734">
      <x:c r="A734" t="n">
        <x:v>500731</x:v>
      </x:c>
      <x:c r="B734" s="24" t="n">
        <x:v>45790</x:v>
      </x:c>
      <x:c r="C734" t="n">
        <x:v>1018</x:v>
      </x:c>
      <x:c r="D734" t="str">
        <x:v>Seller 1018</x:v>
      </x:c>
      <x:c r="E734" t="str">
        <x:v>Gold</x:v>
      </x:c>
      <x:c r="F734" t="str">
        <x:v>West</x:v>
      </x:c>
      <x:c r="G734" t="str">
        <x:v>Apparel</x:v>
      </x:c>
      <x:c r="H734" t="n">
        <x:v>3</x:v>
      </x:c>
      <x:c r="I734" s="26" t="n">
        <x:v>1851</x:v>
      </x:c>
      <x:c r="J734" s="26" t="n">
        <x:v>5999.4</x:v>
      </x:c>
      <x:c r="K734" s="28" t="n">
        <x:v>0.123</x:v>
      </x:c>
      <x:c r="L734" s="26" t="n">
        <x:v>737.93</x:v>
      </x:c>
      <x:c r="M734" t="n">
        <x:v>1</x:v>
      </x:c>
      <x:c r="N734" s="26" t="n">
        <x:v>4993.2</x:v>
      </x:c>
      <x:c r="O734" s="26" t="n">
        <x:v>110.99</x:v>
      </x:c>
      <x:c r="P734" s="26" t="n">
        <x:v>27</x:v>
      </x:c>
      <x:c r="Q734" s="26" t="n">
        <x:v>50.99</x:v>
      </x:c>
      <x:c r="R734" s="26" t="n">
        <x:v>62.99</x:v>
      </x:c>
      <x:c r="S734" s="26" t="n">
        <x:v>386.09</x:v>
      </x:c>
    </x:row>
    <x:row r="735">
      <x:c r="A735" t="n">
        <x:v>500732</x:v>
      </x:c>
      <x:c r="B735" s="24" t="n">
        <x:v>45784</x:v>
      </x:c>
      <x:c r="C735" t="n">
        <x:v>1043</x:v>
      </x:c>
      <x:c r="D735" t="str">
        <x:v>Seller 1043</x:v>
      </x:c>
      <x:c r="E735" t="str">
        <x:v>Silver</x:v>
      </x:c>
      <x:c r="F735" t="str">
        <x:v>West</x:v>
      </x:c>
      <x:c r="G735" t="str">
        <x:v>Sports</x:v>
      </x:c>
      <x:c r="H735" t="n">
        <x:v>2</x:v>
      </x:c>
      <x:c r="I735" s="26" t="n">
        <x:v>2863.7999999999997</x:v>
      </x:c>
      <x:c r="J735" s="26" t="n">
        <x:v>4735.2</x:v>
      </x:c>
      <x:c r="K735" s="28" t="n">
        <x:v>0.1328</x:v>
      </x:c>
      <x:c r="L735" s="26" t="n">
        <x:v>628.83</x:v>
      </x:c>
      <x:c r="M735" t="n">
        <x:v>0</x:v>
      </x:c>
      <x:c r="N735" s="26" t="n">
        <x:v>0</x:v>
      </x:c>
      <x:c r="O735" s="26" t="n">
        <x:v>87.6</x:v>
      </x:c>
      <x:c r="P735" s="26" t="n">
        <x:v>21.31</x:v>
      </x:c>
      <x:c r="Q735" s="26" t="n">
        <x:v>40.25</x:v>
      </x:c>
      <x:c r="R735" s="26" t="n">
        <x:v>49.72</x:v>
      </x:c>
      <x:c r="S735" s="26" t="n">
        <x:v>429.96</x:v>
      </x:c>
    </x:row>
    <x:row r="736">
      <x:c r="A736" t="n">
        <x:v>500733</x:v>
      </x:c>
      <x:c r="B736" s="24" t="n">
        <x:v>45779</x:v>
      </x:c>
      <x:c r="C736" t="n">
        <x:v>1011</x:v>
      </x:c>
      <x:c r="D736" t="str">
        <x:v>Seller 1011</x:v>
      </x:c>
      <x:c r="E736" t="str">
        <x:v>Platinum</x:v>
      </x:c>
      <x:c r="F736" t="str">
        <x:v>West</x:v>
      </x:c>
      <x:c r="G736" t="str">
        <x:v>Electronics</x:v>
      </x:c>
      <x:c r="H736" t="n">
        <x:v>1</x:v>
      </x:c>
      <x:c r="I736" s="26" t="n">
        <x:v>10086.6</x:v>
      </x:c>
      <x:c r="J736" s="26" t="n">
        <x:v>14687.4</x:v>
      </x:c>
      <x:c r="K736" s="28" t="n">
        <x:v>0.1254</x:v>
      </x:c>
      <x:c r="L736" s="26" t="n">
        <x:v>1841.8</x:v>
      </x:c>
      <x:c r="M736" t="n">
        <x:v>0</x:v>
      </x:c>
      <x:c r="N736" s="26" t="n">
        <x:v>0</x:v>
      </x:c>
      <x:c r="O736" s="26" t="n">
        <x:v>271.72</x:v>
      </x:c>
      <x:c r="P736" s="26" t="n">
        <x:v>66.09</x:v>
      </x:c>
      <x:c r="Q736" s="26" t="n">
        <x:v>124.84</x:v>
      </x:c>
      <x:c r="R736" s="26" t="n">
        <x:v>154.22</x:v>
      </x:c>
      <x:c r="S736" s="26" t="n">
        <x:v>1224.93</x:v>
      </x:c>
    </x:row>
    <x:row r="737">
      <x:c r="A737" t="n">
        <x:v>500734</x:v>
      </x:c>
      <x:c r="B737" s="24" t="n">
        <x:v>45795</x:v>
      </x:c>
      <x:c r="C737" t="n">
        <x:v>1015</x:v>
      </x:c>
      <x:c r="D737" t="str">
        <x:v>Seller 1015</x:v>
      </x:c>
      <x:c r="E737" t="str">
        <x:v>Gold</x:v>
      </x:c>
      <x:c r="F737" t="str">
        <x:v>West</x:v>
      </x:c>
      <x:c r="G737" t="str">
        <x:v>Pet Supplies</x:v>
      </x:c>
      <x:c r="H737" t="n">
        <x:v>2</x:v>
      </x:c>
      <x:c r="I737" s="26" t="n">
        <x:v>1575.6000000000001</x:v>
      </x:c>
      <x:c r="J737" s="26" t="n">
        <x:v>3404.4</x:v>
      </x:c>
      <x:c r="K737" s="28" t="n">
        <x:v>0.1288</x:v>
      </x:c>
      <x:c r="L737" s="26" t="n">
        <x:v>438.49</x:v>
      </x:c>
      <x:c r="M737" t="n">
        <x:v>0</x:v>
      </x:c>
      <x:c r="N737" s="26" t="n">
        <x:v>0</x:v>
      </x:c>
      <x:c r="O737" s="26" t="n">
        <x:v>62.98</x:v>
      </x:c>
      <x:c r="P737" s="26" t="n">
        <x:v>15.32</x:v>
      </x:c>
      <x:c r="Q737" s="26" t="n">
        <x:v>28.94</x:v>
      </x:c>
      <x:c r="R737" s="26" t="n">
        <x:v>35.75</x:v>
      </x:c>
      <x:c r="S737" s="26" t="n">
        <x:v>295.5</x:v>
      </x:c>
    </x:row>
    <x:row r="738">
      <x:c r="A738" t="n">
        <x:v>500735</x:v>
      </x:c>
      <x:c r="B738" s="24" t="n">
        <x:v>45805</x:v>
      </x:c>
      <x:c r="C738" t="n">
        <x:v>1027</x:v>
      </x:c>
      <x:c r="D738" t="str">
        <x:v>Seller 1027</x:v>
      </x:c>
      <x:c r="E738" t="str">
        <x:v>Gold</x:v>
      </x:c>
      <x:c r="F738" t="str">
        <x:v>West</x:v>
      </x:c>
      <x:c r="G738" t="str">
        <x:v>Apparel</x:v>
      </x:c>
      <x:c r="H738" t="n">
        <x:v>2</x:v>
      </x:c>
      <x:c r="I738" s="26" t="n">
        <x:v>2249.4</x:v>
      </x:c>
      <x:c r="J738" s="26" t="n">
        <x:v>4860.6</x:v>
      </x:c>
      <x:c r="K738" s="28" t="n">
        <x:v>0.1236</x:v>
      </x:c>
      <x:c r="L738" s="26" t="n">
        <x:v>600.77</x:v>
      </x:c>
      <x:c r="M738" t="n">
        <x:v>0</x:v>
      </x:c>
      <x:c r="N738" s="26" t="n">
        <x:v>0</x:v>
      </x:c>
      <x:c r="O738" s="26" t="n">
        <x:v>89.92</x:v>
      </x:c>
      <x:c r="P738" s="26" t="n">
        <x:v>21.87</x:v>
      </x:c>
      <x:c r="Q738" s="26" t="n">
        <x:v>41.32</x:v>
      </x:c>
      <x:c r="R738" s="26" t="n">
        <x:v>51.04</x:v>
      </x:c>
      <x:c r="S738" s="26" t="n">
        <x:v>396.62</x:v>
      </x:c>
    </x:row>
    <x:row r="739">
      <x:c r="A739" t="n">
        <x:v>500736</x:v>
      </x:c>
      <x:c r="B739" s="24" t="n">
        <x:v>45789</x:v>
      </x:c>
      <x:c r="C739" t="n">
        <x:v>1027</x:v>
      </x:c>
      <x:c r="D739" t="str">
        <x:v>Seller 1027</x:v>
      </x:c>
      <x:c r="E739" t="str">
        <x:v>Gold</x:v>
      </x:c>
      <x:c r="F739" t="str">
        <x:v>West</x:v>
      </x:c>
      <x:c r="G739" t="str">
        <x:v>Home &amp; Kitchen</x:v>
      </x:c>
      <x:c r="H739" t="n">
        <x:v>1</x:v>
      </x:c>
      <x:c r="I739" s="26" t="n">
        <x:v>5679.599999999999</x:v>
      </x:c>
      <x:c r="J739" s="26" t="n">
        <x:v>6136.2</x:v>
      </x:c>
      <x:c r="K739" s="28" t="n">
        <x:v>0.1351</x:v>
      </x:c>
      <x:c r="L739" s="26" t="n">
        <x:v>829</x:v>
      </x:c>
      <x:c r="M739" t="n">
        <x:v>0</x:v>
      </x:c>
      <x:c r="N739" s="26" t="n">
        <x:v>0</x:v>
      </x:c>
      <x:c r="O739" s="26" t="n">
        <x:v>113.52</x:v>
      </x:c>
      <x:c r="P739" s="26" t="n">
        <x:v>27.61</x:v>
      </x:c>
      <x:c r="Q739" s="26" t="n">
        <x:v>52.16</x:v>
      </x:c>
      <x:c r="R739" s="26" t="n">
        <x:v>64.43</x:v>
      </x:c>
      <x:c r="S739" s="26" t="n">
        <x:v>571.28</x:v>
      </x:c>
    </x:row>
    <x:row r="740">
      <x:c r="A740" t="n">
        <x:v>500737</x:v>
      </x:c>
      <x:c r="B740" s="24" t="n">
        <x:v>45806</x:v>
      </x:c>
      <x:c r="C740" t="n">
        <x:v>1045</x:v>
      </x:c>
      <x:c r="D740" t="str">
        <x:v>Seller 1045</x:v>
      </x:c>
      <x:c r="E740" t="str">
        <x:v>Silver</x:v>
      </x:c>
      <x:c r="F740" t="str">
        <x:v>Central</x:v>
      </x:c>
      <x:c r="G740" t="str">
        <x:v>Home &amp; Kitchen</x:v>
      </x:c>
      <x:c r="H740" t="n">
        <x:v>1</x:v>
      </x:c>
      <x:c r="I740" s="26" t="n">
        <x:v>4913.4</x:v>
      </x:c>
      <x:c r="J740" s="26" t="n">
        <x:v>4062</x:v>
      </x:c>
      <x:c r="K740" s="28" t="n">
        <x:v>0.1343</x:v>
      </x:c>
      <x:c r="L740" s="26" t="n">
        <x:v>545.53</x:v>
      </x:c>
      <x:c r="M740" t="n">
        <x:v>0</x:v>
      </x:c>
      <x:c r="N740" s="26" t="n">
        <x:v>0</x:v>
      </x:c>
      <x:c r="O740" s="26" t="n">
        <x:v>75.15</x:v>
      </x:c>
      <x:c r="P740" s="26" t="n">
        <x:v>18.28</x:v>
      </x:c>
      <x:c r="Q740" s="26" t="n">
        <x:v>34.53</x:v>
      </x:c>
      <x:c r="R740" s="26" t="n">
        <x:v>42.65</x:v>
      </x:c>
      <x:c r="S740" s="26" t="n">
        <x:v>374.92</x:v>
      </x:c>
    </x:row>
    <x:row r="741">
      <x:c r="A741" t="n">
        <x:v>500738</x:v>
      </x:c>
      <x:c r="B741" s="24" t="n">
        <x:v>45784</x:v>
      </x:c>
      <x:c r="C741" t="n">
        <x:v>1038</x:v>
      </x:c>
      <x:c r="D741" t="str">
        <x:v>Seller 1038</x:v>
      </x:c>
      <x:c r="E741" t="str">
        <x:v>Silver</x:v>
      </x:c>
      <x:c r="F741" t="str">
        <x:v>South</x:v>
      </x:c>
      <x:c r="G741" t="str">
        <x:v>Sports</x:v>
      </x:c>
      <x:c r="H741" t="n">
        <x:v>1</x:v>
      </x:c>
      <x:c r="I741" s="26" t="n">
        <x:v>4962</x:v>
      </x:c>
      <x:c r="J741" s="26" t="n">
        <x:v>4102.2</x:v>
      </x:c>
      <x:c r="K741" s="28" t="n">
        <x:v>0.1326</x:v>
      </x:c>
      <x:c r="L741" s="26" t="n">
        <x:v>543.95</x:v>
      </x:c>
      <x:c r="M741" t="n">
        <x:v>0</x:v>
      </x:c>
      <x:c r="N741" s="26" t="n">
        <x:v>0</x:v>
      </x:c>
      <x:c r="O741" s="26" t="n">
        <x:v>75.89</x:v>
      </x:c>
      <x:c r="P741" s="26" t="n">
        <x:v>18.46</x:v>
      </x:c>
      <x:c r="Q741" s="26" t="n">
        <x:v>34.87</x:v>
      </x:c>
      <x:c r="R741" s="26" t="n">
        <x:v>43.07</x:v>
      </x:c>
      <x:c r="S741" s="26" t="n">
        <x:v>371.66</x:v>
      </x:c>
    </x:row>
    <x:row r="742">
      <x:c r="A742" t="n">
        <x:v>500739</x:v>
      </x:c>
      <x:c r="B742" s="24" t="n">
        <x:v>45781</x:v>
      </x:c>
      <x:c r="C742" t="n">
        <x:v>1059</x:v>
      </x:c>
      <x:c r="D742" t="str">
        <x:v>Seller 1059</x:v>
      </x:c>
      <x:c r="E742" t="str">
        <x:v>Bronze</x:v>
      </x:c>
      <x:c r="F742" t="str">
        <x:v>Central</x:v>
      </x:c>
      <x:c r="G742" t="str">
        <x:v>Sports</x:v>
      </x:c>
      <x:c r="H742" t="n">
        <x:v>2</x:v>
      </x:c>
      <x:c r="I742" s="26" t="n">
        <x:v>2425.2000000000003</x:v>
      </x:c>
      <x:c r="J742" s="26" t="n">
        <x:v>2825.4</x:v>
      </x:c>
      <x:c r="K742" s="28" t="n">
        <x:v>0.139</x:v>
      </x:c>
      <x:c r="L742" s="26" t="n">
        <x:v>392.73</x:v>
      </x:c>
      <x:c r="M742" t="n">
        <x:v>0</x:v>
      </x:c>
      <x:c r="N742" s="26" t="n">
        <x:v>0</x:v>
      </x:c>
      <x:c r="O742" s="26" t="n">
        <x:v>52.27</x:v>
      </x:c>
      <x:c r="P742" s="26" t="n">
        <x:v>12.71</x:v>
      </x:c>
      <x:c r="Q742" s="26" t="n">
        <x:v>24.02</x:v>
      </x:c>
      <x:c r="R742" s="26" t="n">
        <x:v>29.67</x:v>
      </x:c>
      <x:c r="S742" s="26" t="n">
        <x:v>274.06</x:v>
      </x:c>
    </x:row>
    <x:row r="743">
      <x:c r="A743" t="n">
        <x:v>500740</x:v>
      </x:c>
      <x:c r="B743" s="24" t="n">
        <x:v>45795</x:v>
      </x:c>
      <x:c r="C743" t="n">
        <x:v>1019</x:v>
      </x:c>
      <x:c r="D743" t="str">
        <x:v>Seller 1019</x:v>
      </x:c>
      <x:c r="E743" t="str">
        <x:v>Gold</x:v>
      </x:c>
      <x:c r="F743" t="str">
        <x:v>East</x:v>
      </x:c>
      <x:c r="G743" t="str">
        <x:v>Apparel</x:v>
      </x:c>
      <x:c r="H743" t="n">
        <x:v>3</x:v>
      </x:c>
      <x:c r="I743" s="26" t="n">
        <x:v>1016.4000000000001</x:v>
      </x:c>
      <x:c r="J743" s="26" t="n">
        <x:v>3294.6</x:v>
      </x:c>
      <x:c r="K743" s="28" t="n">
        <x:v>0.1231</x:v>
      </x:c>
      <x:c r="L743" s="26" t="n">
        <x:v>405.57</x:v>
      </x:c>
      <x:c r="M743" t="n">
        <x:v>0</x:v>
      </x:c>
      <x:c r="N743" s="26" t="n">
        <x:v>0</x:v>
      </x:c>
      <x:c r="O743" s="26" t="n">
        <x:v>60.95</x:v>
      </x:c>
      <x:c r="P743" s="26" t="n">
        <x:v>14.83</x:v>
      </x:c>
      <x:c r="Q743" s="26" t="n">
        <x:v>28</x:v>
      </x:c>
      <x:c r="R743" s="26" t="n">
        <x:v>34.59</x:v>
      </x:c>
      <x:c r="S743" s="26" t="n">
        <x:v>267.19</x:v>
      </x:c>
    </x:row>
    <x:row r="744">
      <x:c r="A744" t="n">
        <x:v>500741</x:v>
      </x:c>
      <x:c r="B744" s="24" t="n">
        <x:v>45804</x:v>
      </x:c>
      <x:c r="C744" t="n">
        <x:v>1017</x:v>
      </x:c>
      <x:c r="D744" t="str">
        <x:v>Seller 1017</x:v>
      </x:c>
      <x:c r="E744" t="str">
        <x:v>Gold</x:v>
      </x:c>
      <x:c r="F744" t="str">
        <x:v>East</x:v>
      </x:c>
      <x:c r="G744" t="str">
        <x:v>Electronics</x:v>
      </x:c>
      <x:c r="H744" t="n">
        <x:v>1</x:v>
      </x:c>
      <x:c r="I744" s="26" t="n">
        <x:v>9247.8</x:v>
      </x:c>
      <x:c r="J744" s="26" t="n">
        <x:v>9991.2</x:v>
      </x:c>
      <x:c r="K744" s="28" t="n">
        <x:v>0.1135</x:v>
      </x:c>
      <x:c r="L744" s="26" t="n">
        <x:v>1134</x:v>
      </x:c>
      <x:c r="M744" t="n">
        <x:v>1</x:v>
      </x:c>
      <x:c r="N744" s="26" t="n">
        <x:v>9100.8</x:v>
      </x:c>
      <x:c r="O744" s="26" t="n">
        <x:v>184.84</x:v>
      </x:c>
      <x:c r="P744" s="26" t="n">
        <x:v>44.96</x:v>
      </x:c>
      <x:c r="Q744" s="26" t="n">
        <x:v>84.93</x:v>
      </x:c>
      <x:c r="R744" s="26" t="n">
        <x:v>104.91</x:v>
      </x:c>
      <x:c r="S744" s="26" t="n">
        <x:v>532.35</x:v>
      </x:c>
    </x:row>
    <x:row r="745">
      <x:c r="A745" t="n">
        <x:v>500742</x:v>
      </x:c>
      <x:c r="B745" s="24" t="n">
        <x:v>45800</x:v>
      </x:c>
      <x:c r="C745" t="n">
        <x:v>1067</x:v>
      </x:c>
      <x:c r="D745" t="str">
        <x:v>Seller 1067</x:v>
      </x:c>
      <x:c r="E745" t="str">
        <x:v>Bronze</x:v>
      </x:c>
      <x:c r="F745" t="str">
        <x:v>South</x:v>
      </x:c>
      <x:c r="G745" t="str">
        <x:v>Beauty</x:v>
      </x:c>
      <x:c r="H745" t="n">
        <x:v>1</x:v>
      </x:c>
      <x:c r="I745" s="26" t="n">
        <x:v>2742</x:v>
      </x:c>
      <x:c r="J745" s="26" t="n">
        <x:v>1597.2</x:v>
      </x:c>
      <x:c r="K745" s="28" t="n">
        <x:v>0.1485</x:v>
      </x:c>
      <x:c r="L745" s="26" t="n">
        <x:v>237.18</x:v>
      </x:c>
      <x:c r="M745" t="n">
        <x:v>0</x:v>
      </x:c>
      <x:c r="N745" s="26" t="n">
        <x:v>0</x:v>
      </x:c>
      <x:c r="O745" s="26" t="n">
        <x:v>29.55</x:v>
      </x:c>
      <x:c r="P745" s="26" t="n">
        <x:v>7.19</x:v>
      </x:c>
      <x:c r="Q745" s="26" t="n">
        <x:v>13.58</x:v>
      </x:c>
      <x:c r="R745" s="26" t="n">
        <x:v>16.77</x:v>
      </x:c>
      <x:c r="S745" s="26" t="n">
        <x:v>170.1</x:v>
      </x:c>
    </x:row>
    <x:row r="746">
      <x:c r="A746" t="n">
        <x:v>500743</x:v>
      </x:c>
      <x:c r="B746" s="24" t="n">
        <x:v>45785</x:v>
      </x:c>
      <x:c r="C746" t="n">
        <x:v>1068</x:v>
      </x:c>
      <x:c r="D746" t="str">
        <x:v>Seller 1068</x:v>
      </x:c>
      <x:c r="E746" t="str">
        <x:v>Bronze</x:v>
      </x:c>
      <x:c r="F746" t="str">
        <x:v>South</x:v>
      </x:c>
      <x:c r="G746" t="str">
        <x:v>Apparel</x:v>
      </x:c>
      <x:c r="H746" t="n">
        <x:v>1</x:v>
      </x:c>
      <x:c r="I746" s="26" t="n">
        <x:v>3943.8</x:v>
      </x:c>
      <x:c r="J746" s="26" t="n">
        <x:v>2296.8</x:v>
      </x:c>
      <x:c r="K746" s="28" t="n">
        <x:v>0.1296</x:v>
      </x:c>
      <x:c r="L746" s="26" t="n">
        <x:v>297.67</x:v>
      </x:c>
      <x:c r="M746" t="n">
        <x:v>0</x:v>
      </x:c>
      <x:c r="N746" s="26" t="n">
        <x:v>0</x:v>
      </x:c>
      <x:c r="O746" s="26" t="n">
        <x:v>42.49</x:v>
      </x:c>
      <x:c r="P746" s="26" t="n">
        <x:v>10.34</x:v>
      </x:c>
      <x:c r="Q746" s="26" t="n">
        <x:v>19.52</x:v>
      </x:c>
      <x:c r="R746" s="26" t="n">
        <x:v>24.12</x:v>
      </x:c>
      <x:c r="S746" s="26" t="n">
        <x:v>201.2</x:v>
      </x:c>
    </x:row>
    <x:row r="747">
      <x:c r="A747" t="n">
        <x:v>500744</x:v>
      </x:c>
      <x:c r="B747" s="24" t="n">
        <x:v>45797</x:v>
      </x:c>
      <x:c r="C747" t="n">
        <x:v>1062</x:v>
      </x:c>
      <x:c r="D747" t="str">
        <x:v>Seller 1062</x:v>
      </x:c>
      <x:c r="E747" t="str">
        <x:v>Bronze</x:v>
      </x:c>
      <x:c r="F747" t="str">
        <x:v>West</x:v>
      </x:c>
      <x:c r="G747" t="str">
        <x:v>Electronics</x:v>
      </x:c>
      <x:c r="H747" t="n">
        <x:v>2</x:v>
      </x:c>
      <x:c r="I747" s="26" t="n">
        <x:v>5656.8</x:v>
      </x:c>
      <x:c r="J747" s="26" t="n">
        <x:v>6589.8</x:v>
      </x:c>
      <x:c r="K747" s="28" t="n">
        <x:v>0.1166</x:v>
      </x:c>
      <x:c r="L747" s="26" t="n">
        <x:v>768.37</x:v>
      </x:c>
      <x:c r="M747" t="n">
        <x:v>0</x:v>
      </x:c>
      <x:c r="N747" s="26" t="n">
        <x:v>0</x:v>
      </x:c>
      <x:c r="O747" s="26" t="n">
        <x:v>121.91</x:v>
      </x:c>
      <x:c r="P747" s="26" t="n">
        <x:v>29.65</x:v>
      </x:c>
      <x:c r="Q747" s="26" t="n">
        <x:v>56.01</x:v>
      </x:c>
      <x:c r="R747" s="26" t="n">
        <x:v>69.19</x:v>
      </x:c>
      <x:c r="S747" s="26" t="n">
        <x:v>491.6</x:v>
      </x:c>
    </x:row>
    <x:row r="748">
      <x:c r="A748" t="n">
        <x:v>500745</x:v>
      </x:c>
      <x:c r="B748" s="24" t="n">
        <x:v>45782</x:v>
      </x:c>
      <x:c r="C748" t="n">
        <x:v>1021</x:v>
      </x:c>
      <x:c r="D748" t="str">
        <x:v>Seller 1021</x:v>
      </x:c>
      <x:c r="E748" t="str">
        <x:v>Gold</x:v>
      </x:c>
      <x:c r="F748" t="str">
        <x:v>Central</x:v>
      </x:c>
      <x:c r="G748" t="str">
        <x:v>Pet Supplies</x:v>
      </x:c>
      <x:c r="H748" t="n">
        <x:v>2</x:v>
      </x:c>
      <x:c r="I748" s="26" t="n">
        <x:v>2215.2000000000003</x:v>
      </x:c>
      <x:c r="J748" s="26" t="n">
        <x:v>4786.2</x:v>
      </x:c>
      <x:c r="K748" s="28" t="n">
        <x:v>0.1401</x:v>
      </x:c>
      <x:c r="L748" s="26" t="n">
        <x:v>670.55</x:v>
      </x:c>
      <x:c r="M748" t="n">
        <x:v>0</x:v>
      </x:c>
      <x:c r="N748" s="26" t="n">
        <x:v>0</x:v>
      </x:c>
      <x:c r="O748" s="26" t="n">
        <x:v>88.54</x:v>
      </x:c>
      <x:c r="P748" s="26" t="n">
        <x:v>21.54</x:v>
      </x:c>
      <x:c r="Q748" s="26" t="n">
        <x:v>40.68</x:v>
      </x:c>
      <x:c r="R748" s="26" t="n">
        <x:v>50.26</x:v>
      </x:c>
      <x:c r="S748" s="26" t="n">
        <x:v>469.53</x:v>
      </x:c>
    </x:row>
    <x:row r="749">
      <x:c r="A749" t="n">
        <x:v>500746</x:v>
      </x:c>
      <x:c r="B749" s="24" t="n">
        <x:v>45795</x:v>
      </x:c>
      <x:c r="C749" t="n">
        <x:v>1021</x:v>
      </x:c>
      <x:c r="D749" t="str">
        <x:v>Seller 1021</x:v>
      </x:c>
      <x:c r="E749" t="str">
        <x:v>Gold</x:v>
      </x:c>
      <x:c r="F749" t="str">
        <x:v>Central</x:v>
      </x:c>
      <x:c r="G749" t="str">
        <x:v>Pet Supplies</x:v>
      </x:c>
      <x:c r="H749" t="n">
        <x:v>3</x:v>
      </x:c>
      <x:c r="I749" s="26" t="n">
        <x:v>1095.6000000000001</x:v>
      </x:c>
      <x:c r="J749" s="26" t="n">
        <x:v>3551.4</x:v>
      </x:c>
      <x:c r="K749" s="28" t="n">
        <x:v>0.123</x:v>
      </x:c>
      <x:c r="L749" s="26" t="n">
        <x:v>436.82</x:v>
      </x:c>
      <x:c r="M749" t="n">
        <x:v>0</x:v>
      </x:c>
      <x:c r="N749" s="26" t="n">
        <x:v>0</x:v>
      </x:c>
      <x:c r="O749" s="26" t="n">
        <x:v>65.7</x:v>
      </x:c>
      <x:c r="P749" s="26" t="n">
        <x:v>15.98</x:v>
      </x:c>
      <x:c r="Q749" s="26" t="n">
        <x:v>30.19</x:v>
      </x:c>
      <x:c r="R749" s="26" t="n">
        <x:v>37.29</x:v>
      </x:c>
      <x:c r="S749" s="26" t="n">
        <x:v>287.66</x:v>
      </x:c>
    </x:row>
    <x:row r="750">
      <x:c r="A750" t="n">
        <x:v>500747</x:v>
      </x:c>
      <x:c r="B750" s="24" t="n">
        <x:v>45781</x:v>
      </x:c>
      <x:c r="C750" t="n">
        <x:v>1005</x:v>
      </x:c>
      <x:c r="D750" t="str">
        <x:v>Seller 1005</x:v>
      </x:c>
      <x:c r="E750" t="str">
        <x:v>Platinum</x:v>
      </x:c>
      <x:c r="F750" t="str">
        <x:v>East</x:v>
      </x:c>
      <x:c r="G750" t="str">
        <x:v>Electronics</x:v>
      </x:c>
      <x:c r="H750" t="n">
        <x:v>3</x:v>
      </x:c>
      <x:c r="I750" s="26" t="n">
        <x:v>2845.8</x:v>
      </x:c>
      <x:c r="J750" s="26" t="n">
        <x:v>12432</x:v>
      </x:c>
      <x:c r="K750" s="28" t="n">
        <x:v>0.1238</x:v>
      </x:c>
      <x:c r="L750" s="26" t="n">
        <x:v>1539.08</x:v>
      </x:c>
      <x:c r="M750" t="n">
        <x:v>0</x:v>
      </x:c>
      <x:c r="N750" s="26" t="n">
        <x:v>0</x:v>
      </x:c>
      <x:c r="O750" s="26" t="n">
        <x:v>229.99</x:v>
      </x:c>
      <x:c r="P750" s="26" t="n">
        <x:v>55.94</x:v>
      </x:c>
      <x:c r="Q750" s="26" t="n">
        <x:v>105.67</x:v>
      </x:c>
      <x:c r="R750" s="26" t="n">
        <x:v>130.54</x:v>
      </x:c>
      <x:c r="S750" s="26" t="n">
        <x:v>1016.94</x:v>
      </x:c>
    </x:row>
    <x:row r="751">
      <x:c r="A751" t="n">
        <x:v>500748</x:v>
      </x:c>
      <x:c r="B751" s="24" t="n">
        <x:v>45794</x:v>
      </x:c>
      <x:c r="C751" t="n">
        <x:v>1004</x:v>
      </x:c>
      <x:c r="D751" t="str">
        <x:v>Seller 1004</x:v>
      </x:c>
      <x:c r="E751" t="str">
        <x:v>Platinum</x:v>
      </x:c>
      <x:c r="F751" t="str">
        <x:v>East</x:v>
      </x:c>
      <x:c r="G751" t="str">
        <x:v>Sports</x:v>
      </x:c>
      <x:c r="H751" t="n">
        <x:v>2</x:v>
      </x:c>
      <x:c r="I751" s="26" t="n">
        <x:v>2280.6</x:v>
      </x:c>
      <x:c r="J751" s="26" t="n">
        <x:v>6642</x:v>
      </x:c>
      <x:c r="K751" s="28" t="n">
        <x:v>0.127</x:v>
      </x:c>
      <x:c r="L751" s="26" t="n">
        <x:v>843.53</x:v>
      </x:c>
      <x:c r="M751" t="n">
        <x:v>1</x:v>
      </x:c>
      <x:c r="N751" s="26" t="n">
        <x:v>5860.8</x:v>
      </x:c>
      <x:c r="O751" s="26" t="n">
        <x:v>122.88</x:v>
      </x:c>
      <x:c r="P751" s="26" t="n">
        <x:v>29.89</x:v>
      </x:c>
      <x:c r="Q751" s="26" t="n">
        <x:v>56.46</x:v>
      </x:c>
      <x:c r="R751" s="26" t="n">
        <x:v>69.74</x:v>
      </x:c>
      <x:c r="S751" s="26" t="n">
        <x:v>447.35</x:v>
      </x:c>
    </x:row>
    <x:row r="752">
      <x:c r="A752" t="n">
        <x:v>500749</x:v>
      </x:c>
      <x:c r="B752" s="24" t="n">
        <x:v>45799</x:v>
      </x:c>
      <x:c r="C752" t="n">
        <x:v>1043</x:v>
      </x:c>
      <x:c r="D752" t="str">
        <x:v>Seller 1043</x:v>
      </x:c>
      <x:c r="E752" t="str">
        <x:v>Silver</x:v>
      </x:c>
      <x:c r="F752" t="str">
        <x:v>West</x:v>
      </x:c>
      <x:c r="G752" t="str">
        <x:v>Sports</x:v>
      </x:c>
      <x:c r="H752" t="n">
        <x:v>2</x:v>
      </x:c>
      <x:c r="I752" s="26" t="n">
        <x:v>3024.6</x:v>
      </x:c>
      <x:c r="J752" s="26" t="n">
        <x:v>5001</x:v>
      </x:c>
      <x:c r="K752" s="28" t="n">
        <x:v>0.1393</x:v>
      </x:c>
      <x:c r="L752" s="26" t="n">
        <x:v>696.64</x:v>
      </x:c>
      <x:c r="M752" t="n">
        <x:v>0</x:v>
      </x:c>
      <x:c r="N752" s="26" t="n">
        <x:v>0</x:v>
      </x:c>
      <x:c r="O752" s="26" t="n">
        <x:v>92.52</x:v>
      </x:c>
      <x:c r="P752" s="26" t="n">
        <x:v>22.5</x:v>
      </x:c>
      <x:c r="Q752" s="26" t="n">
        <x:v>42.51</x:v>
      </x:c>
      <x:c r="R752" s="26" t="n">
        <x:v>52.51</x:v>
      </x:c>
      <x:c r="S752" s="26" t="n">
        <x:v>486.6</x:v>
      </x:c>
    </x:row>
    <x:row r="753">
      <x:c r="A753" t="n">
        <x:v>500750</x:v>
      </x:c>
      <x:c r="B753" s="24" t="n">
        <x:v>45782</x:v>
      </x:c>
      <x:c r="C753" t="n">
        <x:v>1019</x:v>
      </x:c>
      <x:c r="D753" t="str">
        <x:v>Seller 1019</x:v>
      </x:c>
      <x:c r="E753" t="str">
        <x:v>Gold</x:v>
      </x:c>
      <x:c r="F753" t="str">
        <x:v>East</x:v>
      </x:c>
      <x:c r="G753" t="str">
        <x:v>Pet Supplies</x:v>
      </x:c>
      <x:c r="H753" t="n">
        <x:v>3</x:v>
      </x:c>
      <x:c r="I753" s="26" t="n">
        <x:v>891</x:v>
      </x:c>
      <x:c r="J753" s="26" t="n">
        <x:v>2887.8</x:v>
      </x:c>
      <x:c r="K753" s="28" t="n">
        <x:v>0.1365</x:v>
      </x:c>
      <x:c r="L753" s="26" t="n">
        <x:v>394.18</x:v>
      </x:c>
      <x:c r="M753" t="n">
        <x:v>0</x:v>
      </x:c>
      <x:c r="N753" s="26" t="n">
        <x:v>0</x:v>
      </x:c>
      <x:c r="O753" s="26" t="n">
        <x:v>53.42</x:v>
      </x:c>
      <x:c r="P753" s="26" t="n">
        <x:v>13</x:v>
      </x:c>
      <x:c r="Q753" s="26" t="n">
        <x:v>24.55</x:v>
      </x:c>
      <x:c r="R753" s="26" t="n">
        <x:v>30.32</x:v>
      </x:c>
      <x:c r="S753" s="26" t="n">
        <x:v>272.9</x:v>
      </x:c>
    </x:row>
    <x:row r="754">
      <x:c r="A754" t="n">
        <x:v>500751</x:v>
      </x:c>
      <x:c r="B754" s="24" t="n">
        <x:v>45797</x:v>
      </x:c>
      <x:c r="C754" t="n">
        <x:v>1071</x:v>
      </x:c>
      <x:c r="D754" t="str">
        <x:v>Seller 1071</x:v>
      </x:c>
      <x:c r="E754" t="str">
        <x:v>Bronze</x:v>
      </x:c>
      <x:c r="F754" t="str">
        <x:v>Central</x:v>
      </x:c>
      <x:c r="G754" t="str">
        <x:v>Sports</x:v>
      </x:c>
      <x:c r="H754" t="n">
        <x:v>3</x:v>
      </x:c>
      <x:c r="I754" s="26" t="n">
        <x:v>1598.4</x:v>
      </x:c>
      <x:c r="J754" s="26" t="n">
        <x:v>2793</x:v>
      </x:c>
      <x:c r="K754" s="28" t="n">
        <x:v>0.1213</x:v>
      </x:c>
      <x:c r="L754" s="26" t="n">
        <x:v>338.79</x:v>
      </x:c>
      <x:c r="M754" t="n">
        <x:v>0</x:v>
      </x:c>
      <x:c r="N754" s="26" t="n">
        <x:v>0</x:v>
      </x:c>
      <x:c r="O754" s="26" t="n">
        <x:v>51.67</x:v>
      </x:c>
      <x:c r="P754" s="26" t="n">
        <x:v>12.57</x:v>
      </x:c>
      <x:c r="Q754" s="26" t="n">
        <x:v>23.74</x:v>
      </x:c>
      <x:c r="R754" s="26" t="n">
        <x:v>29.33</x:v>
      </x:c>
      <x:c r="S754" s="26" t="n">
        <x:v>221.48</x:v>
      </x:c>
    </x:row>
    <x:row r="755">
      <x:c r="A755" t="n">
        <x:v>500752</x:v>
      </x:c>
      <x:c r="B755" s="24" t="n">
        <x:v>45792</x:v>
      </x:c>
      <x:c r="C755" t="n">
        <x:v>1025</x:v>
      </x:c>
      <x:c r="D755" t="str">
        <x:v>Seller 1025</x:v>
      </x:c>
      <x:c r="E755" t="str">
        <x:v>Gold</x:v>
      </x:c>
      <x:c r="F755" t="str">
        <x:v>Central</x:v>
      </x:c>
      <x:c r="G755" t="str">
        <x:v>Pet Supplies</x:v>
      </x:c>
      <x:c r="H755" t="n">
        <x:v>2</x:v>
      </x:c>
      <x:c r="I755" s="26" t="n">
        <x:v>2136</x:v>
      </x:c>
      <x:c r="J755" s="26" t="n">
        <x:v>4614.6</x:v>
      </x:c>
      <x:c r="K755" s="28" t="n">
        <x:v>0.1267</x:v>
      </x:c>
      <x:c r="L755" s="26" t="n">
        <x:v>584.67</x:v>
      </x:c>
      <x:c r="M755" t="n">
        <x:v>0</x:v>
      </x:c>
      <x:c r="N755" s="26" t="n">
        <x:v>0</x:v>
      </x:c>
      <x:c r="O755" s="26" t="n">
        <x:v>85.37</x:v>
      </x:c>
      <x:c r="P755" s="26" t="n">
        <x:v>20.77</x:v>
      </x:c>
      <x:c r="Q755" s="26" t="n">
        <x:v>39.22</x:v>
      </x:c>
      <x:c r="R755" s="26" t="n">
        <x:v>48.45</x:v>
      </x:c>
      <x:c r="S755" s="26" t="n">
        <x:v>390.86</x:v>
      </x:c>
    </x:row>
    <x:row r="756">
      <x:c r="A756" t="n">
        <x:v>500753</x:v>
      </x:c>
      <x:c r="B756" s="24" t="n">
        <x:v>45789</x:v>
      </x:c>
      <x:c r="C756" t="n">
        <x:v>1012</x:v>
      </x:c>
      <x:c r="D756" t="str">
        <x:v>Seller 1012</x:v>
      </x:c>
      <x:c r="E756" t="str">
        <x:v>Platinum</x:v>
      </x:c>
      <x:c r="F756" t="str">
        <x:v>East</x:v>
      </x:c>
      <x:c r="G756" t="str">
        <x:v>Apparel</x:v>
      </x:c>
      <x:c r="H756" t="n">
        <x:v>2</x:v>
      </x:c>
      <x:c r="I756" s="26" t="n">
        <x:v>2172.6</x:v>
      </x:c>
      <x:c r="J756" s="26" t="n">
        <x:v>6327</x:v>
      </x:c>
      <x:c r="K756" s="28" t="n">
        <x:v>0.1225</x:v>
      </x:c>
      <x:c r="L756" s="26" t="n">
        <x:v>775.06</x:v>
      </x:c>
      <x:c r="M756" t="n">
        <x:v>0</x:v>
      </x:c>
      <x:c r="N756" s="26" t="n">
        <x:v>0</x:v>
      </x:c>
      <x:c r="O756" s="26" t="n">
        <x:v>117.05</x:v>
      </x:c>
      <x:c r="P756" s="26" t="n">
        <x:v>28.47</x:v>
      </x:c>
      <x:c r="Q756" s="26" t="n">
        <x:v>53.78</x:v>
      </x:c>
      <x:c r="R756" s="26" t="n">
        <x:v>66.43</x:v>
      </x:c>
      <x:c r="S756" s="26" t="n">
        <x:v>509.32</x:v>
      </x:c>
    </x:row>
    <x:row r="757">
      <x:c r="A757" t="n">
        <x:v>500754</x:v>
      </x:c>
      <x:c r="B757" s="24" t="n">
        <x:v>45792</x:v>
      </x:c>
      <x:c r="C757" t="n">
        <x:v>1051</x:v>
      </x:c>
      <x:c r="D757" t="str">
        <x:v>Seller 1051</x:v>
      </x:c>
      <x:c r="E757" t="str">
        <x:v>Silver</x:v>
      </x:c>
      <x:c r="F757" t="str">
        <x:v>East</x:v>
      </x:c>
      <x:c r="G757" t="str">
        <x:v>Sports</x:v>
      </x:c>
      <x:c r="H757" t="n">
        <x:v>3</x:v>
      </x:c>
      <x:c r="I757" s="26" t="n">
        <x:v>1241.4</x:v>
      </x:c>
      <x:c r="J757" s="26" t="n">
        <x:v>3079.2</x:v>
      </x:c>
      <x:c r="K757" s="28" t="n">
        <x:v>0.1249</x:v>
      </x:c>
      <x:c r="L757" s="26" t="n">
        <x:v>384.59</x:v>
      </x:c>
      <x:c r="M757" t="n">
        <x:v>0</x:v>
      </x:c>
      <x:c r="N757" s="26" t="n">
        <x:v>0</x:v>
      </x:c>
      <x:c r="O757" s="26" t="n">
        <x:v>56.97</x:v>
      </x:c>
      <x:c r="P757" s="26" t="n">
        <x:v>13.86</x:v>
      </x:c>
      <x:c r="Q757" s="26" t="n">
        <x:v>26.17</x:v>
      </x:c>
      <x:c r="R757" s="26" t="n">
        <x:v>32.33</x:v>
      </x:c>
      <x:c r="S757" s="26" t="n">
        <x:v>255.27</x:v>
      </x:c>
    </x:row>
    <x:row r="758">
      <x:c r="A758" t="n">
        <x:v>500755</x:v>
      </x:c>
      <x:c r="B758" s="24" t="n">
        <x:v>45803</x:v>
      </x:c>
      <x:c r="C758" t="n">
        <x:v>1072</x:v>
      </x:c>
      <x:c r="D758" t="str">
        <x:v>Seller 1072</x:v>
      </x:c>
      <x:c r="E758" t="str">
        <x:v>Bronze</x:v>
      </x:c>
      <x:c r="F758" t="str">
        <x:v>South</x:v>
      </x:c>
      <x:c r="G758" t="str">
        <x:v>Home &amp; Kitchen</x:v>
      </x:c>
      <x:c r="H758" t="n">
        <x:v>2</x:v>
      </x:c>
      <x:c r="I758" s="26" t="n">
        <x:v>2037.6000000000001</x:v>
      </x:c>
      <x:c r="J758" s="26" t="n">
        <x:v>2373.6</x:v>
      </x:c>
      <x:c r="K758" s="28" t="n">
        <x:v>0.1468</x:v>
      </x:c>
      <x:c r="L758" s="26" t="n">
        <x:v>348.44</x:v>
      </x:c>
      <x:c r="M758" t="n">
        <x:v>0</x:v>
      </x:c>
      <x:c r="N758" s="26" t="n">
        <x:v>0</x:v>
      </x:c>
      <x:c r="O758" s="26" t="n">
        <x:v>43.91</x:v>
      </x:c>
      <x:c r="P758" s="26" t="n">
        <x:v>10.68</x:v>
      </x:c>
      <x:c r="Q758" s="26" t="n">
        <x:v>20.18</x:v>
      </x:c>
      <x:c r="R758" s="26" t="n">
        <x:v>24.92</x:v>
      </x:c>
      <x:c r="S758" s="26" t="n">
        <x:v>248.75</x:v>
      </x:c>
    </x:row>
    <x:row r="759">
      <x:c r="A759" t="n">
        <x:v>500756</x:v>
      </x:c>
      <x:c r="B759" s="24" t="n">
        <x:v>45805</x:v>
      </x:c>
      <x:c r="C759" t="n">
        <x:v>1055</x:v>
      </x:c>
      <x:c r="D759" t="str">
        <x:v>Seller 1055</x:v>
      </x:c>
      <x:c r="E759" t="str">
        <x:v>Bronze</x:v>
      </x:c>
      <x:c r="F759" t="str">
        <x:v>Central</x:v>
      </x:c>
      <x:c r="G759" t="str">
        <x:v>Pet Supplies</x:v>
      </x:c>
      <x:c r="H759" t="n">
        <x:v>1</x:v>
      </x:c>
      <x:c r="I759" s="26" t="n">
        <x:v>3363.6000000000004</x:v>
      </x:c>
      <x:c r="J759" s="26" t="n">
        <x:v>1959</x:v>
      </x:c>
      <x:c r="K759" s="28" t="n">
        <x:v>0.1344</x:v>
      </x:c>
      <x:c r="L759" s="26" t="n">
        <x:v>263.29</x:v>
      </x:c>
      <x:c r="M759" t="n">
        <x:v>0</x:v>
      </x:c>
      <x:c r="N759" s="26" t="n">
        <x:v>0</x:v>
      </x:c>
      <x:c r="O759" s="26" t="n">
        <x:v>36.24</x:v>
      </x:c>
      <x:c r="P759" s="26" t="n">
        <x:v>8.82</x:v>
      </x:c>
      <x:c r="Q759" s="26" t="n">
        <x:v>16.65</x:v>
      </x:c>
      <x:c r="R759" s="26" t="n">
        <x:v>20.57</x:v>
      </x:c>
      <x:c r="S759" s="26" t="n">
        <x:v>181.01</x:v>
      </x:c>
    </x:row>
    <x:row r="760">
      <x:c r="A760" t="n">
        <x:v>500757</x:v>
      </x:c>
      <x:c r="B760" s="24" t="n">
        <x:v>45786</x:v>
      </x:c>
      <x:c r="C760" t="n">
        <x:v>1068</x:v>
      </x:c>
      <x:c r="D760" t="str">
        <x:v>Seller 1068</x:v>
      </x:c>
      <x:c r="E760" t="str">
        <x:v>Bronze</x:v>
      </x:c>
      <x:c r="F760" t="str">
        <x:v>South</x:v>
      </x:c>
      <x:c r="G760" t="str">
        <x:v>Electronics</x:v>
      </x:c>
      <x:c r="H760" t="n">
        <x:v>3</x:v>
      </x:c>
      <x:c r="I760" s="26" t="n">
        <x:v>2520.6</x:v>
      </x:c>
      <x:c r="J760" s="26" t="n">
        <x:v>4404.6</x:v>
      </x:c>
      <x:c r="K760" s="28" t="n">
        <x:v>0.122</x:v>
      </x:c>
      <x:c r="L760" s="26" t="n">
        <x:v>537.36</x:v>
      </x:c>
      <x:c r="M760" t="n">
        <x:v>0</x:v>
      </x:c>
      <x:c r="N760" s="26" t="n">
        <x:v>0</x:v>
      </x:c>
      <x:c r="O760" s="26" t="n">
        <x:v>81.49</x:v>
      </x:c>
      <x:c r="P760" s="26" t="n">
        <x:v>19.82</x:v>
      </x:c>
      <x:c r="Q760" s="26" t="n">
        <x:v>37.44</x:v>
      </x:c>
      <x:c r="R760" s="26" t="n">
        <x:v>46.25</x:v>
      </x:c>
      <x:c r="S760" s="26" t="n">
        <x:v>352.37</x:v>
      </x:c>
    </x:row>
    <x:row r="761">
      <x:c r="A761" t="n">
        <x:v>500758</x:v>
      </x:c>
      <x:c r="B761" s="24" t="n">
        <x:v>45787</x:v>
      </x:c>
      <x:c r="C761" t="n">
        <x:v>1054</x:v>
      </x:c>
      <x:c r="D761" t="str">
        <x:v>Seller 1054</x:v>
      </x:c>
      <x:c r="E761" t="str">
        <x:v>Silver</x:v>
      </x:c>
      <x:c r="F761" t="str">
        <x:v>South</x:v>
      </x:c>
      <x:c r="G761" t="str">
        <x:v>Home &amp; Kitchen</x:v>
      </x:c>
      <x:c r="H761" t="n">
        <x:v>1</x:v>
      </x:c>
      <x:c r="I761" s="26" t="n">
        <x:v>5040</x:v>
      </x:c>
      <x:c r="J761" s="26" t="n">
        <x:v>4167</x:v>
      </x:c>
      <x:c r="K761" s="28" t="n">
        <x:v>0.145</x:v>
      </x:c>
      <x:c r="L761" s="26" t="n">
        <x:v>604.21</x:v>
      </x:c>
      <x:c r="M761" t="n">
        <x:v>0</x:v>
      </x:c>
      <x:c r="N761" s="26" t="n">
        <x:v>0</x:v>
      </x:c>
      <x:c r="O761" s="26" t="n">
        <x:v>77.09</x:v>
      </x:c>
      <x:c r="P761" s="26" t="n">
        <x:v>18.75</x:v>
      </x:c>
      <x:c r="Q761" s="26" t="n">
        <x:v>35.42</x:v>
      </x:c>
      <x:c r="R761" s="26" t="n">
        <x:v>43.75</x:v>
      </x:c>
      <x:c r="S761" s="26" t="n">
        <x:v>429.2</x:v>
      </x:c>
    </x:row>
    <x:row r="762">
      <x:c r="A762" t="n">
        <x:v>500759</x:v>
      </x:c>
      <x:c r="B762" s="24" t="n">
        <x:v>45785</x:v>
      </x:c>
      <x:c r="C762" t="n">
        <x:v>1071</x:v>
      </x:c>
      <x:c r="D762" t="str">
        <x:v>Seller 1071</x:v>
      </x:c>
      <x:c r="E762" t="str">
        <x:v>Bronze</x:v>
      </x:c>
      <x:c r="F762" t="str">
        <x:v>Central</x:v>
      </x:c>
      <x:c r="G762" t="str">
        <x:v>Sports</x:v>
      </x:c>
      <x:c r="H762" t="n">
        <x:v>2</x:v>
      </x:c>
      <x:c r="I762" s="26" t="n">
        <x:v>2002.1999999999998</x:v>
      </x:c>
      <x:c r="J762" s="26" t="n">
        <x:v>2332.8</x:v>
      </x:c>
      <x:c r="K762" s="28" t="n">
        <x:v>0.13</x:v>
      </x:c>
      <x:c r="L762" s="26" t="n">
        <x:v>303.26</x:v>
      </x:c>
      <x:c r="M762" t="n">
        <x:v>0</x:v>
      </x:c>
      <x:c r="N762" s="26" t="n">
        <x:v>0</x:v>
      </x:c>
      <x:c r="O762" s="26" t="n">
        <x:v>43.16</x:v>
      </x:c>
      <x:c r="P762" s="26" t="n">
        <x:v>10.5</x:v>
      </x:c>
      <x:c r="Q762" s="26" t="n">
        <x:v>19.83</x:v>
      </x:c>
      <x:c r="R762" s="26" t="n">
        <x:v>24.49</x:v>
      </x:c>
      <x:c r="S762" s="26" t="n">
        <x:v>205.29</x:v>
      </x:c>
    </x:row>
    <x:row r="763">
      <x:c r="A763" t="n">
        <x:v>500760</x:v>
      </x:c>
      <x:c r="B763" s="24" t="n">
        <x:v>45806</x:v>
      </x:c>
      <x:c r="C763" t="n">
        <x:v>1004</x:v>
      </x:c>
      <x:c r="D763" t="str">
        <x:v>Seller 1004</x:v>
      </x:c>
      <x:c r="E763" t="str">
        <x:v>Platinum</x:v>
      </x:c>
      <x:c r="F763" t="str">
        <x:v>East</x:v>
      </x:c>
      <x:c r="G763" t="str">
        <x:v>Home &amp; Kitchen</x:v>
      </x:c>
      <x:c r="H763" t="n">
        <x:v>2</x:v>
      </x:c>
      <x:c r="I763" s="26" t="n">
        <x:v>3441</x:v>
      </x:c>
      <x:c r="J763" s="26" t="n">
        <x:v>10020.6</x:v>
      </x:c>
      <x:c r="K763" s="28" t="n">
        <x:v>0.143</x:v>
      </x:c>
      <x:c r="L763" s="26" t="n">
        <x:v>1432.95</x:v>
      </x:c>
      <x:c r="M763" t="n">
        <x:v>0</x:v>
      </x:c>
      <x:c r="N763" s="26" t="n">
        <x:v>0</x:v>
      </x:c>
      <x:c r="O763" s="26" t="n">
        <x:v>185.38</x:v>
      </x:c>
      <x:c r="P763" s="26" t="n">
        <x:v>45.09</x:v>
      </x:c>
      <x:c r="Q763" s="26" t="n">
        <x:v>85.18</x:v>
      </x:c>
      <x:c r="R763" s="26" t="n">
        <x:v>105.22</x:v>
      </x:c>
      <x:c r="S763" s="26" t="n">
        <x:v>1012.08</x:v>
      </x:c>
    </x:row>
    <x:row r="764">
      <x:c r="A764" t="n">
        <x:v>500761</x:v>
      </x:c>
      <x:c r="B764" s="24" t="n">
        <x:v>45780</x:v>
      </x:c>
      <x:c r="C764" t="n">
        <x:v>1037</x:v>
      </x:c>
      <x:c r="D764" t="str">
        <x:v>Seller 1037</x:v>
      </x:c>
      <x:c r="E764" t="str">
        <x:v>Silver</x:v>
      </x:c>
      <x:c r="F764" t="str">
        <x:v>East</x:v>
      </x:c>
      <x:c r="G764" t="str">
        <x:v>Apparel</x:v>
      </x:c>
      <x:c r="H764" t="n">
        <x:v>1</x:v>
      </x:c>
      <x:c r="I764" s="26" t="n">
        <x:v>3864.0000000000005</x:v>
      </x:c>
      <x:c r="J764" s="26" t="n">
        <x:v>3194.4</x:v>
      </x:c>
      <x:c r="K764" s="28" t="n">
        <x:v>0.1139</x:v>
      </x:c>
      <x:c r="L764" s="26" t="n">
        <x:v>363.84</x:v>
      </x:c>
      <x:c r="M764" t="n">
        <x:v>0</x:v>
      </x:c>
      <x:c r="N764" s="26" t="n">
        <x:v>0</x:v>
      </x:c>
      <x:c r="O764" s="26" t="n">
        <x:v>59.1</x:v>
      </x:c>
      <x:c r="P764" s="26" t="n">
        <x:v>14.37</x:v>
      </x:c>
      <x:c r="Q764" s="26" t="n">
        <x:v>27.15</x:v>
      </x:c>
      <x:c r="R764" s="26" t="n">
        <x:v>33.54</x:v>
      </x:c>
      <x:c r="S764" s="26" t="n">
        <x:v>229.68</x:v>
      </x:c>
    </x:row>
    <x:row r="765">
      <x:c r="A765" t="n">
        <x:v>500762</x:v>
      </x:c>
      <x:c r="B765" s="24" t="n">
        <x:v>45804</x:v>
      </x:c>
      <x:c r="C765" t="n">
        <x:v>1077</x:v>
      </x:c>
      <x:c r="D765" t="str">
        <x:v>Seller 1077</x:v>
      </x:c>
      <x:c r="E765" t="str">
        <x:v>Bronze</x:v>
      </x:c>
      <x:c r="F765" t="str">
        <x:v>South</x:v>
      </x:c>
      <x:c r="G765" t="str">
        <x:v>Sports</x:v>
      </x:c>
      <x:c r="H765" t="n">
        <x:v>1</x:v>
      </x:c>
      <x:c r="I765" s="26" t="n">
        <x:v>4608</x:v>
      </x:c>
      <x:c r="J765" s="26" t="n">
        <x:v>2683.8</x:v>
      </x:c>
      <x:c r="K765" s="28" t="n">
        <x:v>0.1222</x:v>
      </x:c>
      <x:c r="L765" s="26" t="n">
        <x:v>327.96</x:v>
      </x:c>
      <x:c r="M765" t="n">
        <x:v>0</x:v>
      </x:c>
      <x:c r="N765" s="26" t="n">
        <x:v>0</x:v>
      </x:c>
      <x:c r="O765" s="26" t="n">
        <x:v>49.65</x:v>
      </x:c>
      <x:c r="P765" s="26" t="n">
        <x:v>12.08</x:v>
      </x:c>
      <x:c r="Q765" s="26" t="n">
        <x:v>22.81</x:v>
      </x:c>
      <x:c r="R765" s="26" t="n">
        <x:v>28.18</x:v>
      </x:c>
      <x:c r="S765" s="26" t="n">
        <x:v>215.24</x:v>
      </x:c>
    </x:row>
    <x:row r="766">
      <x:c r="A766" t="n">
        <x:v>500763</x:v>
      </x:c>
      <x:c r="B766" s="24" t="n">
        <x:v>45792</x:v>
      </x:c>
      <x:c r="C766" t="n">
        <x:v>1016</x:v>
      </x:c>
      <x:c r="D766" t="str">
        <x:v>Seller 1016</x:v>
      </x:c>
      <x:c r="E766" t="str">
        <x:v>Gold</x:v>
      </x:c>
      <x:c r="F766" t="str">
        <x:v>West</x:v>
      </x:c>
      <x:c r="G766" t="str">
        <x:v>Sports</x:v>
      </x:c>
      <x:c r="H766" t="n">
        <x:v>2</x:v>
      </x:c>
      <x:c r="I766" s="26" t="n">
        <x:v>2211.6</x:v>
      </x:c>
      <x:c r="J766" s="26" t="n">
        <x:v>4779</x:v>
      </x:c>
      <x:c r="K766" s="28" t="n">
        <x:v>0.1222</x:v>
      </x:c>
      <x:c r="L766" s="26" t="n">
        <x:v>583.99</x:v>
      </x:c>
      <x:c r="M766" t="n">
        <x:v>0</x:v>
      </x:c>
      <x:c r="N766" s="26" t="n">
        <x:v>0</x:v>
      </x:c>
      <x:c r="O766" s="26" t="n">
        <x:v>88.41</x:v>
      </x:c>
      <x:c r="P766" s="26" t="n">
        <x:v>21.51</x:v>
      </x:c>
      <x:c r="Q766" s="26" t="n">
        <x:v>40.62</x:v>
      </x:c>
      <x:c r="R766" s="26" t="n">
        <x:v>50.18</x:v>
      </x:c>
      <x:c r="S766" s="26" t="n">
        <x:v>383.28</x:v>
      </x:c>
    </x:row>
    <x:row r="767">
      <x:c r="A767" t="n">
        <x:v>500764</x:v>
      </x:c>
      <x:c r="B767" s="24" t="n">
        <x:v>45798</x:v>
      </x:c>
      <x:c r="C767" t="n">
        <x:v>1018</x:v>
      </x:c>
      <x:c r="D767" t="str">
        <x:v>Seller 1018</x:v>
      </x:c>
      <x:c r="E767" t="str">
        <x:v>Gold</x:v>
      </x:c>
      <x:c r="F767" t="str">
        <x:v>West</x:v>
      </x:c>
      <x:c r="G767" t="str">
        <x:v>Electronics</x:v>
      </x:c>
      <x:c r="H767" t="n">
        <x:v>3</x:v>
      </x:c>
      <x:c r="I767" s="26" t="n">
        <x:v>3115.2000000000003</x:v>
      </x:c>
      <x:c r="J767" s="26" t="n">
        <x:v>10096.2</x:v>
      </x:c>
      <x:c r="K767" s="28" t="n">
        <x:v>0.1283</x:v>
      </x:c>
      <x:c r="L767" s="26" t="n">
        <x:v>1295.34</x:v>
      </x:c>
      <x:c r="M767" t="n">
        <x:v>1</x:v>
      </x:c>
      <x:c r="N767" s="26" t="n">
        <x:v>6877.8</x:v>
      </x:c>
      <x:c r="O767" s="26" t="n">
        <x:v>186.78</x:v>
      </x:c>
      <x:c r="P767" s="26" t="n">
        <x:v>45.43</x:v>
      </x:c>
      <x:c r="Q767" s="26" t="n">
        <x:v>85.82</x:v>
      </x:c>
      <x:c r="R767" s="26" t="n">
        <x:v>106.01</x:v>
      </x:c>
      <x:c r="S767" s="26" t="n">
        <x:v>733.75</x:v>
      </x:c>
    </x:row>
    <x:row r="768">
      <x:c r="A768" t="n">
        <x:v>500765</x:v>
      </x:c>
      <x:c r="B768" s="24" t="n">
        <x:v>45805</x:v>
      </x:c>
      <x:c r="C768" t="n">
        <x:v>1010</x:v>
      </x:c>
      <x:c r="D768" t="str">
        <x:v>Seller 1010</x:v>
      </x:c>
      <x:c r="E768" t="str">
        <x:v>Platinum</x:v>
      </x:c>
      <x:c r="F768" t="str">
        <x:v>West</x:v>
      </x:c>
      <x:c r="G768" t="str">
        <x:v>Home &amp; Kitchen</x:v>
      </x:c>
      <x:c r="H768" t="n">
        <x:v>2</x:v>
      </x:c>
      <x:c r="I768" s="26" t="n">
        <x:v>2211</x:v>
      </x:c>
      <x:c r="J768" s="26" t="n">
        <x:v>6438.6</x:v>
      </x:c>
      <x:c r="K768" s="28" t="n">
        <x:v>0.1253</x:v>
      </x:c>
      <x:c r="L768" s="26" t="n">
        <x:v>806.76</x:v>
      </x:c>
      <x:c r="M768" t="n">
        <x:v>0</x:v>
      </x:c>
      <x:c r="N768" s="26" t="n">
        <x:v>0</x:v>
      </x:c>
      <x:c r="O768" s="26" t="n">
        <x:v>119.11</x:v>
      </x:c>
      <x:c r="P768" s="26" t="n">
        <x:v>28.97</x:v>
      </x:c>
      <x:c r="Q768" s="26" t="n">
        <x:v>54.73</x:v>
      </x:c>
      <x:c r="R768" s="26" t="n">
        <x:v>67.61</x:v>
      </x:c>
      <x:c r="S768" s="26" t="n">
        <x:v>536.34</x:v>
      </x:c>
    </x:row>
    <x:row r="769">
      <x:c r="A769" t="n">
        <x:v>500766</x:v>
      </x:c>
      <x:c r="B769" s="24" t="n">
        <x:v>45789</x:v>
      </x:c>
      <x:c r="C769" t="n">
        <x:v>1041</x:v>
      </x:c>
      <x:c r="D769" t="str">
        <x:v>Seller 1041</x:v>
      </x:c>
      <x:c r="E769" t="str">
        <x:v>Silver</x:v>
      </x:c>
      <x:c r="F769" t="str">
        <x:v>West</x:v>
      </x:c>
      <x:c r="G769" t="str">
        <x:v>Pet Supplies</x:v>
      </x:c>
      <x:c r="H769" t="n">
        <x:v>2</x:v>
      </x:c>
      <x:c r="I769" s="26" t="n">
        <x:v>1371</x:v>
      </x:c>
      <x:c r="J769" s="26" t="n">
        <x:v>2266.8</x:v>
      </x:c>
      <x:c r="K769" s="28" t="n">
        <x:v>0.1368</x:v>
      </x:c>
      <x:c r="L769" s="26" t="n">
        <x:v>310.1</x:v>
      </x:c>
      <x:c r="M769" t="n">
        <x:v>0</x:v>
      </x:c>
      <x:c r="N769" s="26" t="n">
        <x:v>0</x:v>
      </x:c>
      <x:c r="O769" s="26" t="n">
        <x:v>41.94</x:v>
      </x:c>
      <x:c r="P769" s="26" t="n">
        <x:v>10.2</x:v>
      </x:c>
      <x:c r="Q769" s="26" t="n">
        <x:v>19.27</x:v>
      </x:c>
      <x:c r="R769" s="26" t="n">
        <x:v>23.8</x:v>
      </x:c>
      <x:c r="S769" s="26" t="n">
        <x:v>214.89</x:v>
      </x:c>
    </x:row>
    <x:row r="770">
      <x:c r="A770" t="n">
        <x:v>500767</x:v>
      </x:c>
      <x:c r="B770" s="24" t="n">
        <x:v>45781</x:v>
      </x:c>
      <x:c r="C770" t="n">
        <x:v>1019</x:v>
      </x:c>
      <x:c r="D770" t="str">
        <x:v>Seller 1019</x:v>
      </x:c>
      <x:c r="E770" t="str">
        <x:v>Gold</x:v>
      </x:c>
      <x:c r="F770" t="str">
        <x:v>East</x:v>
      </x:c>
      <x:c r="G770" t="str">
        <x:v>Apparel</x:v>
      </x:c>
      <x:c r="H770" t="n">
        <x:v>1</x:v>
      </x:c>
      <x:c r="I770" s="26" t="n">
        <x:v>3806.3999999999996</x:v>
      </x:c>
      <x:c r="J770" s="26" t="n">
        <x:v>4112.4</x:v>
      </x:c>
      <x:c r="K770" s="28" t="n">
        <x:v>0.1196</x:v>
      </x:c>
      <x:c r="L770" s="26" t="n">
        <x:v>491.84</x:v>
      </x:c>
      <x:c r="M770" t="n">
        <x:v>0</x:v>
      </x:c>
      <x:c r="N770" s="26" t="n">
        <x:v>0</x:v>
      </x:c>
      <x:c r="O770" s="26" t="n">
        <x:v>76.08</x:v>
      </x:c>
      <x:c r="P770" s="26" t="n">
        <x:v>18.51</x:v>
      </x:c>
      <x:c r="Q770" s="26" t="n">
        <x:v>34.96</x:v>
      </x:c>
      <x:c r="R770" s="26" t="n">
        <x:v>43.18</x:v>
      </x:c>
      <x:c r="S770" s="26" t="n">
        <x:v>319.12</x:v>
      </x:c>
    </x:row>
    <x:row r="771">
      <x:c r="A771" t="n">
        <x:v>500768</x:v>
      </x:c>
      <x:c r="B771" s="24" t="n">
        <x:v>45794</x:v>
      </x:c>
      <x:c r="C771" t="n">
        <x:v>1028</x:v>
      </x:c>
      <x:c r="D771" t="str">
        <x:v>Seller 1028</x:v>
      </x:c>
      <x:c r="E771" t="str">
        <x:v>Gold</x:v>
      </x:c>
      <x:c r="F771" t="str">
        <x:v>Central</x:v>
      </x:c>
      <x:c r="G771" t="str">
        <x:v>Sports</x:v>
      </x:c>
      <x:c r="H771" t="n">
        <x:v>2</x:v>
      </x:c>
      <x:c r="I771" s="26" t="n">
        <x:v>2511.6</x:v>
      </x:c>
      <x:c r="J771" s="26" t="n">
        <x:v>5427.6</x:v>
      </x:c>
      <x:c r="K771" s="28" t="n">
        <x:v>0.1375</x:v>
      </x:c>
      <x:c r="L771" s="26" t="n">
        <x:v>746.29</x:v>
      </x:c>
      <x:c r="M771" t="n">
        <x:v>0</x:v>
      </x:c>
      <x:c r="N771" s="26" t="n">
        <x:v>0</x:v>
      </x:c>
      <x:c r="O771" s="26" t="n">
        <x:v>100.41</x:v>
      </x:c>
      <x:c r="P771" s="26" t="n">
        <x:v>24.42</x:v>
      </x:c>
      <x:c r="Q771" s="26" t="n">
        <x:v>46.13</x:v>
      </x:c>
      <x:c r="R771" s="26" t="n">
        <x:v>56.99</x:v>
      </x:c>
      <x:c r="S771" s="26" t="n">
        <x:v>518.34</x:v>
      </x:c>
    </x:row>
    <x:row r="772">
      <x:c r="A772" t="n">
        <x:v>500769</x:v>
      </x:c>
      <x:c r="B772" s="24" t="n">
        <x:v>45782</x:v>
      </x:c>
      <x:c r="C772" t="n">
        <x:v>1069</x:v>
      </x:c>
      <x:c r="D772" t="str">
        <x:v>Seller 1069</x:v>
      </x:c>
      <x:c r="E772" t="str">
        <x:v>Bronze</x:v>
      </x:c>
      <x:c r="F772" t="str">
        <x:v>East</x:v>
      </x:c>
      <x:c r="G772" t="str">
        <x:v>Electronics</x:v>
      </x:c>
      <x:c r="H772" t="n">
        <x:v>2</x:v>
      </x:c>
      <x:c r="I772" s="26" t="n">
        <x:v>3152.4</x:v>
      </x:c>
      <x:c r="J772" s="26" t="n">
        <x:v>3672</x:v>
      </x:c>
      <x:c r="K772" s="28" t="n">
        <x:v>0.123</x:v>
      </x:c>
      <x:c r="L772" s="26" t="n">
        <x:v>451.66</x:v>
      </x:c>
      <x:c r="M772" t="n">
        <x:v>0</x:v>
      </x:c>
      <x:c r="N772" s="26" t="n">
        <x:v>0</x:v>
      </x:c>
      <x:c r="O772" s="26" t="n">
        <x:v>67.93</x:v>
      </x:c>
      <x:c r="P772" s="26" t="n">
        <x:v>16.52</x:v>
      </x:c>
      <x:c r="Q772" s="26" t="n">
        <x:v>31.21</x:v>
      </x:c>
      <x:c r="R772" s="26" t="n">
        <x:v>38.56</x:v>
      </x:c>
      <x:c r="S772" s="26" t="n">
        <x:v>297.43</x:v>
      </x:c>
    </x:row>
    <x:row r="773">
      <x:c r="A773" t="n">
        <x:v>500770</x:v>
      </x:c>
      <x:c r="B773" s="24" t="n">
        <x:v>45802</x:v>
      </x:c>
      <x:c r="C773" t="n">
        <x:v>1003</x:v>
      </x:c>
      <x:c r="D773" t="str">
        <x:v>Seller 1003</x:v>
      </x:c>
      <x:c r="E773" t="str">
        <x:v>Platinum</x:v>
      </x:c>
      <x:c r="F773" t="str">
        <x:v>East</x:v>
      </x:c>
      <x:c r="G773" t="str">
        <x:v>Pet Supplies</x:v>
      </x:c>
      <x:c r="H773" t="n">
        <x:v>2</x:v>
      </x:c>
      <x:c r="I773" s="26" t="n">
        <x:v>1779.6</x:v>
      </x:c>
      <x:c r="J773" s="26" t="n">
        <x:v>5182.2</x:v>
      </x:c>
      <x:c r="K773" s="28" t="n">
        <x:v>0.1396</x:v>
      </x:c>
      <x:c r="L773" s="26" t="n">
        <x:v>723.44</x:v>
      </x:c>
      <x:c r="M773" t="n">
        <x:v>0</x:v>
      </x:c>
      <x:c r="N773" s="26" t="n">
        <x:v>0</x:v>
      </x:c>
      <x:c r="O773" s="26" t="n">
        <x:v>95.87</x:v>
      </x:c>
      <x:c r="P773" s="26" t="n">
        <x:v>23.32</x:v>
      </x:c>
      <x:c r="Q773" s="26" t="n">
        <x:v>44.05</x:v>
      </x:c>
      <x:c r="R773" s="26" t="n">
        <x:v>54.41</x:v>
      </x:c>
      <x:c r="S773" s="26" t="n">
        <x:v>505.78</x:v>
      </x:c>
    </x:row>
    <x:row r="774">
      <x:c r="A774" t="n">
        <x:v>500771</x:v>
      </x:c>
      <x:c r="B774" s="24" t="n">
        <x:v>45800</x:v>
      </x:c>
      <x:c r="C774" t="n">
        <x:v>1044</x:v>
      </x:c>
      <x:c r="D774" t="str">
        <x:v>Seller 1044</x:v>
      </x:c>
      <x:c r="E774" t="str">
        <x:v>Silver</x:v>
      </x:c>
      <x:c r="F774" t="str">
        <x:v>East</x:v>
      </x:c>
      <x:c r="G774" t="str">
        <x:v>Pet Supplies</x:v>
      </x:c>
      <x:c r="H774" t="n">
        <x:v>2</x:v>
      </x:c>
      <x:c r="I774" s="26" t="n">
        <x:v>1948.1999999999998</x:v>
      </x:c>
      <x:c r="J774" s="26" t="n">
        <x:v>3221.4</x:v>
      </x:c>
      <x:c r="K774" s="28" t="n">
        <x:v>0.1228</x:v>
      </x:c>
      <x:c r="L774" s="26" t="n">
        <x:v>395.59</x:v>
      </x:c>
      <x:c r="M774" t="n">
        <x:v>0</x:v>
      </x:c>
      <x:c r="N774" s="26" t="n">
        <x:v>0</x:v>
      </x:c>
      <x:c r="O774" s="26" t="n">
        <x:v>59.6</x:v>
      </x:c>
      <x:c r="P774" s="26" t="n">
        <x:v>14.5</x:v>
      </x:c>
      <x:c r="Q774" s="26" t="n">
        <x:v>27.38</x:v>
      </x:c>
      <x:c r="R774" s="26" t="n">
        <x:v>33.82</x:v>
      </x:c>
      <x:c r="S774" s="26" t="n">
        <x:v>260.29</x:v>
      </x:c>
    </x:row>
    <x:row r="775">
      <x:c r="A775" t="n">
        <x:v>500772</x:v>
      </x:c>
      <x:c r="B775" s="24" t="n">
        <x:v>45778</x:v>
      </x:c>
      <x:c r="C775" t="n">
        <x:v>1030</x:v>
      </x:c>
      <x:c r="D775" t="str">
        <x:v>Seller 1030</x:v>
      </x:c>
      <x:c r="E775" t="str">
        <x:v>Gold</x:v>
      </x:c>
      <x:c r="F775" t="str">
        <x:v>South</x:v>
      </x:c>
      <x:c r="G775" t="str">
        <x:v>Pet Supplies</x:v>
      </x:c>
      <x:c r="H775" t="n">
        <x:v>3</x:v>
      </x:c>
      <x:c r="I775" s="26" t="n">
        <x:v>1720.8</x:v>
      </x:c>
      <x:c r="J775" s="26" t="n">
        <x:v>5577.6</x:v>
      </x:c>
      <x:c r="K775" s="28" t="n">
        <x:v>0.1302</x:v>
      </x:c>
      <x:c r="L775" s="26" t="n">
        <x:v>726.2</x:v>
      </x:c>
      <x:c r="M775" t="n">
        <x:v>0</x:v>
      </x:c>
      <x:c r="N775" s="26" t="n">
        <x:v>0</x:v>
      </x:c>
      <x:c r="O775" s="26" t="n">
        <x:v>103.19</x:v>
      </x:c>
      <x:c r="P775" s="26" t="n">
        <x:v>25.1</x:v>
      </x:c>
      <x:c r="Q775" s="26" t="n">
        <x:v>47.41</x:v>
      </x:c>
      <x:c r="R775" s="26" t="n">
        <x:v>58.56</x:v>
      </x:c>
      <x:c r="S775" s="26" t="n">
        <x:v>491.94</x:v>
      </x:c>
    </x:row>
    <x:row r="776">
      <x:c r="A776" t="n">
        <x:v>500773</x:v>
      </x:c>
      <x:c r="B776" s="24" t="n">
        <x:v>45807</x:v>
      </x:c>
      <x:c r="C776" t="n">
        <x:v>1062</x:v>
      </x:c>
      <x:c r="D776" t="str">
        <x:v>Seller 1062</x:v>
      </x:c>
      <x:c r="E776" t="str">
        <x:v>Bronze</x:v>
      </x:c>
      <x:c r="F776" t="str">
        <x:v>West</x:v>
      </x:c>
      <x:c r="G776" t="str">
        <x:v>Electronics</x:v>
      </x:c>
      <x:c r="H776" t="n">
        <x:v>2</x:v>
      </x:c>
      <x:c r="I776" s="26" t="n">
        <x:v>4519.8</x:v>
      </x:c>
      <x:c r="J776" s="26" t="n">
        <x:v>5265</x:v>
      </x:c>
      <x:c r="K776" s="28" t="n">
        <x:v>0.1288</x:v>
      </x:c>
      <x:c r="L776" s="26" t="n">
        <x:v>678.13</x:v>
      </x:c>
      <x:c r="M776" t="n">
        <x:v>0</x:v>
      </x:c>
      <x:c r="N776" s="26" t="n">
        <x:v>0</x:v>
      </x:c>
      <x:c r="O776" s="26" t="n">
        <x:v>97.4</x:v>
      </x:c>
      <x:c r="P776" s="26" t="n">
        <x:v>23.69</x:v>
      </x:c>
      <x:c r="Q776" s="26" t="n">
        <x:v>44.75</x:v>
      </x:c>
      <x:c r="R776" s="26" t="n">
        <x:v>55.28</x:v>
      </x:c>
      <x:c r="S776" s="26" t="n">
        <x:v>457</x:v>
      </x:c>
    </x:row>
    <x:row r="777">
      <x:c r="A777" t="n">
        <x:v>500774</x:v>
      </x:c>
      <x:c r="B777" s="24" t="n">
        <x:v>45796</x:v>
      </x:c>
      <x:c r="C777" t="n">
        <x:v>1033</x:v>
      </x:c>
      <x:c r="D777" t="str">
        <x:v>Seller 1033</x:v>
      </x:c>
      <x:c r="E777" t="str">
        <x:v>Silver</x:v>
      </x:c>
      <x:c r="F777" t="str">
        <x:v>South</x:v>
      </x:c>
      <x:c r="G777" t="str">
        <x:v>Beauty</x:v>
      </x:c>
      <x:c r="H777" t="n">
        <x:v>2</x:v>
      </x:c>
      <x:c r="I777" s="26" t="n">
        <x:v>1348.8</x:v>
      </x:c>
      <x:c r="J777" s="26" t="n">
        <x:v>2230.2</x:v>
      </x:c>
      <x:c r="K777" s="28" t="n">
        <x:v>0.1353</x:v>
      </x:c>
      <x:c r="L777" s="26" t="n">
        <x:v>301.75</x:v>
      </x:c>
      <x:c r="M777" t="n">
        <x:v>0</x:v>
      </x:c>
      <x:c r="N777" s="26" t="n">
        <x:v>0</x:v>
      </x:c>
      <x:c r="O777" s="26" t="n">
        <x:v>41.26</x:v>
      </x:c>
      <x:c r="P777" s="26" t="n">
        <x:v>10.04</x:v>
      </x:c>
      <x:c r="Q777" s="26" t="n">
        <x:v>18.96</x:v>
      </x:c>
      <x:c r="R777" s="26" t="n">
        <x:v>23.42</x:v>
      </x:c>
      <x:c r="S777" s="26" t="n">
        <x:v>208.08</x:v>
      </x:c>
    </x:row>
    <x:row r="778">
      <x:c r="A778" t="n">
        <x:v>500775</x:v>
      </x:c>
      <x:c r="B778" s="24" t="n">
        <x:v>45789</x:v>
      </x:c>
      <x:c r="C778" t="n">
        <x:v>1026</x:v>
      </x:c>
      <x:c r="D778" t="str">
        <x:v>Seller 1026</x:v>
      </x:c>
      <x:c r="E778" t="str">
        <x:v>Gold</x:v>
      </x:c>
      <x:c r="F778" t="str">
        <x:v>East</x:v>
      </x:c>
      <x:c r="G778" t="str">
        <x:v>Home &amp; Kitchen</x:v>
      </x:c>
      <x:c r="H778" t="n">
        <x:v>2</x:v>
      </x:c>
      <x:c r="I778" s="26" t="n">
        <x:v>2598</x:v>
      </x:c>
      <x:c r="J778" s="26" t="n">
        <x:v>5613.6</x:v>
      </x:c>
      <x:c r="K778" s="28" t="n">
        <x:v>0.1433</x:v>
      </x:c>
      <x:c r="L778" s="26" t="n">
        <x:v>804.43</x:v>
      </x:c>
      <x:c r="M778" t="n">
        <x:v>0</x:v>
      </x:c>
      <x:c r="N778" s="26" t="n">
        <x:v>0</x:v>
      </x:c>
      <x:c r="O778" s="26" t="n">
        <x:v>103.85</x:v>
      </x:c>
      <x:c r="P778" s="26" t="n">
        <x:v>25.26</x:v>
      </x:c>
      <x:c r="Q778" s="26" t="n">
        <x:v>47.72</x:v>
      </x:c>
      <x:c r="R778" s="26" t="n">
        <x:v>58.94</x:v>
      </x:c>
      <x:c r="S778" s="26" t="n">
        <x:v>568.66</x:v>
      </x:c>
    </x:row>
    <x:row r="779">
      <x:c r="A779" t="n">
        <x:v>500776</x:v>
      </x:c>
      <x:c r="B779" s="24" t="n">
        <x:v>45826</x:v>
      </x:c>
      <x:c r="C779" t="n">
        <x:v>1046</x:v>
      </x:c>
      <x:c r="D779" t="str">
        <x:v>Seller 1046</x:v>
      </x:c>
      <x:c r="E779" t="str">
        <x:v>Silver</x:v>
      </x:c>
      <x:c r="F779" t="str">
        <x:v>Central</x:v>
      </x:c>
      <x:c r="G779" t="str">
        <x:v>Sports</x:v>
      </x:c>
      <x:c r="H779" t="n">
        <x:v>1</x:v>
      </x:c>
      <x:c r="I779" s="26" t="n">
        <x:v>4557.599999999999</x:v>
      </x:c>
      <x:c r="J779" s="26" t="n">
        <x:v>3691.2</x:v>
      </x:c>
      <x:c r="K779" s="28" t="n">
        <x:v>0.1218</x:v>
      </x:c>
      <x:c r="L779" s="26" t="n">
        <x:v>449.59</x:v>
      </x:c>
      <x:c r="M779" t="n">
        <x:v>0</x:v>
      </x:c>
      <x:c r="N779" s="26" t="n">
        <x:v>0</x:v>
      </x:c>
      <x:c r="O779" s="26" t="n">
        <x:v>68.29</x:v>
      </x:c>
      <x:c r="P779" s="26" t="n">
        <x:v>16.61</x:v>
      </x:c>
      <x:c r="Q779" s="26" t="n">
        <x:v>31.38</x:v>
      </x:c>
      <x:c r="R779" s="26" t="n">
        <x:v>38.76</x:v>
      </x:c>
      <x:c r="S779" s="26" t="n">
        <x:v>294.56</x:v>
      </x:c>
    </x:row>
    <x:row r="780">
      <x:c r="A780" t="n">
        <x:v>500777</x:v>
      </x:c>
      <x:c r="B780" s="24" t="n">
        <x:v>45837</x:v>
      </x:c>
      <x:c r="C780" t="n">
        <x:v>1002</x:v>
      </x:c>
      <x:c r="D780" t="str">
        <x:v>Seller 1002</x:v>
      </x:c>
      <x:c r="E780" t="str">
        <x:v>Platinum</x:v>
      </x:c>
      <x:c r="F780" t="str">
        <x:v>Central</x:v>
      </x:c>
      <x:c r="G780" t="str">
        <x:v>Home &amp; Kitchen</x:v>
      </x:c>
      <x:c r="H780" t="n">
        <x:v>2</x:v>
      </x:c>
      <x:c r="I780" s="26" t="n">
        <x:v>1467.6000000000001</x:v>
      </x:c>
      <x:c r="J780" s="26" t="n">
        <x:v>4186.2</x:v>
      </x:c>
      <x:c r="K780" s="28" t="n">
        <x:v>0.1271</x:v>
      </x:c>
      <x:c r="L780" s="26" t="n">
        <x:v>532.07</x:v>
      </x:c>
      <x:c r="M780" t="n">
        <x:v>1</x:v>
      </x:c>
      <x:c r="N780" s="26" t="n">
        <x:v>3669</x:v>
      </x:c>
      <x:c r="O780" s="26" t="n">
        <x:v>77.44</x:v>
      </x:c>
      <x:c r="P780" s="26" t="n">
        <x:v>18.84</x:v>
      </x:c>
      <x:c r="Q780" s="26" t="n">
        <x:v>35.58</x:v>
      </x:c>
      <x:c r="R780" s="26" t="n">
        <x:v>43.96</x:v>
      </x:c>
      <x:c r="S780" s="26" t="n">
        <x:v>282.87</x:v>
      </x:c>
    </x:row>
    <x:row r="781">
      <x:c r="A781" t="n">
        <x:v>500778</x:v>
      </x:c>
      <x:c r="B781" s="24" t="n">
        <x:v>45834</x:v>
      </x:c>
      <x:c r="C781" t="n">
        <x:v>1028</x:v>
      </x:c>
      <x:c r="D781" t="str">
        <x:v>Seller 1028</x:v>
      </x:c>
      <x:c r="E781" t="str">
        <x:v>Gold</x:v>
      </x:c>
      <x:c r="F781" t="str">
        <x:v>Central</x:v>
      </x:c>
      <x:c r="G781" t="str">
        <x:v>Pet Supplies</x:v>
      </x:c>
      <x:c r="H781" t="n">
        <x:v>1</x:v>
      </x:c>
      <x:c r="I781" s="26" t="n">
        <x:v>3181.2000000000003</x:v>
      </x:c>
      <x:c r="J781" s="26" t="n">
        <x:v>3366.6</x:v>
      </x:c>
      <x:c r="K781" s="28" t="n">
        <x:v>0.1244</x:v>
      </x:c>
      <x:c r="L781" s="26" t="n">
        <x:v>418.81</x:v>
      </x:c>
      <x:c r="M781" t="n">
        <x:v>0</x:v>
      </x:c>
      <x:c r="N781" s="26" t="n">
        <x:v>0</x:v>
      </x:c>
      <x:c r="O781" s="26" t="n">
        <x:v>62.28</x:v>
      </x:c>
      <x:c r="P781" s="26" t="n">
        <x:v>15.15</x:v>
      </x:c>
      <x:c r="Q781" s="26" t="n">
        <x:v>28.62</x:v>
      </x:c>
      <x:c r="R781" s="26" t="n">
        <x:v>35.35</x:v>
      </x:c>
      <x:c r="S781" s="26" t="n">
        <x:v>277.41</x:v>
      </x:c>
    </x:row>
    <x:row r="782">
      <x:c r="A782" t="n">
        <x:v>500779</x:v>
      </x:c>
      <x:c r="B782" s="24" t="n">
        <x:v>45811</x:v>
      </x:c>
      <x:c r="C782" t="n">
        <x:v>1046</x:v>
      </x:c>
      <x:c r="D782" t="str">
        <x:v>Seller 1046</x:v>
      </x:c>
      <x:c r="E782" t="str">
        <x:v>Silver</x:v>
      </x:c>
      <x:c r="F782" t="str">
        <x:v>Central</x:v>
      </x:c>
      <x:c r="G782" t="str">
        <x:v>Apparel</x:v>
      </x:c>
      <x:c r="H782" t="n">
        <x:v>2</x:v>
      </x:c>
      <x:c r="I782" s="26" t="n">
        <x:v>2135.4</x:v>
      </x:c>
      <x:c r="J782" s="26" t="n">
        <x:v>3458.4</x:v>
      </x:c>
      <x:c r="K782" s="28" t="n">
        <x:v>0.1107</x:v>
      </x:c>
      <x:c r="L782" s="26" t="n">
        <x:v>382.84</x:v>
      </x:c>
      <x:c r="M782" t="n">
        <x:v>0</x:v>
      </x:c>
      <x:c r="N782" s="26" t="n">
        <x:v>0</x:v>
      </x:c>
      <x:c r="O782" s="26" t="n">
        <x:v>63.98</x:v>
      </x:c>
      <x:c r="P782" s="26" t="n">
        <x:v>15.56</x:v>
      </x:c>
      <x:c r="Q782" s="26" t="n">
        <x:v>29.4</x:v>
      </x:c>
      <x:c r="R782" s="26" t="n">
        <x:v>36.31</x:v>
      </x:c>
      <x:c r="S782" s="26" t="n">
        <x:v>237.59</x:v>
      </x:c>
    </x:row>
    <x:row r="783">
      <x:c r="A783" t="n">
        <x:v>500780</x:v>
      </x:c>
      <x:c r="B783" s="24" t="n">
        <x:v>45811</x:v>
      </x:c>
      <x:c r="C783" t="n">
        <x:v>1067</x:v>
      </x:c>
      <x:c r="D783" t="str">
        <x:v>Seller 1067</x:v>
      </x:c>
      <x:c r="E783" t="str">
        <x:v>Bronze</x:v>
      </x:c>
      <x:c r="F783" t="str">
        <x:v>South</x:v>
      </x:c>
      <x:c r="G783" t="str">
        <x:v>Beauty</x:v>
      </x:c>
      <x:c r="H783" t="n">
        <x:v>2</x:v>
      </x:c>
      <x:c r="I783" s="26" t="n">
        <x:v>991.1999999999999</x:v>
      </x:c>
      <x:c r="J783" s="26" t="n">
        <x:v>1131</x:v>
      </x:c>
      <x:c r="K783" s="28" t="n">
        <x:v>0.1464</x:v>
      </x:c>
      <x:c r="L783" s="26" t="n">
        <x:v>165.58</x:v>
      </x:c>
      <x:c r="M783" t="n">
        <x:v>0</x:v>
      </x:c>
      <x:c r="N783" s="26" t="n">
        <x:v>0</x:v>
      </x:c>
      <x:c r="O783" s="26" t="n">
        <x:v>20.92</x:v>
      </x:c>
      <x:c r="P783" s="26" t="n">
        <x:v>5.09</x:v>
      </x:c>
      <x:c r="Q783" s="26" t="n">
        <x:v>9.61</x:v>
      </x:c>
      <x:c r="R783" s="26" t="n">
        <x:v>11.88</x:v>
      </x:c>
      <x:c r="S783" s="26" t="n">
        <x:v>118.08</x:v>
      </x:c>
    </x:row>
    <x:row r="784">
      <x:c r="A784" t="n">
        <x:v>500781</x:v>
      </x:c>
      <x:c r="B784" s="24" t="n">
        <x:v>45817</x:v>
      </x:c>
      <x:c r="C784" t="n">
        <x:v>1050</x:v>
      </x:c>
      <x:c r="D784" t="str">
        <x:v>Seller 1050</x:v>
      </x:c>
      <x:c r="E784" t="str">
        <x:v>Silver</x:v>
      </x:c>
      <x:c r="F784" t="str">
        <x:v>East</x:v>
      </x:c>
      <x:c r="G784" t="str">
        <x:v>Electronics</x:v>
      </x:c>
      <x:c r="H784" t="n">
        <x:v>1</x:v>
      </x:c>
      <x:c r="I784" s="26" t="n">
        <x:v>8344.800000000001</x:v>
      </x:c>
      <x:c r="J784" s="26" t="n">
        <x:v>6758.4</x:v>
      </x:c>
      <x:c r="K784" s="28" t="n">
        <x:v>0.1364</x:v>
      </x:c>
      <x:c r="L784" s="26" t="n">
        <x:v>921.85</x:v>
      </x:c>
      <x:c r="M784" t="n">
        <x:v>0</x:v>
      </x:c>
      <x:c r="N784" s="26" t="n">
        <x:v>0</x:v>
      </x:c>
      <x:c r="O784" s="26" t="n">
        <x:v>125.03</x:v>
      </x:c>
      <x:c r="P784" s="26" t="n">
        <x:v>30.41</x:v>
      </x:c>
      <x:c r="Q784" s="26" t="n">
        <x:v>57.45</x:v>
      </x:c>
      <x:c r="R784" s="26" t="n">
        <x:v>70.96</x:v>
      </x:c>
      <x:c r="S784" s="26" t="n">
        <x:v>637.99</x:v>
      </x:c>
    </x:row>
    <x:row r="785">
      <x:c r="A785" t="n">
        <x:v>500782</x:v>
      </x:c>
      <x:c r="B785" s="24" t="n">
        <x:v>45829</x:v>
      </x:c>
      <x:c r="C785" t="n">
        <x:v>1055</x:v>
      </x:c>
      <x:c r="D785" t="str">
        <x:v>Seller 1055</x:v>
      </x:c>
      <x:c r="E785" t="str">
        <x:v>Bronze</x:v>
      </x:c>
      <x:c r="F785" t="str">
        <x:v>Central</x:v>
      </x:c>
      <x:c r="G785" t="str">
        <x:v>Pet Supplies</x:v>
      </x:c>
      <x:c r="H785" t="n">
        <x:v>4</x:v>
      </x:c>
      <x:c r="I785" s="26" t="n">
        <x:v>982.8</x:v>
      </x:c>
      <x:c r="J785" s="26" t="n">
        <x:v>2242.8</x:v>
      </x:c>
      <x:c r="K785" s="28" t="n">
        <x:v>0.1314</x:v>
      </x:c>
      <x:c r="L785" s="26" t="n">
        <x:v>294.7</x:v>
      </x:c>
      <x:c r="M785" t="n">
        <x:v>0</x:v>
      </x:c>
      <x:c r="N785" s="26" t="n">
        <x:v>0</x:v>
      </x:c>
      <x:c r="O785" s="26" t="n">
        <x:v>41.49</x:v>
      </x:c>
      <x:c r="P785" s="26" t="n">
        <x:v>10.09</x:v>
      </x:c>
      <x:c r="Q785" s="26" t="n">
        <x:v>19.06</x:v>
      </x:c>
      <x:c r="R785" s="26" t="n">
        <x:v>23.55</x:v>
      </x:c>
      <x:c r="S785" s="26" t="n">
        <x:v>200.51</x:v>
      </x:c>
    </x:row>
    <x:row r="786">
      <x:c r="A786" t="n">
        <x:v>500783</x:v>
      </x:c>
      <x:c r="B786" s="24" t="n">
        <x:v>45830</x:v>
      </x:c>
      <x:c r="C786" t="n">
        <x:v>1063</x:v>
      </x:c>
      <x:c r="D786" t="str">
        <x:v>Seller 1063</x:v>
      </x:c>
      <x:c r="E786" t="str">
        <x:v>Bronze</x:v>
      </x:c>
      <x:c r="F786" t="str">
        <x:v>West</x:v>
      </x:c>
      <x:c r="G786" t="str">
        <x:v>Pet Supplies</x:v>
      </x:c>
      <x:c r="H786" t="n">
        <x:v>1</x:v>
      </x:c>
      <x:c r="I786" s="26" t="n">
        <x:v>3304.2</x:v>
      </x:c>
      <x:c r="J786" s="26" t="n">
        <x:v>1885.2</x:v>
      </x:c>
      <x:c r="K786" s="28" t="n">
        <x:v>0.1362</x:v>
      </x:c>
      <x:c r="L786" s="26" t="n">
        <x:v>256.76</x:v>
      </x:c>
      <x:c r="M786" t="n">
        <x:v>0</x:v>
      </x:c>
      <x:c r="N786" s="26" t="n">
        <x:v>0</x:v>
      </x:c>
      <x:c r="O786" s="26" t="n">
        <x:v>34.88</x:v>
      </x:c>
      <x:c r="P786" s="26" t="n">
        <x:v>8.48</x:v>
      </x:c>
      <x:c r="Q786" s="26" t="n">
        <x:v>16.02</x:v>
      </x:c>
      <x:c r="R786" s="26" t="n">
        <x:v>19.79</x:v>
      </x:c>
      <x:c r="S786" s="26" t="n">
        <x:v>177.59</x:v>
      </x:c>
    </x:row>
    <x:row r="787">
      <x:c r="A787" t="n">
        <x:v>500784</x:v>
      </x:c>
      <x:c r="B787" s="24" t="n">
        <x:v>45827</x:v>
      </x:c>
      <x:c r="C787" t="n">
        <x:v>1076</x:v>
      </x:c>
      <x:c r="D787" t="str">
        <x:v>Seller 1076</x:v>
      </x:c>
      <x:c r="E787" t="str">
        <x:v>Bronze</x:v>
      </x:c>
      <x:c r="F787" t="str">
        <x:v>Central</x:v>
      </x:c>
      <x:c r="G787" t="str">
        <x:v>Pet Supplies</x:v>
      </x:c>
      <x:c r="H787" t="n">
        <x:v>4</x:v>
      </x:c>
      <x:c r="I787" s="26" t="n">
        <x:v>480</x:v>
      </x:c>
      <x:c r="J787" s="26" t="n">
        <x:v>1095.6</x:v>
      </x:c>
      <x:c r="K787" s="28" t="n">
        <x:v>0.1216</x:v>
      </x:c>
      <x:c r="L787" s="26" t="n">
        <x:v>133.22</x:v>
      </x:c>
      <x:c r="M787" t="n">
        <x:v>0</x:v>
      </x:c>
      <x:c r="N787" s="26" t="n">
        <x:v>0</x:v>
      </x:c>
      <x:c r="O787" s="26" t="n">
        <x:v>20.27</x:v>
      </x:c>
      <x:c r="P787" s="26" t="n">
        <x:v>4.93</x:v>
      </x:c>
      <x:c r="Q787" s="26" t="n">
        <x:v>9.31</x:v>
      </x:c>
      <x:c r="R787" s="26" t="n">
        <x:v>11.5</x:v>
      </x:c>
      <x:c r="S787" s="26" t="n">
        <x:v>87.21</x:v>
      </x:c>
    </x:row>
    <x:row r="788">
      <x:c r="A788" t="n">
        <x:v>500785</x:v>
      </x:c>
      <x:c r="B788" s="24" t="n">
        <x:v>45816</x:v>
      </x:c>
      <x:c r="C788" t="n">
        <x:v>1052</x:v>
      </x:c>
      <x:c r="D788" t="str">
        <x:v>Seller 1052</x:v>
      </x:c>
      <x:c r="E788" t="str">
        <x:v>Silver</x:v>
      </x:c>
      <x:c r="F788" t="str">
        <x:v>Central</x:v>
      </x:c>
      <x:c r="G788" t="str">
        <x:v>Pet Supplies</x:v>
      </x:c>
      <x:c r="H788" t="n">
        <x:v>3</x:v>
      </x:c>
      <x:c r="I788" s="26" t="n">
        <x:v>699</x:v>
      </x:c>
      <x:c r="J788" s="26" t="n">
        <x:v>1697.4</x:v>
      </x:c>
      <x:c r="K788" s="28" t="n">
        <x:v>0.1267</x:v>
      </x:c>
      <x:c r="L788" s="26" t="n">
        <x:v>215.06</x:v>
      </x:c>
      <x:c r="M788" t="n">
        <x:v>0</x:v>
      </x:c>
      <x:c r="N788" s="26" t="n">
        <x:v>0</x:v>
      </x:c>
      <x:c r="O788" s="26" t="n">
        <x:v>31.4</x:v>
      </x:c>
      <x:c r="P788" s="26" t="n">
        <x:v>7.64</x:v>
      </x:c>
      <x:c r="Q788" s="26" t="n">
        <x:v>14.43</x:v>
      </x:c>
      <x:c r="R788" s="26" t="n">
        <x:v>17.82</x:v>
      </x:c>
      <x:c r="S788" s="26" t="n">
        <x:v>143.77</x:v>
      </x:c>
    </x:row>
    <x:row r="789">
      <x:c r="A789" t="n">
        <x:v>500786</x:v>
      </x:c>
      <x:c r="B789" s="24" t="n">
        <x:v>45822</x:v>
      </x:c>
      <x:c r="C789" t="n">
        <x:v>1052</x:v>
      </x:c>
      <x:c r="D789" t="str">
        <x:v>Seller 1052</x:v>
      </x:c>
      <x:c r="E789" t="str">
        <x:v>Silver</x:v>
      </x:c>
      <x:c r="F789" t="str">
        <x:v>Central</x:v>
      </x:c>
      <x:c r="G789" t="str">
        <x:v>Pet Supplies</x:v>
      </x:c>
      <x:c r="H789" t="n">
        <x:v>1</x:v>
      </x:c>
      <x:c r="I789" s="26" t="n">
        <x:v>2590.8</x:v>
      </x:c>
      <x:c r="J789" s="26" t="n">
        <x:v>2098.2</x:v>
      </x:c>
      <x:c r="K789" s="28" t="n">
        <x:v>0.1437</x:v>
      </x:c>
      <x:c r="L789" s="26" t="n">
        <x:v>301.51</x:v>
      </x:c>
      <x:c r="M789" t="n">
        <x:v>0</x:v>
      </x:c>
      <x:c r="N789" s="26" t="n">
        <x:v>0</x:v>
      </x:c>
      <x:c r="O789" s="26" t="n">
        <x:v>38.82</x:v>
      </x:c>
      <x:c r="P789" s="26" t="n">
        <x:v>9.44</x:v>
      </x:c>
      <x:c r="Q789" s="26" t="n">
        <x:v>17.83</x:v>
      </x:c>
      <x:c r="R789" s="26" t="n">
        <x:v>22.03</x:v>
      </x:c>
      <x:c r="S789" s="26" t="n">
        <x:v>213.39</x:v>
      </x:c>
    </x:row>
    <x:row r="790">
      <x:c r="A790" t="n">
        <x:v>500787</x:v>
      </x:c>
      <x:c r="B790" s="24" t="n">
        <x:v>45834</x:v>
      </x:c>
      <x:c r="C790" t="n">
        <x:v>1014</x:v>
      </x:c>
      <x:c r="D790" t="str">
        <x:v>Seller 1014</x:v>
      </x:c>
      <x:c r="E790" t="str">
        <x:v>Gold</x:v>
      </x:c>
      <x:c r="F790" t="str">
        <x:v>East</x:v>
      </x:c>
      <x:c r="G790" t="str">
        <x:v>Apparel</x:v>
      </x:c>
      <x:c r="H790" t="n">
        <x:v>1</x:v>
      </x:c>
      <x:c r="I790" s="26" t="n">
        <x:v>3855</x:v>
      </x:c>
      <x:c r="J790" s="26" t="n">
        <x:v>4080</x:v>
      </x:c>
      <x:c r="K790" s="28" t="n">
        <x:v>0.1306</x:v>
      </x:c>
      <x:c r="L790" s="26" t="n">
        <x:v>532.85</x:v>
      </x:c>
      <x:c r="M790" t="n">
        <x:v>0</x:v>
      </x:c>
      <x:c r="N790" s="26" t="n">
        <x:v>0</x:v>
      </x:c>
      <x:c r="O790" s="26" t="n">
        <x:v>75.48</x:v>
      </x:c>
      <x:c r="P790" s="26" t="n">
        <x:v>18.36</x:v>
      </x:c>
      <x:c r="Q790" s="26" t="n">
        <x:v>34.68</x:v>
      </x:c>
      <x:c r="R790" s="26" t="n">
        <x:v>42.84</x:v>
      </x:c>
      <x:c r="S790" s="26" t="n">
        <x:v>361.49</x:v>
      </x:c>
    </x:row>
    <x:row r="791">
      <x:c r="A791" t="n">
        <x:v>500788</x:v>
      </x:c>
      <x:c r="B791" s="24" t="n">
        <x:v>45827</x:v>
      </x:c>
      <x:c r="C791" t="n">
        <x:v>1009</x:v>
      </x:c>
      <x:c r="D791" t="str">
        <x:v>Seller 1009</x:v>
      </x:c>
      <x:c r="E791" t="str">
        <x:v>Platinum</x:v>
      </x:c>
      <x:c r="F791" t="str">
        <x:v>Central</x:v>
      </x:c>
      <x:c r="G791" t="str">
        <x:v>Pet Supplies</x:v>
      </x:c>
      <x:c r="H791" t="n">
        <x:v>3</x:v>
      </x:c>
      <x:c r="I791" s="26" t="n">
        <x:v>1066.2</x:v>
      </x:c>
      <x:c r="J791" s="26" t="n">
        <x:v>4563</x:v>
      </x:c>
      <x:c r="K791" s="28" t="n">
        <x:v>0.1345</x:v>
      </x:c>
      <x:c r="L791" s="26" t="n">
        <x:v>613.72</x:v>
      </x:c>
      <x:c r="M791" t="n">
        <x:v>0</x:v>
      </x:c>
      <x:c r="N791" s="26" t="n">
        <x:v>0</x:v>
      </x:c>
      <x:c r="O791" s="26" t="n">
        <x:v>84.42</x:v>
      </x:c>
      <x:c r="P791" s="26" t="n">
        <x:v>20.53</x:v>
      </x:c>
      <x:c r="Q791" s="26" t="n">
        <x:v>38.79</x:v>
      </x:c>
      <x:c r="R791" s="26" t="n">
        <x:v>47.91</x:v>
      </x:c>
      <x:c r="S791" s="26" t="n">
        <x:v>422.08</x:v>
      </x:c>
    </x:row>
    <x:row r="792">
      <x:c r="A792" t="n">
        <x:v>500789</x:v>
      </x:c>
      <x:c r="B792" s="24" t="n">
        <x:v>45823</x:v>
      </x:c>
      <x:c r="C792" t="n">
        <x:v>1013</x:v>
      </x:c>
      <x:c r="D792" t="str">
        <x:v>Seller 1013</x:v>
      </x:c>
      <x:c r="E792" t="str">
        <x:v>Gold</x:v>
      </x:c>
      <x:c r="F792" t="str">
        <x:v>West</x:v>
      </x:c>
      <x:c r="G792" t="str">
        <x:v>Pet Supplies</x:v>
      </x:c>
      <x:c r="H792" t="n">
        <x:v>2</x:v>
      </x:c>
      <x:c r="I792" s="26" t="n">
        <x:v>1133.4</x:v>
      </x:c>
      <x:c r="J792" s="26" t="n">
        <x:v>2399.4</x:v>
      </x:c>
      <x:c r="K792" s="28" t="n">
        <x:v>0.139</x:v>
      </x:c>
      <x:c r="L792" s="26" t="n">
        <x:v>333.52</x:v>
      </x:c>
      <x:c r="M792" t="n">
        <x:v>0</x:v>
      </x:c>
      <x:c r="N792" s="26" t="n">
        <x:v>0</x:v>
      </x:c>
      <x:c r="O792" s="26" t="n">
        <x:v>44.39</x:v>
      </x:c>
      <x:c r="P792" s="26" t="n">
        <x:v>10.8</x:v>
      </x:c>
      <x:c r="Q792" s="26" t="n">
        <x:v>20.39</x:v>
      </x:c>
      <x:c r="R792" s="26" t="n">
        <x:v>25.19</x:v>
      </x:c>
      <x:c r="S792" s="26" t="n">
        <x:v>232.74</x:v>
      </x:c>
    </x:row>
    <x:row r="793">
      <x:c r="A793" t="n">
        <x:v>500790</x:v>
      </x:c>
      <x:c r="B793" s="24" t="n">
        <x:v>45837</x:v>
      </x:c>
      <x:c r="C793" t="n">
        <x:v>1065</x:v>
      </x:c>
      <x:c r="D793" t="str">
        <x:v>Seller 1065</x:v>
      </x:c>
      <x:c r="E793" t="str">
        <x:v>Bronze</x:v>
      </x:c>
      <x:c r="F793" t="str">
        <x:v>South</x:v>
      </x:c>
      <x:c r="G793" t="str">
        <x:v>Home &amp; Kitchen</x:v>
      </x:c>
      <x:c r="H793" t="n">
        <x:v>1</x:v>
      </x:c>
      <x:c r="I793" s="26" t="n">
        <x:v>5569.2</x:v>
      </x:c>
      <x:c r="J793" s="26" t="n">
        <x:v>3177.6</x:v>
      </x:c>
      <x:c r="K793" s="28" t="n">
        <x:v>0.1361</x:v>
      </x:c>
      <x:c r="L793" s="26" t="n">
        <x:v>432.47</x:v>
      </x:c>
      <x:c r="M793" t="n">
        <x:v>1</x:v>
      </x:c>
      <x:c r="N793" s="26" t="n">
        <x:v>2363.4</x:v>
      </x:c>
      <x:c r="O793" s="26" t="n">
        <x:v>58.79</x:v>
      </x:c>
      <x:c r="P793" s="26" t="n">
        <x:v>14.3</x:v>
      </x:c>
      <x:c r="Q793" s="26" t="n">
        <x:v>27.01</x:v>
      </x:c>
      <x:c r="R793" s="26" t="n">
        <x:v>33.36</x:v>
      </x:c>
      <x:c r="S793" s="26" t="n">
        <x:v>251.74</x:v>
      </x:c>
    </x:row>
    <x:row r="794">
      <x:c r="A794" t="n">
        <x:v>500791</x:v>
      </x:c>
      <x:c r="B794" s="24" t="n">
        <x:v>45835</x:v>
      </x:c>
      <x:c r="C794" t="n">
        <x:v>1016</x:v>
      </x:c>
      <x:c r="D794" t="str">
        <x:v>Seller 1016</x:v>
      </x:c>
      <x:c r="E794" t="str">
        <x:v>Gold</x:v>
      </x:c>
      <x:c r="F794" t="str">
        <x:v>West</x:v>
      </x:c>
      <x:c r="G794" t="str">
        <x:v>Sports</x:v>
      </x:c>
      <x:c r="H794" t="n">
        <x:v>2</x:v>
      </x:c>
      <x:c r="I794" s="26" t="n">
        <x:v>2605.8</x:v>
      </x:c>
      <x:c r="J794" s="26" t="n">
        <x:v>5515.8</x:v>
      </x:c>
      <x:c r="K794" s="28" t="n">
        <x:v>0.127</x:v>
      </x:c>
      <x:c r="L794" s="26" t="n">
        <x:v>700.51</x:v>
      </x:c>
      <x:c r="M794" t="n">
        <x:v>0</x:v>
      </x:c>
      <x:c r="N794" s="26" t="n">
        <x:v>0</x:v>
      </x:c>
      <x:c r="O794" s="26" t="n">
        <x:v>102.04</x:v>
      </x:c>
      <x:c r="P794" s="26" t="n">
        <x:v>24.82</x:v>
      </x:c>
      <x:c r="Q794" s="26" t="n">
        <x:v>46.88</x:v>
      </x:c>
      <x:c r="R794" s="26" t="n">
        <x:v>57.92</x:v>
      </x:c>
      <x:c r="S794" s="26" t="n">
        <x:v>468.84</x:v>
      </x:c>
    </x:row>
    <x:row r="795">
      <x:c r="A795" t="n">
        <x:v>500792</x:v>
      </x:c>
      <x:c r="B795" s="24" t="n">
        <x:v>45829</x:v>
      </x:c>
      <x:c r="C795" t="n">
        <x:v>1039</x:v>
      </x:c>
      <x:c r="D795" t="str">
        <x:v>Seller 1039</x:v>
      </x:c>
      <x:c r="E795" t="str">
        <x:v>Silver</x:v>
      </x:c>
      <x:c r="F795" t="str">
        <x:v>East</x:v>
      </x:c>
      <x:c r="G795" t="str">
        <x:v>Home &amp; Kitchen</x:v>
      </x:c>
      <x:c r="H795" t="n">
        <x:v>2</x:v>
      </x:c>
      <x:c r="I795" s="26" t="n">
        <x:v>2471.3999999999996</x:v>
      </x:c>
      <x:c r="J795" s="26" t="n">
        <x:v>4002.6</x:v>
      </x:c>
      <x:c r="K795" s="28" t="n">
        <x:v>0.1402</x:v>
      </x:c>
      <x:c r="L795" s="26" t="n">
        <x:v>561.16</x:v>
      </x:c>
      <x:c r="M795" t="n">
        <x:v>0</x:v>
      </x:c>
      <x:c r="N795" s="26" t="n">
        <x:v>0</x:v>
      </x:c>
      <x:c r="O795" s="26" t="n">
        <x:v>74.05</x:v>
      </x:c>
      <x:c r="P795" s="26" t="n">
        <x:v>18.01</x:v>
      </x:c>
      <x:c r="Q795" s="26" t="n">
        <x:v>34.02</x:v>
      </x:c>
      <x:c r="R795" s="26" t="n">
        <x:v>42.03</x:v>
      </x:c>
      <x:c r="S795" s="26" t="n">
        <x:v>393.06</x:v>
      </x:c>
    </x:row>
    <x:row r="796">
      <x:c r="A796" t="n">
        <x:v>500793</x:v>
      </x:c>
      <x:c r="B796" s="24" t="n">
        <x:v>45820</x:v>
      </x:c>
      <x:c r="C796" t="n">
        <x:v>1063</x:v>
      </x:c>
      <x:c r="D796" t="str">
        <x:v>Seller 1063</x:v>
      </x:c>
      <x:c r="E796" t="str">
        <x:v>Bronze</x:v>
      </x:c>
      <x:c r="F796" t="str">
        <x:v>West</x:v>
      </x:c>
      <x:c r="G796" t="str">
        <x:v>Pet Supplies</x:v>
      </x:c>
      <x:c r="H796" t="n">
        <x:v>2</x:v>
      </x:c>
      <x:c r="I796" s="26" t="n">
        <x:v>1261.2</x:v>
      </x:c>
      <x:c r="J796" s="26" t="n">
        <x:v>1439.4</x:v>
      </x:c>
      <x:c r="K796" s="28" t="n">
        <x:v>0.1314</x:v>
      </x:c>
      <x:c r="L796" s="26" t="n">
        <x:v>189.14</x:v>
      </x:c>
      <x:c r="M796" t="n">
        <x:v>0</x:v>
      </x:c>
      <x:c r="N796" s="26" t="n">
        <x:v>0</x:v>
      </x:c>
      <x:c r="O796" s="26" t="n">
        <x:v>26.63</x:v>
      </x:c>
      <x:c r="P796" s="26" t="n">
        <x:v>6.48</x:v>
      </x:c>
      <x:c r="Q796" s="26" t="n">
        <x:v>12.23</x:v>
      </x:c>
      <x:c r="R796" s="26" t="n">
        <x:v>15.11</x:v>
      </x:c>
      <x:c r="S796" s="26" t="n">
        <x:v>128.68</x:v>
      </x:c>
    </x:row>
    <x:row r="797">
      <x:c r="A797" t="n">
        <x:v>500794</x:v>
      </x:c>
      <x:c r="B797" s="24" t="n">
        <x:v>45808</x:v>
      </x:c>
      <x:c r="C797" t="n">
        <x:v>1034</x:v>
      </x:c>
      <x:c r="D797" t="str">
        <x:v>Seller 1034</x:v>
      </x:c>
      <x:c r="E797" t="str">
        <x:v>Silver</x:v>
      </x:c>
      <x:c r="F797" t="str">
        <x:v>Central</x:v>
      </x:c>
      <x:c r="G797" t="str">
        <x:v>Sports</x:v>
      </x:c>
      <x:c r="H797" t="n">
        <x:v>3</x:v>
      </x:c>
      <x:c r="I797" s="26" t="n">
        <x:v>1428</x:v>
      </x:c>
      <x:c r="J797" s="26" t="n">
        <x:v>3469.8</x:v>
      </x:c>
      <x:c r="K797" s="28" t="n">
        <x:v>0.1245</x:v>
      </x:c>
      <x:c r="L797" s="26" t="n">
        <x:v>431.99</x:v>
      </x:c>
      <x:c r="M797" t="n">
        <x:v>0</x:v>
      </x:c>
      <x:c r="N797" s="26" t="n">
        <x:v>0</x:v>
      </x:c>
      <x:c r="O797" s="26" t="n">
        <x:v>64.19</x:v>
      </x:c>
      <x:c r="P797" s="26" t="n">
        <x:v>15.61</x:v>
      </x:c>
      <x:c r="Q797" s="26" t="n">
        <x:v>29.49</x:v>
      </x:c>
      <x:c r="R797" s="26" t="n">
        <x:v>36.43</x:v>
      </x:c>
      <x:c r="S797" s="26" t="n">
        <x:v>286.26</x:v>
      </x:c>
    </x:row>
    <x:row r="798">
      <x:c r="A798" t="n">
        <x:v>500795</x:v>
      </x:c>
      <x:c r="B798" s="24" t="n">
        <x:v>45818</x:v>
      </x:c>
      <x:c r="C798" t="n">
        <x:v>1076</x:v>
      </x:c>
      <x:c r="D798" t="str">
        <x:v>Seller 1076</x:v>
      </x:c>
      <x:c r="E798" t="str">
        <x:v>Bronze</x:v>
      </x:c>
      <x:c r="F798" t="str">
        <x:v>Central</x:v>
      </x:c>
      <x:c r="G798" t="str">
        <x:v>Home &amp; Kitchen</x:v>
      </x:c>
      <x:c r="H798" t="n">
        <x:v>3</x:v>
      </x:c>
      <x:c r="I798" s="26" t="n">
        <x:v>1328.4</x:v>
      </x:c>
      <x:c r="J798" s="26" t="n">
        <x:v>2274</x:v>
      </x:c>
      <x:c r="K798" s="28" t="n">
        <x:v>0.1408</x:v>
      </x:c>
      <x:c r="L798" s="26" t="n">
        <x:v>320.18</x:v>
      </x:c>
      <x:c r="M798" t="n">
        <x:v>0</x:v>
      </x:c>
      <x:c r="N798" s="26" t="n">
        <x:v>0</x:v>
      </x:c>
      <x:c r="O798" s="26" t="n">
        <x:v>42.07</x:v>
      </x:c>
      <x:c r="P798" s="26" t="n">
        <x:v>10.23</x:v>
      </x:c>
      <x:c r="Q798" s="26" t="n">
        <x:v>19.33</x:v>
      </x:c>
      <x:c r="R798" s="26" t="n">
        <x:v>23.88</x:v>
      </x:c>
      <x:c r="S798" s="26" t="n">
        <x:v>224.67</x:v>
      </x:c>
    </x:row>
    <x:row r="799">
      <x:c r="A799" t="n">
        <x:v>500796</x:v>
      </x:c>
      <x:c r="B799" s="24" t="n">
        <x:v>45828</x:v>
      </x:c>
      <x:c r="C799" t="n">
        <x:v>1049</x:v>
      </x:c>
      <x:c r="D799" t="str">
        <x:v>Seller 1049</x:v>
      </x:c>
      <x:c r="E799" t="str">
        <x:v>Silver</x:v>
      </x:c>
      <x:c r="F799" t="str">
        <x:v>West</x:v>
      </x:c>
      <x:c r="G799" t="str">
        <x:v>Home &amp; Kitchen</x:v>
      </x:c>
      <x:c r="H799" t="n">
        <x:v>2</x:v>
      </x:c>
      <x:c r="I799" s="26" t="n">
        <x:v>2766</x:v>
      </x:c>
      <x:c r="J799" s="26" t="n">
        <x:v>4480.2</x:v>
      </x:c>
      <x:c r="K799" s="28" t="n">
        <x:v>0.1314</x:v>
      </x:c>
      <x:c r="L799" s="26" t="n">
        <x:v>588.7</x:v>
      </x:c>
      <x:c r="M799" t="n">
        <x:v>0</x:v>
      </x:c>
      <x:c r="N799" s="26" t="n">
        <x:v>0</x:v>
      </x:c>
      <x:c r="O799" s="26" t="n">
        <x:v>82.88</x:v>
      </x:c>
      <x:c r="P799" s="26" t="n">
        <x:v>20.16</x:v>
      </x:c>
      <x:c r="Q799" s="26" t="n">
        <x:v>38.08</x:v>
      </x:c>
      <x:c r="R799" s="26" t="n">
        <x:v>47.04</x:v>
      </x:c>
      <x:c r="S799" s="26" t="n">
        <x:v>400.53</x:v>
      </x:c>
    </x:row>
    <x:row r="800">
      <x:c r="A800" t="n">
        <x:v>500797</x:v>
      </x:c>
      <x:c r="B800" s="24" t="n">
        <x:v>45822</x:v>
      </x:c>
      <x:c r="C800" t="n">
        <x:v>1040</x:v>
      </x:c>
      <x:c r="D800" t="str">
        <x:v>Seller 1040</x:v>
      </x:c>
      <x:c r="E800" t="str">
        <x:v>Silver</x:v>
      </x:c>
      <x:c r="F800" t="str">
        <x:v>West</x:v>
      </x:c>
      <x:c r="G800" t="str">
        <x:v>Pet Supplies</x:v>
      </x:c>
      <x:c r="H800" t="n">
        <x:v>2</x:v>
      </x:c>
      <x:c r="I800" s="26" t="n">
        <x:v>1510.8</x:v>
      </x:c>
      <x:c r="J800" s="26" t="n">
        <x:v>2447.4</x:v>
      </x:c>
      <x:c r="K800" s="28" t="n">
        <x:v>0.1273</x:v>
      </x:c>
      <x:c r="L800" s="26" t="n">
        <x:v>311.55</x:v>
      </x:c>
      <x:c r="M800" t="n">
        <x:v>1</x:v>
      </x:c>
      <x:c r="N800" s="26" t="n">
        <x:v>1705.2</x:v>
      </x:c>
      <x:c r="O800" s="26" t="n">
        <x:v>45.28</x:v>
      </x:c>
      <x:c r="P800" s="26" t="n">
        <x:v>11.01</x:v>
      </x:c>
      <x:c r="Q800" s="26" t="n">
        <x:v>20.8</x:v>
      </x:c>
      <x:c r="R800" s="26" t="n">
        <x:v>25.7</x:v>
      </x:c>
      <x:c r="S800" s="26" t="n">
        <x:v>174.66</x:v>
      </x:c>
    </x:row>
    <x:row r="801">
      <x:c r="A801" t="n">
        <x:v>500798</x:v>
      </x:c>
      <x:c r="B801" s="24" t="n">
        <x:v>45820</x:v>
      </x:c>
      <x:c r="C801" t="n">
        <x:v>1055</x:v>
      </x:c>
      <x:c r="D801" t="str">
        <x:v>Seller 1055</x:v>
      </x:c>
      <x:c r="E801" t="str">
        <x:v>Bronze</x:v>
      </x:c>
      <x:c r="F801" t="str">
        <x:v>Central</x:v>
      </x:c>
      <x:c r="G801" t="str">
        <x:v>Pet Supplies</x:v>
      </x:c>
      <x:c r="H801" t="n">
        <x:v>3</x:v>
      </x:c>
      <x:c r="I801" s="26" t="n">
        <x:v>925.8</x:v>
      </x:c>
      <x:c r="J801" s="26" t="n">
        <x:v>1584.6</x:v>
      </x:c>
      <x:c r="K801" s="28" t="n">
        <x:v>0.1367</x:v>
      </x:c>
      <x:c r="L801" s="26" t="n">
        <x:v>216.61</x:v>
      </x:c>
      <x:c r="M801" t="n">
        <x:v>0</x:v>
      </x:c>
      <x:c r="N801" s="26" t="n">
        <x:v>0</x:v>
      </x:c>
      <x:c r="O801" s="26" t="n">
        <x:v>29.32</x:v>
      </x:c>
      <x:c r="P801" s="26" t="n">
        <x:v>7.13</x:v>
      </x:c>
      <x:c r="Q801" s="26" t="n">
        <x:v>13.47</x:v>
      </x:c>
      <x:c r="R801" s="26" t="n">
        <x:v>16.64</x:v>
      </x:c>
      <x:c r="S801" s="26" t="n">
        <x:v>150.06</x:v>
      </x:c>
    </x:row>
    <x:row r="802">
      <x:c r="A802" t="n">
        <x:v>500799</x:v>
      </x:c>
      <x:c r="B802" s="24" t="n">
        <x:v>45824</x:v>
      </x:c>
      <x:c r="C802" t="n">
        <x:v>1074</x:v>
      </x:c>
      <x:c r="D802" t="str">
        <x:v>Seller 1074</x:v>
      </x:c>
      <x:c r="E802" t="str">
        <x:v>Bronze</x:v>
      </x:c>
      <x:c r="F802" t="str">
        <x:v>East</x:v>
      </x:c>
      <x:c r="G802" t="str">
        <x:v>Electronics</x:v>
      </x:c>
      <x:c r="H802" t="n">
        <x:v>1</x:v>
      </x:c>
      <x:c r="I802" s="26" t="n">
        <x:v>8143.2</x:v>
      </x:c>
      <x:c r="J802" s="26" t="n">
        <x:v>4646.4</x:v>
      </x:c>
      <x:c r="K802" s="28" t="n">
        <x:v>0.1154</x:v>
      </x:c>
      <x:c r="L802" s="26" t="n">
        <x:v>536.19</x:v>
      </x:c>
      <x:c r="M802" t="n">
        <x:v>0</x:v>
      </x:c>
      <x:c r="N802" s="26" t="n">
        <x:v>0</x:v>
      </x:c>
      <x:c r="O802" s="26" t="n">
        <x:v>85.96</x:v>
      </x:c>
      <x:c r="P802" s="26" t="n">
        <x:v>20.91</x:v>
      </x:c>
      <x:c r="Q802" s="26" t="n">
        <x:v>39.49</x:v>
      </x:c>
      <x:c r="R802" s="26" t="n">
        <x:v>48.79</x:v>
      </x:c>
      <x:c r="S802" s="26" t="n">
        <x:v>341.05</x:v>
      </x:c>
    </x:row>
    <x:row r="803">
      <x:c r="A803" t="n">
        <x:v>500800</x:v>
      </x:c>
      <x:c r="B803" s="24" t="n">
        <x:v>45810</x:v>
      </x:c>
      <x:c r="C803" t="n">
        <x:v>1044</x:v>
      </x:c>
      <x:c r="D803" t="str">
        <x:v>Seller 1044</x:v>
      </x:c>
      <x:c r="E803" t="str">
        <x:v>Silver</x:v>
      </x:c>
      <x:c r="F803" t="str">
        <x:v>East</x:v>
      </x:c>
      <x:c r="G803" t="str">
        <x:v>Pet Supplies</x:v>
      </x:c>
      <x:c r="H803" t="n">
        <x:v>1</x:v>
      </x:c>
      <x:c r="I803" s="26" t="n">
        <x:v>3747.6</x:v>
      </x:c>
      <x:c r="J803" s="26" t="n">
        <x:v>3034.8</x:v>
      </x:c>
      <x:c r="K803" s="28" t="n">
        <x:v>0.1248</x:v>
      </x:c>
      <x:c r="L803" s="26" t="n">
        <x:v>378.74</x:v>
      </x:c>
      <x:c r="M803" t="n">
        <x:v>0</x:v>
      </x:c>
      <x:c r="N803" s="26" t="n">
        <x:v>0</x:v>
      </x:c>
      <x:c r="O803" s="26" t="n">
        <x:v>56.14</x:v>
      </x:c>
      <x:c r="P803" s="26" t="n">
        <x:v>13.66</x:v>
      </x:c>
      <x:c r="Q803" s="26" t="n">
        <x:v>25.8</x:v>
      </x:c>
      <x:c r="R803" s="26" t="n">
        <x:v>31.87</x:v>
      </x:c>
      <x:c r="S803" s="26" t="n">
        <x:v>251.28</x:v>
      </x:c>
    </x:row>
    <x:row r="804">
      <x:c r="A804" t="n">
        <x:v>500801</x:v>
      </x:c>
      <x:c r="B804" s="24" t="n">
        <x:v>45810</x:v>
      </x:c>
      <x:c r="C804" t="n">
        <x:v>1069</x:v>
      </x:c>
      <x:c r="D804" t="str">
        <x:v>Seller 1069</x:v>
      </x:c>
      <x:c r="E804" t="str">
        <x:v>Bronze</x:v>
      </x:c>
      <x:c r="F804" t="str">
        <x:v>East</x:v>
      </x:c>
      <x:c r="G804" t="str">
        <x:v>Electronics</x:v>
      </x:c>
      <x:c r="H804" t="n">
        <x:v>2</x:v>
      </x:c>
      <x:c r="I804" s="26" t="n">
        <x:v>4932</x:v>
      </x:c>
      <x:c r="J804" s="26" t="n">
        <x:v>5628.6</x:v>
      </x:c>
      <x:c r="K804" s="28" t="n">
        <x:v>0.1268</x:v>
      </x:c>
      <x:c r="L804" s="26" t="n">
        <x:v>713.71</x:v>
      </x:c>
      <x:c r="M804" t="n">
        <x:v>0</x:v>
      </x:c>
      <x:c r="N804" s="26" t="n">
        <x:v>0</x:v>
      </x:c>
      <x:c r="O804" s="26" t="n">
        <x:v>104.13</x:v>
      </x:c>
      <x:c r="P804" s="26" t="n">
        <x:v>25.33</x:v>
      </x:c>
      <x:c r="Q804" s="26" t="n">
        <x:v>47.84</x:v>
      </x:c>
      <x:c r="R804" s="26" t="n">
        <x:v>59.1</x:v>
      </x:c>
      <x:c r="S804" s="26" t="n">
        <x:v>477.31</x:v>
      </x:c>
    </x:row>
    <x:row r="805">
      <x:c r="A805" t="n">
        <x:v>500802</x:v>
      </x:c>
      <x:c r="B805" s="24" t="n">
        <x:v>45833</x:v>
      </x:c>
      <x:c r="C805" t="n">
        <x:v>1075</x:v>
      </x:c>
      <x:c r="D805" t="str">
        <x:v>Seller 1075</x:v>
      </x:c>
      <x:c r="E805" t="str">
        <x:v>Bronze</x:v>
      </x:c>
      <x:c r="F805" t="str">
        <x:v>East</x:v>
      </x:c>
      <x:c r="G805" t="str">
        <x:v>Electronics</x:v>
      </x:c>
      <x:c r="H805" t="n">
        <x:v>2</x:v>
      </x:c>
      <x:c r="I805" s="26" t="n">
        <x:v>4572</x:v>
      </x:c>
      <x:c r="J805" s="26" t="n">
        <x:v>5217.6</x:v>
      </x:c>
      <x:c r="K805" s="28" t="n">
        <x:v>0.1322</x:v>
      </x:c>
      <x:c r="L805" s="26" t="n">
        <x:v>689.77</x:v>
      </x:c>
      <x:c r="M805" t="n">
        <x:v>0</x:v>
      </x:c>
      <x:c r="N805" s="26" t="n">
        <x:v>0</x:v>
      </x:c>
      <x:c r="O805" s="26" t="n">
        <x:v>96.53</x:v>
      </x:c>
      <x:c r="P805" s="26" t="n">
        <x:v>23.48</x:v>
      </x:c>
      <x:c r="Q805" s="26" t="n">
        <x:v>44.35</x:v>
      </x:c>
      <x:c r="R805" s="26" t="n">
        <x:v>54.78</x:v>
      </x:c>
      <x:c r="S805" s="26" t="n">
        <x:v>470.63</x:v>
      </x:c>
    </x:row>
    <x:row r="806">
      <x:c r="A806" t="n">
        <x:v>500803</x:v>
      </x:c>
      <x:c r="B806" s="24" t="n">
        <x:v>45820</x:v>
      </x:c>
      <x:c r="C806" t="n">
        <x:v>1010</x:v>
      </x:c>
      <x:c r="D806" t="str">
        <x:v>Seller 1010</x:v>
      </x:c>
      <x:c r="E806" t="str">
        <x:v>Platinum</x:v>
      </x:c>
      <x:c r="F806" t="str">
        <x:v>West</x:v>
      </x:c>
      <x:c r="G806" t="str">
        <x:v>Home &amp; Kitchen</x:v>
      </x:c>
      <x:c r="H806" t="n">
        <x:v>2</x:v>
      </x:c>
      <x:c r="I806" s="26" t="n">
        <x:v>3133.2</x:v>
      </x:c>
      <x:c r="J806" s="26" t="n">
        <x:v>8939.4</x:v>
      </x:c>
      <x:c r="K806" s="28" t="n">
        <x:v>0.1334</x:v>
      </x:c>
      <x:c r="L806" s="26" t="n">
        <x:v>1192.52</x:v>
      </x:c>
      <x:c r="M806" t="n">
        <x:v>0</x:v>
      </x:c>
      <x:c r="N806" s="26" t="n">
        <x:v>0</x:v>
      </x:c>
      <x:c r="O806" s="26" t="n">
        <x:v>165.38</x:v>
      </x:c>
      <x:c r="P806" s="26" t="n">
        <x:v>40.23</x:v>
      </x:c>
      <x:c r="Q806" s="26" t="n">
        <x:v>75.98</x:v>
      </x:c>
      <x:c r="R806" s="26" t="n">
        <x:v>93.86</x:v>
      </x:c>
      <x:c r="S806" s="26" t="n">
        <x:v>817.06</x:v>
      </x:c>
    </x:row>
    <x:row r="807">
      <x:c r="A807" t="n">
        <x:v>500804</x:v>
      </x:c>
      <x:c r="B807" s="24" t="n">
        <x:v>45835</x:v>
      </x:c>
      <x:c r="C807" t="n">
        <x:v>1033</x:v>
      </x:c>
      <x:c r="D807" t="str">
        <x:v>Seller 1033</x:v>
      </x:c>
      <x:c r="E807" t="str">
        <x:v>Silver</x:v>
      </x:c>
      <x:c r="F807" t="str">
        <x:v>South</x:v>
      </x:c>
      <x:c r="G807" t="str">
        <x:v>Beauty</x:v>
      </x:c>
      <x:c r="H807" t="n">
        <x:v>1</x:v>
      </x:c>
      <x:c r="I807" s="26" t="n">
        <x:v>2743.7999999999997</x:v>
      </x:c>
      <x:c r="J807" s="26" t="n">
        <x:v>2222.4</x:v>
      </x:c>
      <x:c r="K807" s="28" t="n">
        <x:v>0.1373</x:v>
      </x:c>
      <x:c r="L807" s="26" t="n">
        <x:v>305.14</x:v>
      </x:c>
      <x:c r="M807" t="n">
        <x:v>0</x:v>
      </x:c>
      <x:c r="N807" s="26" t="n">
        <x:v>0</x:v>
      </x:c>
      <x:c r="O807" s="26" t="n">
        <x:v>41.11</x:v>
      </x:c>
      <x:c r="P807" s="26" t="n">
        <x:v>10</x:v>
      </x:c>
      <x:c r="Q807" s="26" t="n">
        <x:v>18.89</x:v>
      </x:c>
      <x:c r="R807" s="26" t="n">
        <x:v>23.34</x:v>
      </x:c>
      <x:c r="S807" s="26" t="n">
        <x:v>211.79</x:v>
      </x:c>
    </x:row>
    <x:row r="808">
      <x:c r="A808" t="n">
        <x:v>500805</x:v>
      </x:c>
      <x:c r="B808" s="24" t="n">
        <x:v>45825</x:v>
      </x:c>
      <x:c r="C808" t="n">
        <x:v>1024</x:v>
      </x:c>
      <x:c r="D808" t="str">
        <x:v>Seller 1024</x:v>
      </x:c>
      <x:c r="E808" t="str">
        <x:v>Gold</x:v>
      </x:c>
      <x:c r="F808" t="str">
        <x:v>West</x:v>
      </x:c>
      <x:c r="G808" t="str">
        <x:v>Pet Supplies</x:v>
      </x:c>
      <x:c r="H808" t="n">
        <x:v>3</x:v>
      </x:c>
      <x:c r="I808" s="26" t="n">
        <x:v>1661.4</x:v>
      </x:c>
      <x:c r="J808" s="26" t="n">
        <x:v>5275.2</x:v>
      </x:c>
      <x:c r="K808" s="28" t="n">
        <x:v>0.1378</x:v>
      </x:c>
      <x:c r="L808" s="26" t="n">
        <x:v>726.92</x:v>
      </x:c>
      <x:c r="M808" t="n">
        <x:v>0</x:v>
      </x:c>
      <x:c r="N808" s="26" t="n">
        <x:v>0</x:v>
      </x:c>
      <x:c r="O808" s="26" t="n">
        <x:v>97.59</x:v>
      </x:c>
      <x:c r="P808" s="26" t="n">
        <x:v>23.74</x:v>
      </x:c>
      <x:c r="Q808" s="26" t="n">
        <x:v>44.84</x:v>
      </x:c>
      <x:c r="R808" s="26" t="n">
        <x:v>55.39</x:v>
      </x:c>
      <x:c r="S808" s="26" t="n">
        <x:v>505.36</x:v>
      </x:c>
    </x:row>
    <x:row r="809">
      <x:c r="A809" t="n">
        <x:v>500806</x:v>
      </x:c>
      <x:c r="B809" s="24" t="n">
        <x:v>45815</x:v>
      </x:c>
      <x:c r="C809" t="n">
        <x:v>1079</x:v>
      </x:c>
      <x:c r="D809" t="str">
        <x:v>Seller 1079</x:v>
      </x:c>
      <x:c r="E809" t="str">
        <x:v>Bronze</x:v>
      </x:c>
      <x:c r="F809" t="str">
        <x:v>South</x:v>
      </x:c>
      <x:c r="G809" t="str">
        <x:v>Apparel</x:v>
      </x:c>
      <x:c r="H809" t="n">
        <x:v>3</x:v>
      </x:c>
      <x:c r="I809" s="26" t="n">
        <x:v>1082.3999999999999</x:v>
      </x:c>
      <x:c r="J809" s="26" t="n">
        <x:v>1852.8</x:v>
      </x:c>
      <x:c r="K809" s="28" t="n">
        <x:v>0.1094</x:v>
      </x:c>
      <x:c r="L809" s="26" t="n">
        <x:v>202.7</x:v>
      </x:c>
      <x:c r="M809" t="n">
        <x:v>0</x:v>
      </x:c>
      <x:c r="N809" s="26" t="n">
        <x:v>0</x:v>
      </x:c>
      <x:c r="O809" s="26" t="n">
        <x:v>34.28</x:v>
      </x:c>
      <x:c r="P809" s="26" t="n">
        <x:v>8.34</x:v>
      </x:c>
      <x:c r="Q809" s="26" t="n">
        <x:v>15.75</x:v>
      </x:c>
      <x:c r="R809" s="26" t="n">
        <x:v>19.45</x:v>
      </x:c>
      <x:c r="S809" s="26" t="n">
        <x:v>124.88</x:v>
      </x:c>
    </x:row>
    <x:row r="810">
      <x:c r="A810" t="n">
        <x:v>500807</x:v>
      </x:c>
      <x:c r="B810" s="24" t="n">
        <x:v>45835</x:v>
      </x:c>
      <x:c r="C810" t="n">
        <x:v>1020</x:v>
      </x:c>
      <x:c r="D810" t="str">
        <x:v>Seller 1020</x:v>
      </x:c>
      <x:c r="E810" t="str">
        <x:v>Gold</x:v>
      </x:c>
      <x:c r="F810" t="str">
        <x:v>West</x:v>
      </x:c>
      <x:c r="G810" t="str">
        <x:v>Beauty</x:v>
      </x:c>
      <x:c r="H810" t="n">
        <x:v>3</x:v>
      </x:c>
      <x:c r="I810" s="26" t="n">
        <x:v>699.6</x:v>
      </x:c>
      <x:c r="J810" s="26" t="n">
        <x:v>2221.8</x:v>
      </x:c>
      <x:c r="K810" s="28" t="n">
        <x:v>0.1536</x:v>
      </x:c>
      <x:c r="L810" s="26" t="n">
        <x:v>341.27</x:v>
      </x:c>
      <x:c r="M810" t="n">
        <x:v>0</x:v>
      </x:c>
      <x:c r="N810" s="26" t="n">
        <x:v>0</x:v>
      </x:c>
      <x:c r="O810" s="26" t="n">
        <x:v>41.1</x:v>
      </x:c>
      <x:c r="P810" s="26" t="n">
        <x:v>10</x:v>
      </x:c>
      <x:c r="Q810" s="26" t="n">
        <x:v>18.89</x:v>
      </x:c>
      <x:c r="R810" s="26" t="n">
        <x:v>23.33</x:v>
      </x:c>
      <x:c r="S810" s="26" t="n">
        <x:v>247.95</x:v>
      </x:c>
    </x:row>
    <x:row r="811">
      <x:c r="A811" t="n">
        <x:v>500808</x:v>
      </x:c>
      <x:c r="B811" s="24" t="n">
        <x:v>45812</x:v>
      </x:c>
      <x:c r="C811" t="n">
        <x:v>1053</x:v>
      </x:c>
      <x:c r="D811" t="str">
        <x:v>Seller 1053</x:v>
      </x:c>
      <x:c r="E811" t="str">
        <x:v>Silver</x:v>
      </x:c>
      <x:c r="F811" t="str">
        <x:v>Central</x:v>
      </x:c>
      <x:c r="G811" t="str">
        <x:v>Beauty</x:v>
      </x:c>
      <x:c r="H811" t="n">
        <x:v>2</x:v>
      </x:c>
      <x:c r="I811" s="26" t="n">
        <x:v>1441.8000000000002</x:v>
      </x:c>
      <x:c r="J811" s="26" t="n">
        <x:v>2335.2</x:v>
      </x:c>
      <x:c r="K811" s="28" t="n">
        <x:v>0.1495</x:v>
      </x:c>
      <x:c r="L811" s="26" t="n">
        <x:v>349.11</x:v>
      </x:c>
      <x:c r="M811" t="n">
        <x:v>0</x:v>
      </x:c>
      <x:c r="N811" s="26" t="n">
        <x:v>0</x:v>
      </x:c>
      <x:c r="O811" s="26" t="n">
        <x:v>43.2</x:v>
      </x:c>
      <x:c r="P811" s="26" t="n">
        <x:v>10.51</x:v>
      </x:c>
      <x:c r="Q811" s="26" t="n">
        <x:v>19.85</x:v>
      </x:c>
      <x:c r="R811" s="26" t="n">
        <x:v>24.52</x:v>
      </x:c>
      <x:c r="S811" s="26" t="n">
        <x:v>251.03</x:v>
      </x:c>
    </x:row>
    <x:row r="812">
      <x:c r="A812" t="n">
        <x:v>500809</x:v>
      </x:c>
      <x:c r="B812" s="24" t="n">
        <x:v>45836</x:v>
      </x:c>
      <x:c r="C812" t="n">
        <x:v>1025</x:v>
      </x:c>
      <x:c r="D812" t="str">
        <x:v>Seller 1025</x:v>
      </x:c>
      <x:c r="E812" t="str">
        <x:v>Gold</x:v>
      </x:c>
      <x:c r="F812" t="str">
        <x:v>Central</x:v>
      </x:c>
      <x:c r="G812" t="str">
        <x:v>Pet Supplies</x:v>
      </x:c>
      <x:c r="H812" t="n">
        <x:v>2</x:v>
      </x:c>
      <x:c r="I812" s="26" t="n">
        <x:v>1354.2</x:v>
      </x:c>
      <x:c r="J812" s="26" t="n">
        <x:v>2866.2</x:v>
      </x:c>
      <x:c r="K812" s="28" t="n">
        <x:v>0.1316</x:v>
      </x:c>
      <x:c r="L812" s="26" t="n">
        <x:v>377.19</x:v>
      </x:c>
      <x:c r="M812" t="n">
        <x:v>0</x:v>
      </x:c>
      <x:c r="N812" s="26" t="n">
        <x:v>0</x:v>
      </x:c>
      <x:c r="O812" s="26" t="n">
        <x:v>53.02</x:v>
      </x:c>
      <x:c r="P812" s="26" t="n">
        <x:v>12.9</x:v>
      </x:c>
      <x:c r="Q812" s="26" t="n">
        <x:v>24.36</x:v>
      </x:c>
      <x:c r="R812" s="26" t="n">
        <x:v>30.1</x:v>
      </x:c>
      <x:c r="S812" s="26" t="n">
        <x:v>256.81</x:v>
      </x:c>
    </x:row>
    <x:row r="813">
      <x:c r="A813" t="n">
        <x:v>500810</x:v>
      </x:c>
      <x:c r="B813" s="24" t="n">
        <x:v>45828</x:v>
      </x:c>
      <x:c r="C813" t="n">
        <x:v>1005</x:v>
      </x:c>
      <x:c r="D813" t="str">
        <x:v>Seller 1005</x:v>
      </x:c>
      <x:c r="E813" t="str">
        <x:v>Platinum</x:v>
      </x:c>
      <x:c r="F813" t="str">
        <x:v>East</x:v>
      </x:c>
      <x:c r="G813" t="str">
        <x:v>Electronics</x:v>
      </x:c>
      <x:c r="H813" t="n">
        <x:v>2</x:v>
      </x:c>
      <x:c r="I813" s="26" t="n">
        <x:v>4517.400000000001</x:v>
      </x:c>
      <x:c r="J813" s="26" t="n">
        <x:v>12888.6</x:v>
      </x:c>
      <x:c r="K813" s="28" t="n">
        <x:v>0.132</x:v>
      </x:c>
      <x:c r="L813" s="26" t="n">
        <x:v>1701.3</x:v>
      </x:c>
      <x:c r="M813" t="n">
        <x:v>0</x:v>
      </x:c>
      <x:c r="N813" s="26" t="n">
        <x:v>0</x:v>
      </x:c>
      <x:c r="O813" s="26" t="n">
        <x:v>238.44</x:v>
      </x:c>
      <x:c r="P813" s="26" t="n">
        <x:v>58</x:v>
      </x:c>
      <x:c r="Q813" s="26" t="n">
        <x:v>109.55</x:v>
      </x:c>
      <x:c r="R813" s="26" t="n">
        <x:v>135.33</x:v>
      </x:c>
      <x:c r="S813" s="26" t="n">
        <x:v>1159.97</x:v>
      </x:c>
    </x:row>
    <x:row r="814">
      <x:c r="A814" t="n">
        <x:v>500811</x:v>
      </x:c>
      <x:c r="B814" s="24" t="n">
        <x:v>45810</x:v>
      </x:c>
      <x:c r="C814" t="n">
        <x:v>1006</x:v>
      </x:c>
      <x:c r="D814" t="str">
        <x:v>Seller 1006</x:v>
      </x:c>
      <x:c r="E814" t="str">
        <x:v>Platinum</x:v>
      </x:c>
      <x:c r="F814" t="str">
        <x:v>East</x:v>
      </x:c>
      <x:c r="G814" t="str">
        <x:v>Apparel</x:v>
      </x:c>
      <x:c r="H814" t="n">
        <x:v>2</x:v>
      </x:c>
      <x:c r="I814" s="26" t="n">
        <x:v>1818.6</x:v>
      </x:c>
      <x:c r="J814" s="26" t="n">
        <x:v>5188.2</x:v>
      </x:c>
      <x:c r="K814" s="28" t="n">
        <x:v>0.1295</x:v>
      </x:c>
      <x:c r="L814" s="26" t="n">
        <x:v>671.87</x:v>
      </x:c>
      <x:c r="M814" t="n">
        <x:v>0</x:v>
      </x:c>
      <x:c r="N814" s="26" t="n">
        <x:v>0</x:v>
      </x:c>
      <x:c r="O814" s="26" t="n">
        <x:v>95.98</x:v>
      </x:c>
      <x:c r="P814" s="26" t="n">
        <x:v>23.35</x:v>
      </x:c>
      <x:c r="Q814" s="26" t="n">
        <x:v>44.1</x:v>
      </x:c>
      <x:c r="R814" s="26" t="n">
        <x:v>54.48</x:v>
      </x:c>
      <x:c r="S814" s="26" t="n">
        <x:v>453.97</x:v>
      </x:c>
    </x:row>
    <x:row r="815">
      <x:c r="A815" t="n">
        <x:v>500812</x:v>
      </x:c>
      <x:c r="B815" s="24" t="n">
        <x:v>45811</x:v>
      </x:c>
      <x:c r="C815" t="n">
        <x:v>1053</x:v>
      </x:c>
      <x:c r="D815" t="str">
        <x:v>Seller 1053</x:v>
      </x:c>
      <x:c r="E815" t="str">
        <x:v>Silver</x:v>
      </x:c>
      <x:c r="F815" t="str">
        <x:v>Central</x:v>
      </x:c>
      <x:c r="G815" t="str">
        <x:v>Pet Supplies</x:v>
      </x:c>
      <x:c r="H815" t="n">
        <x:v>2</x:v>
      </x:c>
      <x:c r="I815" s="26" t="n">
        <x:v>1469.3999999999999</x:v>
      </x:c>
      <x:c r="J815" s="26" t="n">
        <x:v>2379.6</x:v>
      </x:c>
      <x:c r="K815" s="28" t="n">
        <x:v>0.1426</x:v>
      </x:c>
      <x:c r="L815" s="26" t="n">
        <x:v>339.33</x:v>
      </x:c>
      <x:c r="M815" t="n">
        <x:v>0</x:v>
      </x:c>
      <x:c r="N815" s="26" t="n">
        <x:v>0</x:v>
      </x:c>
      <x:c r="O815" s="26" t="n">
        <x:v>44.02</x:v>
      </x:c>
      <x:c r="P815" s="26" t="n">
        <x:v>10.71</x:v>
      </x:c>
      <x:c r="Q815" s="26" t="n">
        <x:v>20.23</x:v>
      </x:c>
      <x:c r="R815" s="26" t="n">
        <x:v>24.99</x:v>
      </x:c>
      <x:c r="S815" s="26" t="n">
        <x:v>239.39</x:v>
      </x:c>
    </x:row>
    <x:row r="816">
      <x:c r="A816" t="n">
        <x:v>500813</x:v>
      </x:c>
      <x:c r="B816" s="24" t="n">
        <x:v>45816</x:v>
      </x:c>
      <x:c r="C816" t="n">
        <x:v>1074</x:v>
      </x:c>
      <x:c r="D816" t="str">
        <x:v>Seller 1074</x:v>
      </x:c>
      <x:c r="E816" t="str">
        <x:v>Bronze</x:v>
      </x:c>
      <x:c r="F816" t="str">
        <x:v>East</x:v>
      </x:c>
      <x:c r="G816" t="str">
        <x:v>Electronics</x:v>
      </x:c>
      <x:c r="H816" t="n">
        <x:v>3</x:v>
      </x:c>
      <x:c r="I816" s="26" t="n">
        <x:v>2554.2</x:v>
      </x:c>
      <x:c r="J816" s="26" t="n">
        <x:v>4372.2</x:v>
      </x:c>
      <x:c r="K816" s="28" t="n">
        <x:v>0.1329</x:v>
      </x:c>
      <x:c r="L816" s="26" t="n">
        <x:v>581.07</x:v>
      </x:c>
      <x:c r="M816" t="n">
        <x:v>0</x:v>
      </x:c>
      <x:c r="N816" s="26" t="n">
        <x:v>0</x:v>
      </x:c>
      <x:c r="O816" s="26" t="n">
        <x:v>80.89</x:v>
      </x:c>
      <x:c r="P816" s="26" t="n">
        <x:v>19.67</x:v>
      </x:c>
      <x:c r="Q816" s="26" t="n">
        <x:v>37.16</x:v>
      </x:c>
      <x:c r="R816" s="26" t="n">
        <x:v>45.91</x:v>
      </x:c>
      <x:c r="S816" s="26" t="n">
        <x:v>397.43</x:v>
      </x:c>
    </x:row>
    <x:row r="817">
      <x:c r="A817" t="n">
        <x:v>500814</x:v>
      </x:c>
      <x:c r="B817" s="24" t="n">
        <x:v>45833</x:v>
      </x:c>
      <x:c r="C817" t="n">
        <x:v>1064</x:v>
      </x:c>
      <x:c r="D817" t="str">
        <x:v>Seller 1064</x:v>
      </x:c>
      <x:c r="E817" t="str">
        <x:v>Bronze</x:v>
      </x:c>
      <x:c r="F817" t="str">
        <x:v>Central</x:v>
      </x:c>
      <x:c r="G817" t="str">
        <x:v>Home &amp; Kitchen</x:v>
      </x:c>
      <x:c r="H817" t="n">
        <x:v>1</x:v>
      </x:c>
      <x:c r="I817" s="26" t="n">
        <x:v>4522.200000000001</x:v>
      </x:c>
      <x:c r="J817" s="26" t="n">
        <x:v>2580</x:v>
      </x:c>
      <x:c r="K817" s="28" t="n">
        <x:v>0.1305</x:v>
      </x:c>
      <x:c r="L817" s="26" t="n">
        <x:v>336.69</x:v>
      </x:c>
      <x:c r="M817" t="n">
        <x:v>0</x:v>
      </x:c>
      <x:c r="N817" s="26" t="n">
        <x:v>0</x:v>
      </x:c>
      <x:c r="O817" s="26" t="n">
        <x:v>47.73</x:v>
      </x:c>
      <x:c r="P817" s="26" t="n">
        <x:v>11.61</x:v>
      </x:c>
      <x:c r="Q817" s="26" t="n">
        <x:v>21.93</x:v>
      </x:c>
      <x:c r="R817" s="26" t="n">
        <x:v>27.09</x:v>
      </x:c>
      <x:c r="S817" s="26" t="n">
        <x:v>228.33</x:v>
      </x:c>
    </x:row>
    <x:row r="818">
      <x:c r="A818" t="n">
        <x:v>500815</x:v>
      </x:c>
      <x:c r="B818" s="24" t="n">
        <x:v>45826</x:v>
      </x:c>
      <x:c r="C818" t="n">
        <x:v>1031</x:v>
      </x:c>
      <x:c r="D818" t="str">
        <x:v>Seller 1031</x:v>
      </x:c>
      <x:c r="E818" t="str">
        <x:v>Silver</x:v>
      </x:c>
      <x:c r="F818" t="str">
        <x:v>West</x:v>
      </x:c>
      <x:c r="G818" t="str">
        <x:v>Home &amp; Kitchen</x:v>
      </x:c>
      <x:c r="H818" t="n">
        <x:v>2</x:v>
      </x:c>
      <x:c r="I818" s="26" t="n">
        <x:v>2652.6</x:v>
      </x:c>
      <x:c r="J818" s="26" t="n">
        <x:v>4296</x:v>
      </x:c>
      <x:c r="K818" s="28" t="n">
        <x:v>0.1463</x:v>
      </x:c>
      <x:c r="L818" s="26" t="n">
        <x:v>628.5</x:v>
      </x:c>
      <x:c r="M818" t="n">
        <x:v>0</x:v>
      </x:c>
      <x:c r="N818" s="26" t="n">
        <x:v>0</x:v>
      </x:c>
      <x:c r="O818" s="26" t="n">
        <x:v>79.48</x:v>
      </x:c>
      <x:c r="P818" s="26" t="n">
        <x:v>19.33</x:v>
      </x:c>
      <x:c r="Q818" s="26" t="n">
        <x:v>36.52</x:v>
      </x:c>
      <x:c r="R818" s="26" t="n">
        <x:v>45.11</x:v>
      </x:c>
      <x:c r="S818" s="26" t="n">
        <x:v>448.07</x:v>
      </x:c>
    </x:row>
    <x:row r="819">
      <x:c r="A819" t="n">
        <x:v>500816</x:v>
      </x:c>
      <x:c r="B819" s="24" t="n">
        <x:v>45816</x:v>
      </x:c>
      <x:c r="C819" t="n">
        <x:v>1008</x:v>
      </x:c>
      <x:c r="D819" t="str">
        <x:v>Seller 1008</x:v>
      </x:c>
      <x:c r="E819" t="str">
        <x:v>Platinum</x:v>
      </x:c>
      <x:c r="F819" t="str">
        <x:v>West</x:v>
      </x:c>
      <x:c r="G819" t="str">
        <x:v>Electronics</x:v>
      </x:c>
      <x:c r="H819" t="n">
        <x:v>1</x:v>
      </x:c>
      <x:c r="I819" s="26" t="n">
        <x:v>9901.8</x:v>
      </x:c>
      <x:c r="J819" s="26" t="n">
        <x:v>14124.6</x:v>
      </x:c>
      <x:c r="K819" s="28" t="n">
        <x:v>0.1206</x:v>
      </x:c>
      <x:c r="L819" s="26" t="n">
        <x:v>1703.43</x:v>
      </x:c>
      <x:c r="M819" t="n">
        <x:v>0</x:v>
      </x:c>
      <x:c r="N819" s="26" t="n">
        <x:v>0</x:v>
      </x:c>
      <x:c r="O819" s="26" t="n">
        <x:v>261.31</x:v>
      </x:c>
      <x:c r="P819" s="26" t="n">
        <x:v>63.56</x:v>
      </x:c>
      <x:c r="Q819" s="26" t="n">
        <x:v>120.06</x:v>
      </x:c>
      <x:c r="R819" s="26" t="n">
        <x:v>148.31</x:v>
      </x:c>
      <x:c r="S819" s="26" t="n">
        <x:v>1110.19</x:v>
      </x:c>
    </x:row>
    <x:row r="820">
      <x:c r="A820" t="n">
        <x:v>500817</x:v>
      </x:c>
      <x:c r="B820" s="24" t="n">
        <x:v>45834</x:v>
      </x:c>
      <x:c r="C820" t="n">
        <x:v>1019</x:v>
      </x:c>
      <x:c r="D820" t="str">
        <x:v>Seller 1019</x:v>
      </x:c>
      <x:c r="E820" t="str">
        <x:v>Gold</x:v>
      </x:c>
      <x:c r="F820" t="str">
        <x:v>East</x:v>
      </x:c>
      <x:c r="G820" t="str">
        <x:v>Apparel</x:v>
      </x:c>
      <x:c r="H820" t="n">
        <x:v>2</x:v>
      </x:c>
      <x:c r="I820" s="26" t="n">
        <x:v>1363.1999999999998</x:v>
      </x:c>
      <x:c r="J820" s="26" t="n">
        <x:v>2885.4</x:v>
      </x:c>
      <x:c r="K820" s="28" t="n">
        <x:v>0.1085</x:v>
      </x:c>
      <x:c r="L820" s="26" t="n">
        <x:v>313.07</x:v>
      </x:c>
      <x:c r="M820" t="n">
        <x:v>0</x:v>
      </x:c>
      <x:c r="N820" s="26" t="n">
        <x:v>0</x:v>
      </x:c>
      <x:c r="O820" s="26" t="n">
        <x:v>53.38</x:v>
      </x:c>
      <x:c r="P820" s="26" t="n">
        <x:v>12.98</x:v>
      </x:c>
      <x:c r="Q820" s="26" t="n">
        <x:v>24.53</x:v>
      </x:c>
      <x:c r="R820" s="26" t="n">
        <x:v>30.3</x:v>
      </x:c>
      <x:c r="S820" s="26" t="n">
        <x:v>191.88</x:v>
      </x:c>
    </x:row>
    <x:row r="821">
      <x:c r="A821" t="n">
        <x:v>500818</x:v>
      </x:c>
      <x:c r="B821" s="24" t="n">
        <x:v>45819</x:v>
      </x:c>
      <x:c r="C821" t="n">
        <x:v>1007</x:v>
      </x:c>
      <x:c r="D821" t="str">
        <x:v>Seller 1007</x:v>
      </x:c>
      <x:c r="E821" t="str">
        <x:v>Platinum</x:v>
      </x:c>
      <x:c r="F821" t="str">
        <x:v>South</x:v>
      </x:c>
      <x:c r="G821" t="str">
        <x:v>Home &amp; Kitchen</x:v>
      </x:c>
      <x:c r="H821" t="n">
        <x:v>2</x:v>
      </x:c>
      <x:c r="I821" s="26" t="n">
        <x:v>2177.4</x:v>
      </x:c>
      <x:c r="J821" s="26" t="n">
        <x:v>6211.8</x:v>
      </x:c>
      <x:c r="K821" s="28" t="n">
        <x:v>0.1363</x:v>
      </x:c>
      <x:c r="L821" s="26" t="n">
        <x:v>846.67</x:v>
      </x:c>
      <x:c r="M821" t="n">
        <x:v>0</x:v>
      </x:c>
      <x:c r="N821" s="26" t="n">
        <x:v>0</x:v>
      </x:c>
      <x:c r="O821" s="26" t="n">
        <x:v>114.92</x:v>
      </x:c>
      <x:c r="P821" s="26" t="n">
        <x:v>27.95</x:v>
      </x:c>
      <x:c r="Q821" s="26" t="n">
        <x:v>52.8</x:v>
      </x:c>
      <x:c r="R821" s="26" t="n">
        <x:v>65.22</x:v>
      </x:c>
      <x:c r="S821" s="26" t="n">
        <x:v>585.77</x:v>
      </x:c>
    </x:row>
    <x:row r="822">
      <x:c r="A822" t="n">
        <x:v>500819</x:v>
      </x:c>
      <x:c r="B822" s="24" t="n">
        <x:v>45837</x:v>
      </x:c>
      <x:c r="C822" t="n">
        <x:v>1016</x:v>
      </x:c>
      <x:c r="D822" t="str">
        <x:v>Seller 1016</x:v>
      </x:c>
      <x:c r="E822" t="str">
        <x:v>Gold</x:v>
      </x:c>
      <x:c r="F822" t="str">
        <x:v>West</x:v>
      </x:c>
      <x:c r="G822" t="str">
        <x:v>Sports</x:v>
      </x:c>
      <x:c r="H822" t="n">
        <x:v>2</x:v>
      </x:c>
      <x:c r="I822" s="26" t="n">
        <x:v>2673</x:v>
      </x:c>
      <x:c r="J822" s="26" t="n">
        <x:v>5657.4</x:v>
      </x:c>
      <x:c r="K822" s="28" t="n">
        <x:v>0.1162</x:v>
      </x:c>
      <x:c r="L822" s="26" t="n">
        <x:v>657.39</x:v>
      </x:c>
      <x:c r="M822" t="n">
        <x:v>0</x:v>
      </x:c>
      <x:c r="N822" s="26" t="n">
        <x:v>0</x:v>
      </x:c>
      <x:c r="O822" s="26" t="n">
        <x:v>104.66</x:v>
      </x:c>
      <x:c r="P822" s="26" t="n">
        <x:v>25.46</x:v>
      </x:c>
      <x:c r="Q822" s="26" t="n">
        <x:v>48.09</x:v>
      </x:c>
      <x:c r="R822" s="26" t="n">
        <x:v>59.4</x:v>
      </x:c>
      <x:c r="S822" s="26" t="n">
        <x:v>419.78</x:v>
      </x:c>
    </x:row>
    <x:row r="823">
      <x:c r="A823" t="n">
        <x:v>500820</x:v>
      </x:c>
      <x:c r="B823" s="24" t="n">
        <x:v>45822</x:v>
      </x:c>
      <x:c r="C823" t="n">
        <x:v>1033</x:v>
      </x:c>
      <x:c r="D823" t="str">
        <x:v>Seller 1033</x:v>
      </x:c>
      <x:c r="E823" t="str">
        <x:v>Silver</x:v>
      </x:c>
      <x:c r="F823" t="str">
        <x:v>South</x:v>
      </x:c>
      <x:c r="G823" t="str">
        <x:v>Beauty</x:v>
      </x:c>
      <x:c r="H823" t="n">
        <x:v>3</x:v>
      </x:c>
      <x:c r="I823" s="26" t="n">
        <x:v>741.5999999999999</x:v>
      </x:c>
      <x:c r="J823" s="26" t="n">
        <x:v>1801.8</x:v>
      </x:c>
      <x:c r="K823" s="28" t="n">
        <x:v>0.1401</x:v>
      </x:c>
      <x:c r="L823" s="26" t="n">
        <x:v>252.43</x:v>
      </x:c>
      <x:c r="M823" t="n">
        <x:v>0</x:v>
      </x:c>
      <x:c r="N823" s="26" t="n">
        <x:v>0</x:v>
      </x:c>
      <x:c r="O823" s="26" t="n">
        <x:v>33.33</x:v>
      </x:c>
      <x:c r="P823" s="26" t="n">
        <x:v>8.11</x:v>
      </x:c>
      <x:c r="Q823" s="26" t="n">
        <x:v>15.32</x:v>
      </x:c>
      <x:c r="R823" s="26" t="n">
        <x:v>18.92</x:v>
      </x:c>
      <x:c r="S823" s="26" t="n">
        <x:v>176.76</x:v>
      </x:c>
    </x:row>
    <x:row r="824">
      <x:c r="A824" t="n">
        <x:v>500821</x:v>
      </x:c>
      <x:c r="B824" s="24" t="n">
        <x:v>45823</x:v>
      </x:c>
      <x:c r="C824" t="n">
        <x:v>1041</x:v>
      </x:c>
      <x:c r="D824" t="str">
        <x:v>Seller 1041</x:v>
      </x:c>
      <x:c r="E824" t="str">
        <x:v>Silver</x:v>
      </x:c>
      <x:c r="F824" t="str">
        <x:v>West</x:v>
      </x:c>
      <x:c r="G824" t="str">
        <x:v>Pet Supplies</x:v>
      </x:c>
      <x:c r="H824" t="n">
        <x:v>2</x:v>
      </x:c>
      <x:c r="I824" s="26" t="n">
        <x:v>1596.6</x:v>
      </x:c>
      <x:c r="J824" s="26" t="n">
        <x:v>2586</x:v>
      </x:c>
      <x:c r="K824" s="28" t="n">
        <x:v>0.1408</x:v>
      </x:c>
      <x:c r="L824" s="26" t="n">
        <x:v>364.11</x:v>
      </x:c>
      <x:c r="M824" t="n">
        <x:v>0</x:v>
      </x:c>
      <x:c r="N824" s="26" t="n">
        <x:v>0</x:v>
      </x:c>
      <x:c r="O824" s="26" t="n">
        <x:v>47.84</x:v>
      </x:c>
      <x:c r="P824" s="26" t="n">
        <x:v>11.64</x:v>
      </x:c>
      <x:c r="Q824" s="26" t="n">
        <x:v>21.98</x:v>
      </x:c>
      <x:c r="R824" s="26" t="n">
        <x:v>27.15</x:v>
      </x:c>
      <x:c r="S824" s="26" t="n">
        <x:v>255.5</x:v>
      </x:c>
    </x:row>
    <x:row r="825">
      <x:c r="A825" t="n">
        <x:v>500822</x:v>
      </x:c>
      <x:c r="B825" s="24" t="n">
        <x:v>45824</x:v>
      </x:c>
      <x:c r="C825" t="n">
        <x:v>1053</x:v>
      </x:c>
      <x:c r="D825" t="str">
        <x:v>Seller 1053</x:v>
      </x:c>
      <x:c r="E825" t="str">
        <x:v>Silver</x:v>
      </x:c>
      <x:c r="F825" t="str">
        <x:v>Central</x:v>
      </x:c>
      <x:c r="G825" t="str">
        <x:v>Beauty</x:v>
      </x:c>
      <x:c r="H825" t="n">
        <x:v>2</x:v>
      </x:c>
      <x:c r="I825" s="26" t="n">
        <x:v>897</x:v>
      </x:c>
      <x:c r="J825" s="26" t="n">
        <x:v>1452.6</x:v>
      </x:c>
      <x:c r="K825" s="28" t="n">
        <x:v>0.1527</x:v>
      </x:c>
      <x:c r="L825" s="26" t="n">
        <x:v>221.81</x:v>
      </x:c>
      <x:c r="M825" t="n">
        <x:v>0</x:v>
      </x:c>
      <x:c r="N825" s="26" t="n">
        <x:v>0</x:v>
      </x:c>
      <x:c r="O825" s="26" t="n">
        <x:v>26.87</x:v>
      </x:c>
      <x:c r="P825" s="26" t="n">
        <x:v>6.54</x:v>
      </x:c>
      <x:c r="Q825" s="26" t="n">
        <x:v>12.35</x:v>
      </x:c>
      <x:c r="R825" s="26" t="n">
        <x:v>15.25</x:v>
      </x:c>
      <x:c r="S825" s="26" t="n">
        <x:v>160.8</x:v>
      </x:c>
    </x:row>
    <x:row r="826">
      <x:c r="A826" t="n">
        <x:v>500823</x:v>
      </x:c>
      <x:c r="B826" s="24" t="n">
        <x:v>45809</x:v>
      </x:c>
      <x:c r="C826" t="n">
        <x:v>1009</x:v>
      </x:c>
      <x:c r="D826" t="str">
        <x:v>Seller 1009</x:v>
      </x:c>
      <x:c r="E826" t="str">
        <x:v>Platinum</x:v>
      </x:c>
      <x:c r="F826" t="str">
        <x:v>Central</x:v>
      </x:c>
      <x:c r="G826" t="str">
        <x:v>Pet Supplies</x:v>
      </x:c>
      <x:c r="H826" t="n">
        <x:v>1</x:v>
      </x:c>
      <x:c r="I826" s="26" t="n">
        <x:v>2846.3999999999996</x:v>
      </x:c>
      <x:c r="J826" s="26" t="n">
        <x:v>4060.2</x:v>
      </x:c>
      <x:c r="K826" s="28" t="n">
        <x:v>0.1377</x:v>
      </x:c>
      <x:c r="L826" s="26" t="n">
        <x:v>559.09</x:v>
      </x:c>
      <x:c r="M826" t="n">
        <x:v>0</x:v>
      </x:c>
      <x:c r="N826" s="26" t="n">
        <x:v>0</x:v>
      </x:c>
      <x:c r="O826" s="26" t="n">
        <x:v>75.11</x:v>
      </x:c>
      <x:c r="P826" s="26" t="n">
        <x:v>18.27</x:v>
      </x:c>
      <x:c r="Q826" s="26" t="n">
        <x:v>34.51</x:v>
      </x:c>
      <x:c r="R826" s="26" t="n">
        <x:v>42.63</x:v>
      </x:c>
      <x:c r="S826" s="26" t="n">
        <x:v>388.56</x:v>
      </x:c>
    </x:row>
    <x:row r="827">
      <x:c r="A827" t="n">
        <x:v>500824</x:v>
      </x:c>
      <x:c r="B827" s="24" t="n">
        <x:v>45810</x:v>
      </x:c>
      <x:c r="C827" t="n">
        <x:v>1024</x:v>
      </x:c>
      <x:c r="D827" t="str">
        <x:v>Seller 1024</x:v>
      </x:c>
      <x:c r="E827" t="str">
        <x:v>Gold</x:v>
      </x:c>
      <x:c r="F827" t="str">
        <x:v>West</x:v>
      </x:c>
      <x:c r="G827" t="str">
        <x:v>Pet Supplies</x:v>
      </x:c>
      <x:c r="H827" t="n">
        <x:v>2</x:v>
      </x:c>
      <x:c r="I827" s="26" t="n">
        <x:v>1429.2</x:v>
      </x:c>
      <x:c r="J827" s="26" t="n">
        <x:v>3025.8</x:v>
      </x:c>
      <x:c r="K827" s="28" t="n">
        <x:v>0.1296</x:v>
      </x:c>
      <x:c r="L827" s="26" t="n">
        <x:v>392.14</x:v>
      </x:c>
      <x:c r="M827" t="n">
        <x:v>0</x:v>
      </x:c>
      <x:c r="N827" s="26" t="n">
        <x:v>0</x:v>
      </x:c>
      <x:c r="O827" s="26" t="n">
        <x:v>55.98</x:v>
      </x:c>
      <x:c r="P827" s="26" t="n">
        <x:v>13.62</x:v>
      </x:c>
      <x:c r="Q827" s="26" t="n">
        <x:v>25.72</x:v>
      </x:c>
      <x:c r="R827" s="26" t="n">
        <x:v>31.77</x:v>
      </x:c>
      <x:c r="S827" s="26" t="n">
        <x:v>265.06</x:v>
      </x:c>
    </x:row>
    <x:row r="828">
      <x:c r="A828" t="n">
        <x:v>500825</x:v>
      </x:c>
      <x:c r="B828" s="24" t="n">
        <x:v>45829</x:v>
      </x:c>
      <x:c r="C828" t="n">
        <x:v>1015</x:v>
      </x:c>
      <x:c r="D828" t="str">
        <x:v>Seller 1015</x:v>
      </x:c>
      <x:c r="E828" t="str">
        <x:v>Gold</x:v>
      </x:c>
      <x:c r="F828" t="str">
        <x:v>West</x:v>
      </x:c>
      <x:c r="G828" t="str">
        <x:v>Pet Supplies</x:v>
      </x:c>
      <x:c r="H828" t="n">
        <x:v>1</x:v>
      </x:c>
      <x:c r="I828" s="26" t="n">
        <x:v>3052.2</x:v>
      </x:c>
      <x:c r="J828" s="26" t="n">
        <x:v>3230.4</x:v>
      </x:c>
      <x:c r="K828" s="28" t="n">
        <x:v>0.1399</x:v>
      </x:c>
      <x:c r="L828" s="26" t="n">
        <x:v>451.93</x:v>
      </x:c>
      <x:c r="M828" t="n">
        <x:v>0</x:v>
      </x:c>
      <x:c r="N828" s="26" t="n">
        <x:v>0</x:v>
      </x:c>
      <x:c r="O828" s="26" t="n">
        <x:v>59.76</x:v>
      </x:c>
      <x:c r="P828" s="26" t="n">
        <x:v>14.54</x:v>
      </x:c>
      <x:c r="Q828" s="26" t="n">
        <x:v>27.46</x:v>
      </x:c>
      <x:c r="R828" s="26" t="n">
        <x:v>33.92</x:v>
      </x:c>
      <x:c r="S828" s="26" t="n">
        <x:v>316.26</x:v>
      </x:c>
    </x:row>
    <x:row r="829">
      <x:c r="A829" t="n">
        <x:v>500826</x:v>
      </x:c>
      <x:c r="B829" s="24" t="n">
        <x:v>45818</x:v>
      </x:c>
      <x:c r="C829" t="n">
        <x:v>1053</x:v>
      </x:c>
      <x:c r="D829" t="str">
        <x:v>Seller 1053</x:v>
      </x:c>
      <x:c r="E829" t="str">
        <x:v>Silver</x:v>
      </x:c>
      <x:c r="F829" t="str">
        <x:v>Central</x:v>
      </x:c>
      <x:c r="G829" t="str">
        <x:v>Beauty</x:v>
      </x:c>
      <x:c r="H829" t="n">
        <x:v>1</x:v>
      </x:c>
      <x:c r="I829" s="26" t="n">
        <x:v>2769</x:v>
      </x:c>
      <x:c r="J829" s="26" t="n">
        <x:v>2242.2</x:v>
      </x:c>
      <x:c r="K829" s="28" t="n">
        <x:v>0.1362</x:v>
      </x:c>
      <x:c r="L829" s="26" t="n">
        <x:v>305.39</x:v>
      </x:c>
      <x:c r="M829" t="n">
        <x:v>0</x:v>
      </x:c>
      <x:c r="N829" s="26" t="n">
        <x:v>0</x:v>
      </x:c>
      <x:c r="O829" s="26" t="n">
        <x:v>41.48</x:v>
      </x:c>
      <x:c r="P829" s="26" t="n">
        <x:v>10.09</x:v>
      </x:c>
      <x:c r="Q829" s="26" t="n">
        <x:v>19.06</x:v>
      </x:c>
      <x:c r="R829" s="26" t="n">
        <x:v>23.54</x:v>
      </x:c>
      <x:c r="S829" s="26" t="n">
        <x:v>211.22</x:v>
      </x:c>
    </x:row>
    <x:row r="830">
      <x:c r="A830" t="n">
        <x:v>500827</x:v>
      </x:c>
      <x:c r="B830" s="24" t="n">
        <x:v>45815</x:v>
      </x:c>
      <x:c r="C830" t="n">
        <x:v>1037</x:v>
      </x:c>
      <x:c r="D830" t="str">
        <x:v>Seller 1037</x:v>
      </x:c>
      <x:c r="E830" t="str">
        <x:v>Silver</x:v>
      </x:c>
      <x:c r="F830" t="str">
        <x:v>East</x:v>
      </x:c>
      <x:c r="G830" t="str">
        <x:v>Apparel</x:v>
      </x:c>
      <x:c r="H830" t="n">
        <x:v>2</x:v>
      </x:c>
      <x:c r="I830" s="26" t="n">
        <x:v>2019.6</x:v>
      </x:c>
      <x:c r="J830" s="26" t="n">
        <x:v>3271.2</x:v>
      </x:c>
      <x:c r="K830" s="28" t="n">
        <x:v>0.129</x:v>
      </x:c>
      <x:c r="L830" s="26" t="n">
        <x:v>421.98</x:v>
      </x:c>
      <x:c r="M830" t="n">
        <x:v>0</x:v>
      </x:c>
      <x:c r="N830" s="26" t="n">
        <x:v>0</x:v>
      </x:c>
      <x:c r="O830" s="26" t="n">
        <x:v>60.52</x:v>
      </x:c>
      <x:c r="P830" s="26" t="n">
        <x:v>14.72</x:v>
      </x:c>
      <x:c r="Q830" s="26" t="n">
        <x:v>27.81</x:v>
      </x:c>
      <x:c r="R830" s="26" t="n">
        <x:v>34.35</x:v>
      </x:c>
      <x:c r="S830" s="26" t="n">
        <x:v>284.59</x:v>
      </x:c>
    </x:row>
    <x:row r="831">
      <x:c r="A831" t="n">
        <x:v>500828</x:v>
      </x:c>
      <x:c r="B831" s="24" t="n">
        <x:v>45830</x:v>
      </x:c>
      <x:c r="C831" t="n">
        <x:v>1003</x:v>
      </x:c>
      <x:c r="D831" t="str">
        <x:v>Seller 1003</x:v>
      </x:c>
      <x:c r="E831" t="str">
        <x:v>Platinum</x:v>
      </x:c>
      <x:c r="F831" t="str">
        <x:v>East</x:v>
      </x:c>
      <x:c r="G831" t="str">
        <x:v>Sports</x:v>
      </x:c>
      <x:c r="H831" t="n">
        <x:v>1</x:v>
      </x:c>
      <x:c r="I831" s="26" t="n">
        <x:v>4151.4</x:v>
      </x:c>
      <x:c r="J831" s="26" t="n">
        <x:v>5921.4</x:v>
      </x:c>
      <x:c r="K831" s="28" t="n">
        <x:v>0.1378</x:v>
      </x:c>
      <x:c r="L831" s="26" t="n">
        <x:v>815.97</x:v>
      </x:c>
      <x:c r="M831" t="n">
        <x:v>0</x:v>
      </x:c>
      <x:c r="N831" s="26" t="n">
        <x:v>0</x:v>
      </x:c>
      <x:c r="O831" s="26" t="n">
        <x:v>109.55</x:v>
      </x:c>
      <x:c r="P831" s="26" t="n">
        <x:v>26.65</x:v>
      </x:c>
      <x:c r="Q831" s="26" t="n">
        <x:v>50.33</x:v>
      </x:c>
      <x:c r="R831" s="26" t="n">
        <x:v>62.17</x:v>
      </x:c>
      <x:c r="S831" s="26" t="n">
        <x:v>567.27</x:v>
      </x:c>
    </x:row>
    <x:row r="832">
      <x:c r="A832" t="n">
        <x:v>500829</x:v>
      </x:c>
      <x:c r="B832" s="24" t="n">
        <x:v>45826</x:v>
      </x:c>
      <x:c r="C832" t="n">
        <x:v>1022</x:v>
      </x:c>
      <x:c r="D832" t="str">
        <x:v>Seller 1022</x:v>
      </x:c>
      <x:c r="E832" t="str">
        <x:v>Gold</x:v>
      </x:c>
      <x:c r="F832" t="str">
        <x:v>East</x:v>
      </x:c>
      <x:c r="G832" t="str">
        <x:v>Sports</x:v>
      </x:c>
      <x:c r="H832" t="n">
        <x:v>1</x:v>
      </x:c>
      <x:c r="I832" s="26" t="n">
        <x:v>4226.4</x:v>
      </x:c>
      <x:c r="J832" s="26" t="n">
        <x:v>4473</x:v>
      </x:c>
      <x:c r="K832" s="28" t="n">
        <x:v>0.1196</x:v>
      </x:c>
      <x:c r="L832" s="26" t="n">
        <x:v>534.97</x:v>
      </x:c>
      <x:c r="M832" t="n">
        <x:v>0</x:v>
      </x:c>
      <x:c r="N832" s="26" t="n">
        <x:v>0</x:v>
      </x:c>
      <x:c r="O832" s="26" t="n">
        <x:v>82.75</x:v>
      </x:c>
      <x:c r="P832" s="26" t="n">
        <x:v>20.13</x:v>
      </x:c>
      <x:c r="Q832" s="26" t="n">
        <x:v>38.02</x:v>
      </x:c>
      <x:c r="R832" s="26" t="n">
        <x:v>46.97</x:v>
      </x:c>
      <x:c r="S832" s="26" t="n">
        <x:v>347.1</x:v>
      </x:c>
    </x:row>
    <x:row r="833">
      <x:c r="A833" t="n">
        <x:v>500830</x:v>
      </x:c>
      <x:c r="B833" s="24" t="n">
        <x:v>45815</x:v>
      </x:c>
      <x:c r="C833" t="n">
        <x:v>1016</x:v>
      </x:c>
      <x:c r="D833" t="str">
        <x:v>Seller 1016</x:v>
      </x:c>
      <x:c r="E833" t="str">
        <x:v>Gold</x:v>
      </x:c>
      <x:c r="F833" t="str">
        <x:v>West</x:v>
      </x:c>
      <x:c r="G833" t="str">
        <x:v>Sports</x:v>
      </x:c>
      <x:c r="H833" t="n">
        <x:v>1</x:v>
      </x:c>
      <x:c r="I833" s="26" t="n">
        <x:v>4458.6</x:v>
      </x:c>
      <x:c r="J833" s="26" t="n">
        <x:v>4718.4</x:v>
      </x:c>
      <x:c r="K833" s="28" t="n">
        <x:v>0.1383</x:v>
      </x:c>
      <x:c r="L833" s="26" t="n">
        <x:v>652.55</x:v>
      </x:c>
      <x:c r="M833" t="n">
        <x:v>0</x:v>
      </x:c>
      <x:c r="N833" s="26" t="n">
        <x:v>0</x:v>
      </x:c>
      <x:c r="O833" s="26" t="n">
        <x:v>87.29</x:v>
      </x:c>
      <x:c r="P833" s="26" t="n">
        <x:v>21.23</x:v>
      </x:c>
      <x:c r="Q833" s="26" t="n">
        <x:v>40.11</x:v>
      </x:c>
      <x:c r="R833" s="26" t="n">
        <x:v>49.54</x:v>
      </x:c>
      <x:c r="S833" s="26" t="n">
        <x:v>454.38</x:v>
      </x:c>
    </x:row>
    <x:row r="834">
      <x:c r="A834" t="n">
        <x:v>500831</x:v>
      </x:c>
      <x:c r="B834" s="24" t="n">
        <x:v>45835</x:v>
      </x:c>
      <x:c r="C834" t="n">
        <x:v>1027</x:v>
      </x:c>
      <x:c r="D834" t="str">
        <x:v>Seller 1027</x:v>
      </x:c>
      <x:c r="E834" t="str">
        <x:v>Gold</x:v>
      </x:c>
      <x:c r="F834" t="str">
        <x:v>West</x:v>
      </x:c>
      <x:c r="G834" t="str">
        <x:v>Apparel</x:v>
      </x:c>
      <x:c r="H834" t="n">
        <x:v>3</x:v>
      </x:c>
      <x:c r="I834" s="26" t="n">
        <x:v>871.1999999999999</x:v>
      </x:c>
      <x:c r="J834" s="26" t="n">
        <x:v>2765.4</x:v>
      </x:c>
      <x:c r="K834" s="28" t="n">
        <x:v>0.1149</x:v>
      </x:c>
      <x:c r="L834" s="26" t="n">
        <x:v>317.74</x:v>
      </x:c>
      <x:c r="M834" t="n">
        <x:v>0</x:v>
      </x:c>
      <x:c r="N834" s="26" t="n">
        <x:v>0</x:v>
      </x:c>
      <x:c r="O834" s="26" t="n">
        <x:v>51.16</x:v>
      </x:c>
      <x:c r="P834" s="26" t="n">
        <x:v>12.44</x:v>
      </x:c>
      <x:c r="Q834" s="26" t="n">
        <x:v>23.51</x:v>
      </x:c>
      <x:c r="R834" s="26" t="n">
        <x:v>29.04</x:v>
      </x:c>
      <x:c r="S834" s="26" t="n">
        <x:v>201.6</x:v>
      </x:c>
    </x:row>
    <x:row r="835">
      <x:c r="A835" t="n">
        <x:v>500832</x:v>
      </x:c>
      <x:c r="B835" s="24" t="n">
        <x:v>45812</x:v>
      </x:c>
      <x:c r="C835" t="n">
        <x:v>1027</x:v>
      </x:c>
      <x:c r="D835" t="str">
        <x:v>Seller 1027</x:v>
      </x:c>
      <x:c r="E835" t="str">
        <x:v>Gold</x:v>
      </x:c>
      <x:c r="F835" t="str">
        <x:v>West</x:v>
      </x:c>
      <x:c r="G835" t="str">
        <x:v>Apparel</x:v>
      </x:c>
      <x:c r="H835" t="n">
        <x:v>3</x:v>
      </x:c>
      <x:c r="I835" s="26" t="n">
        <x:v>1272.6000000000001</x:v>
      </x:c>
      <x:c r="J835" s="26" t="n">
        <x:v>4040.4</x:v>
      </x:c>
      <x:c r="K835" s="28" t="n">
        <x:v>0.1243</x:v>
      </x:c>
      <x:c r="L835" s="26" t="n">
        <x:v>502.22</x:v>
      </x:c>
      <x:c r="M835" t="n">
        <x:v>0</x:v>
      </x:c>
      <x:c r="N835" s="26" t="n">
        <x:v>0</x:v>
      </x:c>
      <x:c r="O835" s="26" t="n">
        <x:v>74.75</x:v>
      </x:c>
      <x:c r="P835" s="26" t="n">
        <x:v>18.18</x:v>
      </x:c>
      <x:c r="Q835" s="26" t="n">
        <x:v>34.34</x:v>
      </x:c>
      <x:c r="R835" s="26" t="n">
        <x:v>42.42</x:v>
      </x:c>
      <x:c r="S835" s="26" t="n">
        <x:v>332.52</x:v>
      </x:c>
    </x:row>
    <x:row r="836">
      <x:c r="A836" t="n">
        <x:v>500833</x:v>
      </x:c>
      <x:c r="B836" s="24" t="n">
        <x:v>45822</x:v>
      </x:c>
      <x:c r="C836" t="n">
        <x:v>1004</x:v>
      </x:c>
      <x:c r="D836" t="str">
        <x:v>Seller 1004</x:v>
      </x:c>
      <x:c r="E836" t="str">
        <x:v>Platinum</x:v>
      </x:c>
      <x:c r="F836" t="str">
        <x:v>East</x:v>
      </x:c>
      <x:c r="G836" t="str">
        <x:v>Sports</x:v>
      </x:c>
      <x:c r="H836" t="n">
        <x:v>2</x:v>
      </x:c>
      <x:c r="I836" s="26" t="n">
        <x:v>2784.6</x:v>
      </x:c>
      <x:c r="J836" s="26" t="n">
        <x:v>7944</x:v>
      </x:c>
      <x:c r="K836" s="28" t="n">
        <x:v>0.1378</x:v>
      </x:c>
      <x:c r="L836" s="26" t="n">
        <x:v>1094.68</x:v>
      </x:c>
      <x:c r="M836" t="n">
        <x:v>0</x:v>
      </x:c>
      <x:c r="N836" s="26" t="n">
        <x:v>0</x:v>
      </x:c>
      <x:c r="O836" s="26" t="n">
        <x:v>146.96</x:v>
      </x:c>
      <x:c r="P836" s="26" t="n">
        <x:v>35.75</x:v>
      </x:c>
      <x:c r="Q836" s="26" t="n">
        <x:v>67.52</x:v>
      </x:c>
      <x:c r="R836" s="26" t="n">
        <x:v>83.41</x:v>
      </x:c>
      <x:c r="S836" s="26" t="n">
        <x:v>761.04</x:v>
      </x:c>
    </x:row>
    <x:row r="837">
      <x:c r="A837" t="n">
        <x:v>500834</x:v>
      </x:c>
      <x:c r="B837" s="24" t="n">
        <x:v>45830</x:v>
      </x:c>
      <x:c r="C837" t="n">
        <x:v>1011</x:v>
      </x:c>
      <x:c r="D837" t="str">
        <x:v>Seller 1011</x:v>
      </x:c>
      <x:c r="E837" t="str">
        <x:v>Platinum</x:v>
      </x:c>
      <x:c r="F837" t="str">
        <x:v>West</x:v>
      </x:c>
      <x:c r="G837" t="str">
        <x:v>Electronics</x:v>
      </x:c>
      <x:c r="H837" t="n">
        <x:v>3</x:v>
      </x:c>
      <x:c r="I837" s="26" t="n">
        <x:v>3357</x:v>
      </x:c>
      <x:c r="J837" s="26" t="n">
        <x:v>14364.6</x:v>
      </x:c>
      <x:c r="K837" s="28" t="n">
        <x:v>0.1296</x:v>
      </x:c>
      <x:c r="L837" s="26" t="n">
        <x:v>1861.65</x:v>
      </x:c>
      <x:c r="M837" t="n">
        <x:v>0</x:v>
      </x:c>
      <x:c r="N837" s="26" t="n">
        <x:v>0</x:v>
      </x:c>
      <x:c r="O837" s="26" t="n">
        <x:v>265.75</x:v>
      </x:c>
      <x:c r="P837" s="26" t="n">
        <x:v>64.64</x:v>
      </x:c>
      <x:c r="Q837" s="26" t="n">
        <x:v>122.1</x:v>
      </x:c>
      <x:c r="R837" s="26" t="n">
        <x:v>150.83</x:v>
      </x:c>
      <x:c r="S837" s="26" t="n">
        <x:v>1258.34</x:v>
      </x:c>
    </x:row>
    <x:row r="838">
      <x:c r="A838" t="n">
        <x:v>500835</x:v>
      </x:c>
      <x:c r="B838" s="24" t="n">
        <x:v>45837</x:v>
      </x:c>
      <x:c r="C838" t="n">
        <x:v>1055</x:v>
      </x:c>
      <x:c r="D838" t="str">
        <x:v>Seller 1055</x:v>
      </x:c>
      <x:c r="E838" t="str">
        <x:v>Bronze</x:v>
      </x:c>
      <x:c r="F838" t="str">
        <x:v>Central</x:v>
      </x:c>
      <x:c r="G838" t="str">
        <x:v>Pet Supplies</x:v>
      </x:c>
      <x:c r="H838" t="n">
        <x:v>2</x:v>
      </x:c>
      <x:c r="I838" s="26" t="n">
        <x:v>1671.6</x:v>
      </x:c>
      <x:c r="J838" s="26" t="n">
        <x:v>1907.4</x:v>
      </x:c>
      <x:c r="K838" s="28" t="n">
        <x:v>0.1214</x:v>
      </x:c>
      <x:c r="L838" s="26" t="n">
        <x:v>231.56</x:v>
      </x:c>
      <x:c r="M838" t="n">
        <x:v>0</x:v>
      </x:c>
      <x:c r="N838" s="26" t="n">
        <x:v>0</x:v>
      </x:c>
      <x:c r="O838" s="26" t="n">
        <x:v>35.29</x:v>
      </x:c>
      <x:c r="P838" s="26" t="n">
        <x:v>8.58</x:v>
      </x:c>
      <x:c r="Q838" s="26" t="n">
        <x:v>16.21</x:v>
      </x:c>
      <x:c r="R838" s="26" t="n">
        <x:v>20.03</x:v>
      </x:c>
      <x:c r="S838" s="26" t="n">
        <x:v>151.45</x:v>
      </x:c>
    </x:row>
    <x:row r="839">
      <x:c r="A839" t="n">
        <x:v>500836</x:v>
      </x:c>
      <x:c r="B839" s="24" t="n">
        <x:v>45827</x:v>
      </x:c>
      <x:c r="C839" t="n">
        <x:v>1046</x:v>
      </x:c>
      <x:c r="D839" t="str">
        <x:v>Seller 1046</x:v>
      </x:c>
      <x:c r="E839" t="str">
        <x:v>Silver</x:v>
      </x:c>
      <x:c r="F839" t="str">
        <x:v>Central</x:v>
      </x:c>
      <x:c r="G839" t="str">
        <x:v>Pet Supplies</x:v>
      </x:c>
      <x:c r="H839" t="n">
        <x:v>3</x:v>
      </x:c>
      <x:c r="I839" s="26" t="n">
        <x:v>970.8</x:v>
      </x:c>
      <x:c r="J839" s="26" t="n">
        <x:v>2359.2</x:v>
      </x:c>
      <x:c r="K839" s="28" t="n">
        <x:v>0.138</x:v>
      </x:c>
      <x:c r="L839" s="26" t="n">
        <x:v>325.57</x:v>
      </x:c>
      <x:c r="M839" t="n">
        <x:v>0</x:v>
      </x:c>
      <x:c r="N839" s="26" t="n">
        <x:v>0</x:v>
      </x:c>
      <x:c r="O839" s="26" t="n">
        <x:v>43.65</x:v>
      </x:c>
      <x:c r="P839" s="26" t="n">
        <x:v>10.62</x:v>
      </x:c>
      <x:c r="Q839" s="26" t="n">
        <x:v>20.05</x:v>
      </x:c>
      <x:c r="R839" s="26" t="n">
        <x:v>24.77</x:v>
      </x:c>
      <x:c r="S839" s="26" t="n">
        <x:v>226.48</x:v>
      </x:c>
    </x:row>
    <x:row r="840">
      <x:c r="A840" t="n">
        <x:v>500837</x:v>
      </x:c>
      <x:c r="B840" s="24" t="n">
        <x:v>45816</x:v>
      </x:c>
      <x:c r="C840" t="n">
        <x:v>1049</x:v>
      </x:c>
      <x:c r="D840" t="str">
        <x:v>Seller 1049</x:v>
      </x:c>
      <x:c r="E840" t="str">
        <x:v>Silver</x:v>
      </x:c>
      <x:c r="F840" t="str">
        <x:v>West</x:v>
      </x:c>
      <x:c r="G840" t="str">
        <x:v>Home &amp; Kitchen</x:v>
      </x:c>
      <x:c r="H840" t="n">
        <x:v>1</x:v>
      </x:c>
      <x:c r="I840" s="26" t="n">
        <x:v>5152.799999999999</x:v>
      </x:c>
      <x:c r="J840" s="26" t="n">
        <x:v>4173</x:v>
      </x:c>
      <x:c r="K840" s="28" t="n">
        <x:v>0.1462</x:v>
      </x:c>
      <x:c r="L840" s="26" t="n">
        <x:v>610.09</x:v>
      </x:c>
      <x:c r="M840" t="n">
        <x:v>0</x:v>
      </x:c>
      <x:c r="N840" s="26" t="n">
        <x:v>0</x:v>
      </x:c>
      <x:c r="O840" s="26" t="n">
        <x:v>77.2</x:v>
      </x:c>
      <x:c r="P840" s="26" t="n">
        <x:v>18.78</x:v>
      </x:c>
      <x:c r="Q840" s="26" t="n">
        <x:v>35.47</x:v>
      </x:c>
      <x:c r="R840" s="26" t="n">
        <x:v>43.82</x:v>
      </x:c>
      <x:c r="S840" s="26" t="n">
        <x:v>434.83</x:v>
      </x:c>
    </x:row>
    <x:row r="841">
      <x:c r="A841" t="n">
        <x:v>500838</x:v>
      </x:c>
      <x:c r="B841" s="24" t="n">
        <x:v>45812</x:v>
      </x:c>
      <x:c r="C841" t="n">
        <x:v>1022</x:v>
      </x:c>
      <x:c r="D841" t="str">
        <x:v>Seller 1022</x:v>
      </x:c>
      <x:c r="E841" t="str">
        <x:v>Gold</x:v>
      </x:c>
      <x:c r="F841" t="str">
        <x:v>East</x:v>
      </x:c>
      <x:c r="G841" t="str">
        <x:v>Sports</x:v>
      </x:c>
      <x:c r="H841" t="n">
        <x:v>4</x:v>
      </x:c>
      <x:c r="I841" s="26" t="n">
        <x:v>822.6</x:v>
      </x:c>
      <x:c r="J841" s="26" t="n">
        <x:v>3483.6</x:v>
      </x:c>
      <x:c r="K841" s="28" t="n">
        <x:v>0.1192</x:v>
      </x:c>
      <x:c r="L841" s="26" t="n">
        <x:v>415.25</x:v>
      </x:c>
      <x:c r="M841" t="n">
        <x:v>0</x:v>
      </x:c>
      <x:c r="N841" s="26" t="n">
        <x:v>0</x:v>
      </x:c>
      <x:c r="O841" s="26" t="n">
        <x:v>64.45</x:v>
      </x:c>
      <x:c r="P841" s="26" t="n">
        <x:v>15.68</x:v>
      </x:c>
      <x:c r="Q841" s="26" t="n">
        <x:v>29.61</x:v>
      </x:c>
      <x:c r="R841" s="26" t="n">
        <x:v>36.58</x:v>
      </x:c>
      <x:c r="S841" s="26" t="n">
        <x:v>268.93</x:v>
      </x:c>
    </x:row>
    <x:row r="842">
      <x:c r="A842" t="n">
        <x:v>500839</x:v>
      </x:c>
      <x:c r="B842" s="24" t="n">
        <x:v>45837</x:v>
      </x:c>
      <x:c r="C842" t="n">
        <x:v>1034</x:v>
      </x:c>
      <x:c r="D842" t="str">
        <x:v>Seller 1034</x:v>
      </x:c>
      <x:c r="E842" t="str">
        <x:v>Silver</x:v>
      </x:c>
      <x:c r="F842" t="str">
        <x:v>Central</x:v>
      </x:c>
      <x:c r="G842" t="str">
        <x:v>Sports</x:v>
      </x:c>
      <x:c r="H842" t="n">
        <x:v>3</x:v>
      </x:c>
      <x:c r="I842" s="26" t="n">
        <x:v>1572</x:v>
      </x:c>
      <x:c r="J842" s="26" t="n">
        <x:v>3820.2</x:v>
      </x:c>
      <x:c r="K842" s="28" t="n">
        <x:v>0.1369</x:v>
      </x:c>
      <x:c r="L842" s="26" t="n">
        <x:v>522.99</x:v>
      </x:c>
      <x:c r="M842" t="n">
        <x:v>0</x:v>
      </x:c>
      <x:c r="N842" s="26" t="n">
        <x:v>0</x:v>
      </x:c>
      <x:c r="O842" s="26" t="n">
        <x:v>70.67</x:v>
      </x:c>
      <x:c r="P842" s="26" t="n">
        <x:v>17.19</x:v>
      </x:c>
      <x:c r="Q842" s="26" t="n">
        <x:v>32.47</x:v>
      </x:c>
      <x:c r="R842" s="26" t="n">
        <x:v>40.11</x:v>
      </x:c>
      <x:c r="S842" s="26" t="n">
        <x:v>362.54</x:v>
      </x:c>
    </x:row>
    <x:row r="843">
      <x:c r="A843" t="n">
        <x:v>500840</x:v>
      </x:c>
      <x:c r="B843" s="24" t="n">
        <x:v>45836</x:v>
      </x:c>
      <x:c r="C843" t="n">
        <x:v>1056</x:v>
      </x:c>
      <x:c r="D843" t="str">
        <x:v>Seller 1056</x:v>
      </x:c>
      <x:c r="E843" t="str">
        <x:v>Bronze</x:v>
      </x:c>
      <x:c r="F843" t="str">
        <x:v>West</x:v>
      </x:c>
      <x:c r="G843" t="str">
        <x:v>Apparel</x:v>
      </x:c>
      <x:c r="H843" t="n">
        <x:v>3</x:v>
      </x:c>
      <x:c r="I843" s="26" t="n">
        <x:v>984.6</x:v>
      </x:c>
      <x:c r="J843" s="26" t="n">
        <x:v>1684.8</x:v>
      </x:c>
      <x:c r="K843" s="28" t="n">
        <x:v>0.1263</x:v>
      </x:c>
      <x:c r="L843" s="26" t="n">
        <x:v>212.79</x:v>
      </x:c>
      <x:c r="M843" t="n">
        <x:v>0</x:v>
      </x:c>
      <x:c r="N843" s="26" t="n">
        <x:v>0</x:v>
      </x:c>
      <x:c r="O843" s="26" t="n">
        <x:v>31.17</x:v>
      </x:c>
      <x:c r="P843" s="26" t="n">
        <x:v>7.58</x:v>
      </x:c>
      <x:c r="Q843" s="26" t="n">
        <x:v>14.32</x:v>
      </x:c>
      <x:c r="R843" s="26" t="n">
        <x:v>17.69</x:v>
      </x:c>
      <x:c r="S843" s="26" t="n">
        <x:v>142.03</x:v>
      </x:c>
    </x:row>
    <x:row r="844">
      <x:c r="A844" t="n">
        <x:v>500841</x:v>
      </x:c>
      <x:c r="B844" s="24" t="n">
        <x:v>45833</x:v>
      </x:c>
      <x:c r="C844" t="n">
        <x:v>1022</x:v>
      </x:c>
      <x:c r="D844" t="str">
        <x:v>Seller 1022</x:v>
      </x:c>
      <x:c r="E844" t="str">
        <x:v>Gold</x:v>
      </x:c>
      <x:c r="F844" t="str">
        <x:v>East</x:v>
      </x:c>
      <x:c r="G844" t="str">
        <x:v>Sports</x:v>
      </x:c>
      <x:c r="H844" t="n">
        <x:v>4</x:v>
      </x:c>
      <x:c r="I844" s="26" t="n">
        <x:v>1119</x:v>
      </x:c>
      <x:c r="J844" s="26" t="n">
        <x:v>4736.4</x:v>
      </x:c>
      <x:c r="K844" s="28" t="n">
        <x:v>0.1196</x:v>
      </x:c>
      <x:c r="L844" s="26" t="n">
        <x:v>566.47</x:v>
      </x:c>
      <x:c r="M844" t="n">
        <x:v>0</x:v>
      </x:c>
      <x:c r="N844" s="26" t="n">
        <x:v>0</x:v>
      </x:c>
      <x:c r="O844" s="26" t="n">
        <x:v>87.62</x:v>
      </x:c>
      <x:c r="P844" s="26" t="n">
        <x:v>21.31</x:v>
      </x:c>
      <x:c r="Q844" s="26" t="n">
        <x:v>40.26</x:v>
      </x:c>
      <x:c r="R844" s="26" t="n">
        <x:v>49.73</x:v>
      </x:c>
      <x:c r="S844" s="26" t="n">
        <x:v>367.54</x:v>
      </x:c>
    </x:row>
    <x:row r="845">
      <x:c r="A845" t="n">
        <x:v>500842</x:v>
      </x:c>
      <x:c r="B845" s="24" t="n">
        <x:v>45821</x:v>
      </x:c>
      <x:c r="C845" t="n">
        <x:v>1057</x:v>
      </x:c>
      <x:c r="D845" t="str">
        <x:v>Seller 1057</x:v>
      </x:c>
      <x:c r="E845" t="str">
        <x:v>Bronze</x:v>
      </x:c>
      <x:c r="F845" t="str">
        <x:v>South</x:v>
      </x:c>
      <x:c r="G845" t="str">
        <x:v>Electronics</x:v>
      </x:c>
      <x:c r="H845" t="n">
        <x:v>2</x:v>
      </x:c>
      <x:c r="I845" s="26" t="n">
        <x:v>4754.4</x:v>
      </x:c>
      <x:c r="J845" s="26" t="n">
        <x:v>5425.8</x:v>
      </x:c>
      <x:c r="K845" s="28" t="n">
        <x:v>0.1139</x:v>
      </x:c>
      <x:c r="L845" s="26" t="n">
        <x:v>618</x:v>
      </x:c>
      <x:c r="M845" t="n">
        <x:v>0</x:v>
      </x:c>
      <x:c r="N845" s="26" t="n">
        <x:v>0</x:v>
      </x:c>
      <x:c r="O845" s="26" t="n">
        <x:v>100.38</x:v>
      </x:c>
      <x:c r="P845" s="26" t="n">
        <x:v>24.42</x:v>
      </x:c>
      <x:c r="Q845" s="26" t="n">
        <x:v>46.12</x:v>
      </x:c>
      <x:c r="R845" s="26" t="n">
        <x:v>56.97</x:v>
      </x:c>
      <x:c r="S845" s="26" t="n">
        <x:v>390.12</x:v>
      </x:c>
    </x:row>
    <x:row r="846">
      <x:c r="A846" t="n">
        <x:v>500843</x:v>
      </x:c>
      <x:c r="B846" s="24" t="n">
        <x:v>45835</x:v>
      </x:c>
      <x:c r="C846" t="n">
        <x:v>1015</x:v>
      </x:c>
      <x:c r="D846" t="str">
        <x:v>Seller 1015</x:v>
      </x:c>
      <x:c r="E846" t="str">
        <x:v>Gold</x:v>
      </x:c>
      <x:c r="F846" t="str">
        <x:v>West</x:v>
      </x:c>
      <x:c r="G846" t="str">
        <x:v>Apparel</x:v>
      </x:c>
      <x:c r="H846" t="n">
        <x:v>3</x:v>
      </x:c>
      <x:c r="I846" s="26" t="n">
        <x:v>1353</x:v>
      </x:c>
      <x:c r="J846" s="26" t="n">
        <x:v>4296</x:v>
      </x:c>
      <x:c r="K846" s="28" t="n">
        <x:v>0.125</x:v>
      </x:c>
      <x:c r="L846" s="26" t="n">
        <x:v>537</x:v>
      </x:c>
      <x:c r="M846" t="n">
        <x:v>0</x:v>
      </x:c>
      <x:c r="N846" s="26" t="n">
        <x:v>0</x:v>
      </x:c>
      <x:c r="O846" s="26" t="n">
        <x:v>79.48</x:v>
      </x:c>
      <x:c r="P846" s="26" t="n">
        <x:v>19.33</x:v>
      </x:c>
      <x:c r="Q846" s="26" t="n">
        <x:v>36.52</x:v>
      </x:c>
      <x:c r="R846" s="26" t="n">
        <x:v>45.11</x:v>
      </x:c>
      <x:c r="S846" s="26" t="n">
        <x:v>356.57</x:v>
      </x:c>
    </x:row>
    <x:row r="847">
      <x:c r="A847" t="n">
        <x:v>500844</x:v>
      </x:c>
      <x:c r="B847" s="24" t="n">
        <x:v>45816</x:v>
      </x:c>
      <x:c r="C847" t="n">
        <x:v>1019</x:v>
      </x:c>
      <x:c r="D847" t="str">
        <x:v>Seller 1019</x:v>
      </x:c>
      <x:c r="E847" t="str">
        <x:v>Gold</x:v>
      </x:c>
      <x:c r="F847" t="str">
        <x:v>East</x:v>
      </x:c>
      <x:c r="G847" t="str">
        <x:v>Apparel</x:v>
      </x:c>
      <x:c r="H847" t="n">
        <x:v>4</x:v>
      </x:c>
      <x:c r="I847" s="26" t="n">
        <x:v>1303.1999999999998</x:v>
      </x:c>
      <x:c r="J847" s="26" t="n">
        <x:v>5516.4</x:v>
      </x:c>
      <x:c r="K847" s="28" t="n">
        <x:v>0.1123</x:v>
      </x:c>
      <x:c r="L847" s="26" t="n">
        <x:v>619.49</x:v>
      </x:c>
      <x:c r="M847" t="n">
        <x:v>0</x:v>
      </x:c>
      <x:c r="N847" s="26" t="n">
        <x:v>0</x:v>
      </x:c>
      <x:c r="O847" s="26" t="n">
        <x:v>102.05</x:v>
      </x:c>
      <x:c r="P847" s="26" t="n">
        <x:v>24.82</x:v>
      </x:c>
      <x:c r="Q847" s="26" t="n">
        <x:v>46.89</x:v>
      </x:c>
      <x:c r="R847" s="26" t="n">
        <x:v>57.92</x:v>
      </x:c>
      <x:c r="S847" s="26" t="n">
        <x:v>387.8</x:v>
      </x:c>
    </x:row>
    <x:row r="848">
      <x:c r="A848" t="n">
        <x:v>500845</x:v>
      </x:c>
      <x:c r="B848" s="24" t="n">
        <x:v>45837</x:v>
      </x:c>
      <x:c r="C848" t="n">
        <x:v>1073</x:v>
      </x:c>
      <x:c r="D848" t="str">
        <x:v>Seller 1073</x:v>
      </x:c>
      <x:c r="E848" t="str">
        <x:v>Bronze</x:v>
      </x:c>
      <x:c r="F848" t="str">
        <x:v>Central</x:v>
      </x:c>
      <x:c r="G848" t="str">
        <x:v>Sports</x:v>
      </x:c>
      <x:c r="H848" t="n">
        <x:v>3</x:v>
      </x:c>
      <x:c r="I848" s="26" t="n">
        <x:v>2770.8</x:v>
      </x:c>
      <x:c r="J848" s="26" t="n">
        <x:v>4742.4</x:v>
      </x:c>
      <x:c r="K848" s="28" t="n">
        <x:v>0.1161</x:v>
      </x:c>
      <x:c r="L848" s="26" t="n">
        <x:v>550.59</x:v>
      </x:c>
      <x:c r="M848" t="n">
        <x:v>0</x:v>
      </x:c>
      <x:c r="N848" s="26" t="n">
        <x:v>0</x:v>
      </x:c>
      <x:c r="O848" s="26" t="n">
        <x:v>87.73</x:v>
      </x:c>
      <x:c r="P848" s="26" t="n">
        <x:v>21.34</x:v>
      </x:c>
      <x:c r="Q848" s="26" t="n">
        <x:v>40.31</x:v>
      </x:c>
      <x:c r="R848" s="26" t="n">
        <x:v>49.8</x:v>
      </x:c>
      <x:c r="S848" s="26" t="n">
        <x:v>351.41</x:v>
      </x:c>
    </x:row>
    <x:row r="849">
      <x:c r="A849" t="n">
        <x:v>500846</x:v>
      </x:c>
      <x:c r="B849" s="24" t="n">
        <x:v>45811</x:v>
      </x:c>
      <x:c r="C849" t="n">
        <x:v>1010</x:v>
      </x:c>
      <x:c r="D849" t="str">
        <x:v>Seller 1010</x:v>
      </x:c>
      <x:c r="E849" t="str">
        <x:v>Platinum</x:v>
      </x:c>
      <x:c r="F849" t="str">
        <x:v>West</x:v>
      </x:c>
      <x:c r="G849" t="str">
        <x:v>Home &amp; Kitchen</x:v>
      </x:c>
      <x:c r="H849" t="n">
        <x:v>2</x:v>
      </x:c>
      <x:c r="I849" s="26" t="n">
        <x:v>2461.8</x:v>
      </x:c>
      <x:c r="J849" s="26" t="n">
        <x:v>7024.2</x:v>
      </x:c>
      <x:c r="K849" s="28" t="n">
        <x:v>0.1309</x:v>
      </x:c>
      <x:c r="L849" s="26" t="n">
        <x:v>919.47</x:v>
      </x:c>
      <x:c r="M849" t="n">
        <x:v>0</x:v>
      </x:c>
      <x:c r="N849" s="26" t="n">
        <x:v>0</x:v>
      </x:c>
      <x:c r="O849" s="26" t="n">
        <x:v>129.95</x:v>
      </x:c>
      <x:c r="P849" s="26" t="n">
        <x:v>31.61</x:v>
      </x:c>
      <x:c r="Q849" s="26" t="n">
        <x:v>59.71</x:v>
      </x:c>
      <x:c r="R849" s="26" t="n">
        <x:v>73.75</x:v>
      </x:c>
      <x:c r="S849" s="26" t="n">
        <x:v>624.45</x:v>
      </x:c>
    </x:row>
    <x:row r="850">
      <x:c r="A850" t="n">
        <x:v>500847</x:v>
      </x:c>
      <x:c r="B850" s="24" t="n">
        <x:v>45830</x:v>
      </x:c>
      <x:c r="C850" t="n">
        <x:v>1051</x:v>
      </x:c>
      <x:c r="D850" t="str">
        <x:v>Seller 1051</x:v>
      </x:c>
      <x:c r="E850" t="str">
        <x:v>Silver</x:v>
      </x:c>
      <x:c r="F850" t="str">
        <x:v>East</x:v>
      </x:c>
      <x:c r="G850" t="str">
        <x:v>Sports</x:v>
      </x:c>
      <x:c r="H850" t="n">
        <x:v>2</x:v>
      </x:c>
      <x:c r="I850" s="26" t="n">
        <x:v>2205.6</x:v>
      </x:c>
      <x:c r="J850" s="26" t="n">
        <x:v>3572.4</x:v>
      </x:c>
      <x:c r="K850" s="28" t="n">
        <x:v>0.1238</x:v>
      </x:c>
      <x:c r="L850" s="26" t="n">
        <x:v>442.26</x:v>
      </x:c>
      <x:c r="M850" t="n">
        <x:v>0</x:v>
      </x:c>
      <x:c r="N850" s="26" t="n">
        <x:v>0</x:v>
      </x:c>
      <x:c r="O850" s="26" t="n">
        <x:v>66.09</x:v>
      </x:c>
      <x:c r="P850" s="26" t="n">
        <x:v>16.08</x:v>
      </x:c>
      <x:c r="Q850" s="26" t="n">
        <x:v>30.37</x:v>
      </x:c>
      <x:c r="R850" s="26" t="n">
        <x:v>37.51</x:v>
      </x:c>
      <x:c r="S850" s="26" t="n">
        <x:v>292.22</x:v>
      </x:c>
    </x:row>
    <x:row r="851">
      <x:c r="A851" t="n">
        <x:v>500848</x:v>
      </x:c>
      <x:c r="B851" s="24" t="n">
        <x:v>45822</x:v>
      </x:c>
      <x:c r="C851" t="n">
        <x:v>1062</x:v>
      </x:c>
      <x:c r="D851" t="str">
        <x:v>Seller 1062</x:v>
      </x:c>
      <x:c r="E851" t="str">
        <x:v>Bronze</x:v>
      </x:c>
      <x:c r="F851" t="str">
        <x:v>West</x:v>
      </x:c>
      <x:c r="G851" t="str">
        <x:v>Electronics</x:v>
      </x:c>
      <x:c r="H851" t="n">
        <x:v>3</x:v>
      </x:c>
      <x:c r="I851" s="26" t="n">
        <x:v>2640.6</x:v>
      </x:c>
      <x:c r="J851" s="26" t="n">
        <x:v>4519.8</x:v>
      </x:c>
      <x:c r="K851" s="28" t="n">
        <x:v>0.1131</x:v>
      </x:c>
      <x:c r="L851" s="26" t="n">
        <x:v>511.19</x:v>
      </x:c>
      <x:c r="M851" t="n">
        <x:v>0</x:v>
      </x:c>
      <x:c r="N851" s="26" t="n">
        <x:v>0</x:v>
      </x:c>
      <x:c r="O851" s="26" t="n">
        <x:v>83.62</x:v>
      </x:c>
      <x:c r="P851" s="26" t="n">
        <x:v>20.34</x:v>
      </x:c>
      <x:c r="Q851" s="26" t="n">
        <x:v>38.42</x:v>
      </x:c>
      <x:c r="R851" s="26" t="n">
        <x:v>47.46</x:v>
      </x:c>
      <x:c r="S851" s="26" t="n">
        <x:v>321.36</x:v>
      </x:c>
    </x:row>
    <x:row r="852">
      <x:c r="A852" t="n">
        <x:v>500849</x:v>
      </x:c>
      <x:c r="B852" s="24" t="n">
        <x:v>45817</x:v>
      </x:c>
      <x:c r="C852" t="n">
        <x:v>1042</x:v>
      </x:c>
      <x:c r="D852" t="str">
        <x:v>Seller 1042</x:v>
      </x:c>
      <x:c r="E852" t="str">
        <x:v>Silver</x:v>
      </x:c>
      <x:c r="F852" t="str">
        <x:v>East</x:v>
      </x:c>
      <x:c r="G852" t="str">
        <x:v>Pet Supplies</x:v>
      </x:c>
      <x:c r="H852" t="n">
        <x:v>3</x:v>
      </x:c>
      <x:c r="I852" s="26" t="n">
        <x:v>793.8000000000001</x:v>
      </x:c>
      <x:c r="J852" s="26" t="n">
        <x:v>1928.4</x:v>
      </x:c>
      <x:c r="K852" s="28" t="n">
        <x:v>0.1231</x:v>
      </x:c>
      <x:c r="L852" s="26" t="n">
        <x:v>237.39</x:v>
      </x:c>
      <x:c r="M852" t="n">
        <x:v>0</x:v>
      </x:c>
      <x:c r="N852" s="26" t="n">
        <x:v>0</x:v>
      </x:c>
      <x:c r="O852" s="26" t="n">
        <x:v>35.68</x:v>
      </x:c>
      <x:c r="P852" s="26" t="n">
        <x:v>8.68</x:v>
      </x:c>
      <x:c r="Q852" s="26" t="n">
        <x:v>16.39</x:v>
      </x:c>
      <x:c r="R852" s="26" t="n">
        <x:v>20.25</x:v>
      </x:c>
      <x:c r="S852" s="26" t="n">
        <x:v>156.39</x:v>
      </x:c>
    </x:row>
    <x:row r="853">
      <x:c r="A853" t="n">
        <x:v>500850</x:v>
      </x:c>
      <x:c r="B853" s="24" t="n">
        <x:v>45832</x:v>
      </x:c>
      <x:c r="C853" t="n">
        <x:v>1042</x:v>
      </x:c>
      <x:c r="D853" t="str">
        <x:v>Seller 1042</x:v>
      </x:c>
      <x:c r="E853" t="str">
        <x:v>Silver</x:v>
      </x:c>
      <x:c r="F853" t="str">
        <x:v>East</x:v>
      </x:c>
      <x:c r="G853" t="str">
        <x:v>Pet Supplies</x:v>
      </x:c>
      <x:c r="H853" t="n">
        <x:v>4</x:v>
      </x:c>
      <x:c r="I853" s="26" t="n">
        <x:v>1044.6</x:v>
      </x:c>
      <x:c r="J853" s="26" t="n">
        <x:v>3383.4</x:v>
      </x:c>
      <x:c r="K853" s="28" t="n">
        <x:v>0.1292</x:v>
      </x:c>
      <x:c r="L853" s="26" t="n">
        <x:v>437.14</x:v>
      </x:c>
      <x:c r="M853" t="n">
        <x:v>0</x:v>
      </x:c>
      <x:c r="N853" s="26" t="n">
        <x:v>0</x:v>
      </x:c>
      <x:c r="O853" s="26" t="n">
        <x:v>62.59</x:v>
      </x:c>
      <x:c r="P853" s="26" t="n">
        <x:v>15.23</x:v>
      </x:c>
      <x:c r="Q853" s="26" t="n">
        <x:v>28.76</x:v>
      </x:c>
      <x:c r="R853" s="26" t="n">
        <x:v>35.53</x:v>
      </x:c>
      <x:c r="S853" s="26" t="n">
        <x:v>295.03</x:v>
      </x:c>
    </x:row>
    <x:row r="854">
      <x:c r="A854" t="n">
        <x:v>500851</x:v>
      </x:c>
      <x:c r="B854" s="24" t="n">
        <x:v>45828</x:v>
      </x:c>
      <x:c r="C854" t="n">
        <x:v>1052</x:v>
      </x:c>
      <x:c r="D854" t="str">
        <x:v>Seller 1052</x:v>
      </x:c>
      <x:c r="E854" t="str">
        <x:v>Silver</x:v>
      </x:c>
      <x:c r="F854" t="str">
        <x:v>Central</x:v>
      </x:c>
      <x:c r="G854" t="str">
        <x:v>Pet Supplies</x:v>
      </x:c>
      <x:c r="H854" t="n">
        <x:v>2</x:v>
      </x:c>
      <x:c r="I854" s="26" t="n">
        <x:v>1440.6000000000001</x:v>
      </x:c>
      <x:c r="J854" s="26" t="n">
        <x:v>2334</x:v>
      </x:c>
      <x:c r="K854" s="28" t="n">
        <x:v>0.1387</x:v>
      </x:c>
      <x:c r="L854" s="26" t="n">
        <x:v>323.73</x:v>
      </x:c>
      <x:c r="M854" t="n">
        <x:v>0</x:v>
      </x:c>
      <x:c r="N854" s="26" t="n">
        <x:v>0</x:v>
      </x:c>
      <x:c r="O854" s="26" t="n">
        <x:v>43.18</x:v>
      </x:c>
      <x:c r="P854" s="26" t="n">
        <x:v>10.5</x:v>
      </x:c>
      <x:c r="Q854" s="26" t="n">
        <x:v>19.84</x:v>
      </x:c>
      <x:c r="R854" s="26" t="n">
        <x:v>24.51</x:v>
      </x:c>
      <x:c r="S854" s="26" t="n">
        <x:v>225.7</x:v>
      </x:c>
    </x:row>
    <x:row r="855">
      <x:c r="A855" t="n">
        <x:v>500852</x:v>
      </x:c>
      <x:c r="B855" s="24" t="n">
        <x:v>45812</x:v>
      </x:c>
      <x:c r="C855" t="n">
        <x:v>1020</x:v>
      </x:c>
      <x:c r="D855" t="str">
        <x:v>Seller 1020</x:v>
      </x:c>
      <x:c r="E855" t="str">
        <x:v>Gold</x:v>
      </x:c>
      <x:c r="F855" t="str">
        <x:v>West</x:v>
      </x:c>
      <x:c r="G855" t="str">
        <x:v>Home &amp; Kitchen</x:v>
      </x:c>
      <x:c r="H855" t="n">
        <x:v>1</x:v>
      </x:c>
      <x:c r="I855" s="26" t="n">
        <x:v>4944</x:v>
      </x:c>
      <x:c r="J855" s="26" t="n">
        <x:v>5232.6</x:v>
      </x:c>
      <x:c r="K855" s="28" t="n">
        <x:v>0.1424</x:v>
      </x:c>
      <x:c r="L855" s="26" t="n">
        <x:v>745.12</x:v>
      </x:c>
      <x:c r="M855" t="n">
        <x:v>0</x:v>
      </x:c>
      <x:c r="N855" s="26" t="n">
        <x:v>0</x:v>
      </x:c>
      <x:c r="O855" s="26" t="n">
        <x:v>96.8</x:v>
      </x:c>
      <x:c r="P855" s="26" t="n">
        <x:v>23.55</x:v>
      </x:c>
      <x:c r="Q855" s="26" t="n">
        <x:v>44.48</x:v>
      </x:c>
      <x:c r="R855" s="26" t="n">
        <x:v>54.94</x:v>
      </x:c>
      <x:c r="S855" s="26" t="n">
        <x:v>525.35</x:v>
      </x:c>
    </x:row>
    <x:row r="856">
      <x:c r="A856" t="n">
        <x:v>500853</x:v>
      </x:c>
      <x:c r="B856" s="24" t="n">
        <x:v>45826</x:v>
      </x:c>
      <x:c r="C856" t="n">
        <x:v>1046</x:v>
      </x:c>
      <x:c r="D856" t="str">
        <x:v>Seller 1046</x:v>
      </x:c>
      <x:c r="E856" t="str">
        <x:v>Silver</x:v>
      </x:c>
      <x:c r="F856" t="str">
        <x:v>Central</x:v>
      </x:c>
      <x:c r="G856" t="str">
        <x:v>Sports</x:v>
      </x:c>
      <x:c r="H856" t="n">
        <x:v>3</x:v>
      </x:c>
      <x:c r="I856" s="26" t="n">
        <x:v>1139.3999999999999</x:v>
      </x:c>
      <x:c r="J856" s="26" t="n">
        <x:v>2768.4</x:v>
      </x:c>
      <x:c r="K856" s="28" t="n">
        <x:v>0.1278</x:v>
      </x:c>
      <x:c r="L856" s="26" t="n">
        <x:v>353.8</x:v>
      </x:c>
      <x:c r="M856" t="n">
        <x:v>0</x:v>
      </x:c>
      <x:c r="N856" s="26" t="n">
        <x:v>0</x:v>
      </x:c>
      <x:c r="O856" s="26" t="n">
        <x:v>51.22</x:v>
      </x:c>
      <x:c r="P856" s="26" t="n">
        <x:v>12.46</x:v>
      </x:c>
      <x:c r="Q856" s="26" t="n">
        <x:v>23.53</x:v>
      </x:c>
      <x:c r="R856" s="26" t="n">
        <x:v>29.07</x:v>
      </x:c>
      <x:c r="S856" s="26" t="n">
        <x:v>237.53</x:v>
      </x:c>
    </x:row>
    <x:row r="857">
      <x:c r="A857" t="n">
        <x:v>500854</x:v>
      </x:c>
      <x:c r="B857" s="24" t="n">
        <x:v>45809</x:v>
      </x:c>
      <x:c r="C857" t="n">
        <x:v>1077</x:v>
      </x:c>
      <x:c r="D857" t="str">
        <x:v>Seller 1077</x:v>
      </x:c>
      <x:c r="E857" t="str">
        <x:v>Bronze</x:v>
      </x:c>
      <x:c r="F857" t="str">
        <x:v>South</x:v>
      </x:c>
      <x:c r="G857" t="str">
        <x:v>Home &amp; Kitchen</x:v>
      </x:c>
      <x:c r="H857" t="n">
        <x:v>2</x:v>
      </x:c>
      <x:c r="I857" s="26" t="n">
        <x:v>1742.3999999999999</x:v>
      </x:c>
      <x:c r="J857" s="26" t="n">
        <x:v>1987.8</x:v>
      </x:c>
      <x:c r="K857" s="28" t="n">
        <x:v>0.1377</x:v>
      </x:c>
      <x:c r="L857" s="26" t="n">
        <x:v>273.72</x:v>
      </x:c>
      <x:c r="M857" t="n">
        <x:v>0</x:v>
      </x:c>
      <x:c r="N857" s="26" t="n">
        <x:v>0</x:v>
      </x:c>
      <x:c r="O857" s="26" t="n">
        <x:v>36.77</x:v>
      </x:c>
      <x:c r="P857" s="26" t="n">
        <x:v>8.95</x:v>
      </x:c>
      <x:c r="Q857" s="26" t="n">
        <x:v>16.9</x:v>
      </x:c>
      <x:c r="R857" s="26" t="n">
        <x:v>20.87</x:v>
      </x:c>
      <x:c r="S857" s="26" t="n">
        <x:v>190.23</x:v>
      </x:c>
    </x:row>
    <x:row r="858">
      <x:c r="A858" t="n">
        <x:v>500855</x:v>
      </x:c>
      <x:c r="B858" s="24" t="n">
        <x:v>45828</x:v>
      </x:c>
      <x:c r="C858" t="n">
        <x:v>1066</x:v>
      </x:c>
      <x:c r="D858" t="str">
        <x:v>Seller 1066</x:v>
      </x:c>
      <x:c r="E858" t="str">
        <x:v>Bronze</x:v>
      </x:c>
      <x:c r="F858" t="str">
        <x:v>South</x:v>
      </x:c>
      <x:c r="G858" t="str">
        <x:v>Home &amp; Kitchen</x:v>
      </x:c>
      <x:c r="H858" t="n">
        <x:v>1</x:v>
      </x:c>
      <x:c r="I858" s="26" t="n">
        <x:v>4983.6</x:v>
      </x:c>
      <x:c r="J858" s="26" t="n">
        <x:v>2843.4</x:v>
      </x:c>
      <x:c r="K858" s="28" t="n">
        <x:v>0.1395</x:v>
      </x:c>
      <x:c r="L858" s="26" t="n">
        <x:v>396.65</x:v>
      </x:c>
      <x:c r="M858" t="n">
        <x:v>0</x:v>
      </x:c>
      <x:c r="N858" s="26" t="n">
        <x:v>0</x:v>
      </x:c>
      <x:c r="O858" s="26" t="n">
        <x:v>52.6</x:v>
      </x:c>
      <x:c r="P858" s="26" t="n">
        <x:v>12.8</x:v>
      </x:c>
      <x:c r="Q858" s="26" t="n">
        <x:v>24.17</x:v>
      </x:c>
      <x:c r="R858" s="26" t="n">
        <x:v>29.86</x:v>
      </x:c>
      <x:c r="S858" s="26" t="n">
        <x:v>277.23</x:v>
      </x:c>
    </x:row>
    <x:row r="859">
      <x:c r="A859" t="n">
        <x:v>500856</x:v>
      </x:c>
      <x:c r="B859" s="24" t="n">
        <x:v>45829</x:v>
      </x:c>
      <x:c r="C859" t="n">
        <x:v>1068</x:v>
      </x:c>
      <x:c r="D859" t="str">
        <x:v>Seller 1068</x:v>
      </x:c>
      <x:c r="E859" t="str">
        <x:v>Bronze</x:v>
      </x:c>
      <x:c r="F859" t="str">
        <x:v>South</x:v>
      </x:c>
      <x:c r="G859" t="str">
        <x:v>Pet Supplies</x:v>
      </x:c>
      <x:c r="H859" t="n">
        <x:v>2</x:v>
      </x:c>
      <x:c r="I859" s="26" t="n">
        <x:v>1580.4</x:v>
      </x:c>
      <x:c r="J859" s="26" t="n">
        <x:v>1803</x:v>
      </x:c>
      <x:c r="K859" s="28" t="n">
        <x:v>0.1392</x:v>
      </x:c>
      <x:c r="L859" s="26" t="n">
        <x:v>250.98</x:v>
      </x:c>
      <x:c r="M859" t="n">
        <x:v>0</x:v>
      </x:c>
      <x:c r="N859" s="26" t="n">
        <x:v>0</x:v>
      </x:c>
      <x:c r="O859" s="26" t="n">
        <x:v>33.36</x:v>
      </x:c>
      <x:c r="P859" s="26" t="n">
        <x:v>8.11</x:v>
      </x:c>
      <x:c r="Q859" s="26" t="n">
        <x:v>15.33</x:v>
      </x:c>
      <x:c r="R859" s="26" t="n">
        <x:v>18.93</x:v>
      </x:c>
      <x:c r="S859" s="26" t="n">
        <x:v>175.25</x:v>
      </x:c>
    </x:row>
    <x:row r="860">
      <x:c r="A860" t="n">
        <x:v>500857</x:v>
      </x:c>
      <x:c r="B860" s="24" t="n">
        <x:v>45824</x:v>
      </x:c>
      <x:c r="C860" t="n">
        <x:v>1039</x:v>
      </x:c>
      <x:c r="D860" t="str">
        <x:v>Seller 1039</x:v>
      </x:c>
      <x:c r="E860" t="str">
        <x:v>Silver</x:v>
      </x:c>
      <x:c r="F860" t="str">
        <x:v>East</x:v>
      </x:c>
      <x:c r="G860" t="str">
        <x:v>Sports</x:v>
      </x:c>
      <x:c r="H860" t="n">
        <x:v>1</x:v>
      </x:c>
      <x:c r="I860" s="26" t="n">
        <x:v>4767.599999999999</x:v>
      </x:c>
      <x:c r="J860" s="26" t="n">
        <x:v>3861</x:v>
      </x:c>
      <x:c r="K860" s="28" t="n">
        <x:v>0.1292</x:v>
      </x:c>
      <x:c r="L860" s="26" t="n">
        <x:v>498.84</x:v>
      </x:c>
      <x:c r="M860" t="n">
        <x:v>0</x:v>
      </x:c>
      <x:c r="N860" s="26" t="n">
        <x:v>0</x:v>
      </x:c>
      <x:c r="O860" s="26" t="n">
        <x:v>71.43</x:v>
      </x:c>
      <x:c r="P860" s="26" t="n">
        <x:v>17.37</x:v>
      </x:c>
      <x:c r="Q860" s="26" t="n">
        <x:v>32.82</x:v>
      </x:c>
      <x:c r="R860" s="26" t="n">
        <x:v>40.54</x:v>
      </x:c>
      <x:c r="S860" s="26" t="n">
        <x:v>336.68</x:v>
      </x:c>
    </x:row>
    <x:row r="861">
      <x:c r="A861" t="n">
        <x:v>500858</x:v>
      </x:c>
      <x:c r="B861" s="24" t="n">
        <x:v>45832</x:v>
      </x:c>
      <x:c r="C861" t="n">
        <x:v>1055</x:v>
      </x:c>
      <x:c r="D861" t="str">
        <x:v>Seller 1055</x:v>
      </x:c>
      <x:c r="E861" t="str">
        <x:v>Bronze</x:v>
      </x:c>
      <x:c r="F861" t="str">
        <x:v>Central</x:v>
      </x:c>
      <x:c r="G861" t="str">
        <x:v>Pet Supplies</x:v>
      </x:c>
      <x:c r="H861" t="n">
        <x:v>1</x:v>
      </x:c>
      <x:c r="I861" s="26" t="n">
        <x:v>3207.6</x:v>
      </x:c>
      <x:c r="J861" s="26" t="n">
        <x:v>1830.6</x:v>
      </x:c>
      <x:c r="K861" s="28" t="n">
        <x:v>0.1395</x:v>
      </x:c>
      <x:c r="L861" s="26" t="n">
        <x:v>255.37</x:v>
      </x:c>
      <x:c r="M861" t="n">
        <x:v>0</x:v>
      </x:c>
      <x:c r="N861" s="26" t="n">
        <x:v>0</x:v>
      </x:c>
      <x:c r="O861" s="26" t="n">
        <x:v>33.87</x:v>
      </x:c>
      <x:c r="P861" s="26" t="n">
        <x:v>8.24</x:v>
      </x:c>
      <x:c r="Q861" s="26" t="n">
        <x:v>15.56</x:v>
      </x:c>
      <x:c r="R861" s="26" t="n">
        <x:v>19.22</x:v>
      </x:c>
      <x:c r="S861" s="26" t="n">
        <x:v>178.48</x:v>
      </x:c>
    </x:row>
    <x:row r="862">
      <x:c r="A862" t="n">
        <x:v>500859</x:v>
      </x:c>
      <x:c r="B862" s="24" t="n">
        <x:v>45821</x:v>
      </x:c>
      <x:c r="C862" t="n">
        <x:v>1065</x:v>
      </x:c>
      <x:c r="D862" t="str">
        <x:v>Seller 1065</x:v>
      </x:c>
      <x:c r="E862" t="str">
        <x:v>Bronze</x:v>
      </x:c>
      <x:c r="F862" t="str">
        <x:v>South</x:v>
      </x:c>
      <x:c r="G862" t="str">
        <x:v>Home &amp; Kitchen</x:v>
      </x:c>
      <x:c r="H862" t="n">
        <x:v>2</x:v>
      </x:c>
      <x:c r="I862" s="26" t="n">
        <x:v>2022.0000000000002</x:v>
      </x:c>
      <x:c r="J862" s="26" t="n">
        <x:v>2307.6</x:v>
      </x:c>
      <x:c r="K862" s="28" t="n">
        <x:v>0.1419</x:v>
      </x:c>
      <x:c r="L862" s="26" t="n">
        <x:v>327.45</x:v>
      </x:c>
      <x:c r="M862" t="n">
        <x:v>0</x:v>
      </x:c>
      <x:c r="N862" s="26" t="n">
        <x:v>0</x:v>
      </x:c>
      <x:c r="O862" s="26" t="n">
        <x:v>42.69</x:v>
      </x:c>
      <x:c r="P862" s="26" t="n">
        <x:v>10.38</x:v>
      </x:c>
      <x:c r="Q862" s="26" t="n">
        <x:v>19.61</x:v>
      </x:c>
      <x:c r="R862" s="26" t="n">
        <x:v>24.23</x:v>
      </x:c>
      <x:c r="S862" s="26" t="n">
        <x:v>230.53</x:v>
      </x:c>
    </x:row>
    <x:row r="863">
      <x:c r="A863" t="n">
        <x:v>500860</x:v>
      </x:c>
      <x:c r="B863" s="24" t="n">
        <x:v>45837</x:v>
      </x:c>
      <x:c r="C863" t="n">
        <x:v>1039</x:v>
      </x:c>
      <x:c r="D863" t="str">
        <x:v>Seller 1039</x:v>
      </x:c>
      <x:c r="E863" t="str">
        <x:v>Silver</x:v>
      </x:c>
      <x:c r="F863" t="str">
        <x:v>East</x:v>
      </x:c>
      <x:c r="G863" t="str">
        <x:v>Pet Supplies</x:v>
      </x:c>
      <x:c r="H863" t="n">
        <x:v>2</x:v>
      </x:c>
      <x:c r="I863" s="26" t="n">
        <x:v>1145.4</x:v>
      </x:c>
      <x:c r="J863" s="26" t="n">
        <x:v>1855.2</x:v>
      </x:c>
      <x:c r="K863" s="28" t="n">
        <x:v>0.1308</x:v>
      </x:c>
      <x:c r="L863" s="26" t="n">
        <x:v>242.66</x:v>
      </x:c>
      <x:c r="M863" t="n">
        <x:v>0</x:v>
      </x:c>
      <x:c r="N863" s="26" t="n">
        <x:v>0</x:v>
      </x:c>
      <x:c r="O863" s="26" t="n">
        <x:v>34.32</x:v>
      </x:c>
      <x:c r="P863" s="26" t="n">
        <x:v>8.35</x:v>
      </x:c>
      <x:c r="Q863" s="26" t="n">
        <x:v>15.77</x:v>
      </x:c>
      <x:c r="R863" s="26" t="n">
        <x:v>19.48</x:v>
      </x:c>
      <x:c r="S863" s="26" t="n">
        <x:v>164.74</x:v>
      </x:c>
    </x:row>
    <x:row r="864">
      <x:c r="A864" t="n">
        <x:v>500861</x:v>
      </x:c>
      <x:c r="B864" s="24" t="n">
        <x:v>45808</x:v>
      </x:c>
      <x:c r="C864" t="n">
        <x:v>1024</x:v>
      </x:c>
      <x:c r="D864" t="str">
        <x:v>Seller 1024</x:v>
      </x:c>
      <x:c r="E864" t="str">
        <x:v>Gold</x:v>
      </x:c>
      <x:c r="F864" t="str">
        <x:v>West</x:v>
      </x:c>
      <x:c r="G864" t="str">
        <x:v>Pet Supplies</x:v>
      </x:c>
      <x:c r="H864" t="n">
        <x:v>4</x:v>
      </x:c>
      <x:c r="I864" s="26" t="n">
        <x:v>1114.2</x:v>
      </x:c>
      <x:c r="J864" s="26" t="n">
        <x:v>4717.2</x:v>
      </x:c>
      <x:c r="K864" s="28" t="n">
        <x:v>0.1262</x:v>
      </x:c>
      <x:c r="L864" s="26" t="n">
        <x:v>595.31</x:v>
      </x:c>
      <x:c r="M864" t="n">
        <x:v>0</x:v>
      </x:c>
      <x:c r="N864" s="26" t="n">
        <x:v>0</x:v>
      </x:c>
      <x:c r="O864" s="26" t="n">
        <x:v>87.27</x:v>
      </x:c>
      <x:c r="P864" s="26" t="n">
        <x:v>21.23</x:v>
      </x:c>
      <x:c r="Q864" s="26" t="n">
        <x:v>40.1</x:v>
      </x:c>
      <x:c r="R864" s="26" t="n">
        <x:v>49.53</x:v>
      </x:c>
      <x:c r="S864" s="26" t="n">
        <x:v>397.19</x:v>
      </x:c>
    </x:row>
    <x:row r="865">
      <x:c r="A865" t="n">
        <x:v>500862</x:v>
      </x:c>
      <x:c r="B865" s="24" t="n">
        <x:v>45831</x:v>
      </x:c>
      <x:c r="C865" t="n">
        <x:v>1001</x:v>
      </x:c>
      <x:c r="D865" t="str">
        <x:v>Seller 1001</x:v>
      </x:c>
      <x:c r="E865" t="str">
        <x:v>Platinum</x:v>
      </x:c>
      <x:c r="F865" t="str">
        <x:v>East</x:v>
      </x:c>
      <x:c r="G865" t="str">
        <x:v>Electronics</x:v>
      </x:c>
      <x:c r="H865" t="n">
        <x:v>3</x:v>
      </x:c>
      <x:c r="I865" s="26" t="n">
        <x:v>2985</x:v>
      </x:c>
      <x:c r="J865" s="26" t="n">
        <x:v>12773.4</x:v>
      </x:c>
      <x:c r="K865" s="28" t="n">
        <x:v>0.124</x:v>
      </x:c>
      <x:c r="L865" s="26" t="n">
        <x:v>1583.9</x:v>
      </x:c>
      <x:c r="M865" t="n">
        <x:v>0</x:v>
      </x:c>
      <x:c r="N865" s="26" t="n">
        <x:v>0</x:v>
      </x:c>
      <x:c r="O865" s="26" t="n">
        <x:v>236.31</x:v>
      </x:c>
      <x:c r="P865" s="26" t="n">
        <x:v>57.48</x:v>
      </x:c>
      <x:c r="Q865" s="26" t="n">
        <x:v>108.57</x:v>
      </x:c>
      <x:c r="R865" s="26" t="n">
        <x:v>134.12</x:v>
      </x:c>
      <x:c r="S865" s="26" t="n">
        <x:v>1047.42</x:v>
      </x:c>
    </x:row>
    <x:row r="866">
      <x:c r="A866" t="n">
        <x:v>500863</x:v>
      </x:c>
      <x:c r="B866" s="24" t="n">
        <x:v>45829</x:v>
      </x:c>
      <x:c r="C866" t="n">
        <x:v>1078</x:v>
      </x:c>
      <x:c r="D866" t="str">
        <x:v>Seller 1078</x:v>
      </x:c>
      <x:c r="E866" t="str">
        <x:v>Bronze</x:v>
      </x:c>
      <x:c r="F866" t="str">
        <x:v>East</x:v>
      </x:c>
      <x:c r="G866" t="str">
        <x:v>Home &amp; Kitchen</x:v>
      </x:c>
      <x:c r="H866" t="n">
        <x:v>2</x:v>
      </x:c>
      <x:c r="I866" s="26" t="n">
        <x:v>3141.6</x:v>
      </x:c>
      <x:c r="J866" s="26" t="n">
        <x:v>3585</x:v>
      </x:c>
      <x:c r="K866" s="28" t="n">
        <x:v>0.1378</x:v>
      </x:c>
      <x:c r="L866" s="26" t="n">
        <x:v>494.01</x:v>
      </x:c>
      <x:c r="M866" t="n">
        <x:v>0</x:v>
      </x:c>
      <x:c r="N866" s="26" t="n">
        <x:v>0</x:v>
      </x:c>
      <x:c r="O866" s="26" t="n">
        <x:v>66.32</x:v>
      </x:c>
      <x:c r="P866" s="26" t="n">
        <x:v>16.13</x:v>
      </x:c>
      <x:c r="Q866" s="26" t="n">
        <x:v>30.47</x:v>
      </x:c>
      <x:c r="R866" s="26" t="n">
        <x:v>37.64</x:v>
      </x:c>
      <x:c r="S866" s="26" t="n">
        <x:v>343.44</x:v>
      </x:c>
    </x:row>
    <x:row r="867">
      <x:c r="A867" t="n">
        <x:v>500864</x:v>
      </x:c>
      <x:c r="B867" s="24" t="n">
        <x:v>45835</x:v>
      </x:c>
      <x:c r="C867" t="n">
        <x:v>1051</x:v>
      </x:c>
      <x:c r="D867" t="str">
        <x:v>Seller 1051</x:v>
      </x:c>
      <x:c r="E867" t="str">
        <x:v>Silver</x:v>
      </x:c>
      <x:c r="F867" t="str">
        <x:v>East</x:v>
      </x:c>
      <x:c r="G867" t="str">
        <x:v>Electronics</x:v>
      </x:c>
      <x:c r="H867" t="n">
        <x:v>2</x:v>
      </x:c>
      <x:c r="I867" s="26" t="n">
        <x:v>4432.200000000001</x:v>
      </x:c>
      <x:c r="J867" s="26" t="n">
        <x:v>7179</x:v>
      </x:c>
      <x:c r="K867" s="28" t="n">
        <x:v>0.1157</x:v>
      </x:c>
      <x:c r="L867" s="26" t="n">
        <x:v>830.61</x:v>
      </x:c>
      <x:c r="M867" t="n">
        <x:v>0</x:v>
      </x:c>
      <x:c r="N867" s="26" t="n">
        <x:v>0</x:v>
      </x:c>
      <x:c r="O867" s="26" t="n">
        <x:v>132.81</x:v>
      </x:c>
      <x:c r="P867" s="26" t="n">
        <x:v>32.31</x:v>
      </x:c>
      <x:c r="Q867" s="26" t="n">
        <x:v>61.02</x:v>
      </x:c>
      <x:c r="R867" s="26" t="n">
        <x:v>75.38</x:v>
      </x:c>
      <x:c r="S867" s="26" t="n">
        <x:v>529.09</x:v>
      </x:c>
    </x:row>
    <x:row r="868">
      <x:c r="A868" t="n">
        <x:v>500865</x:v>
      </x:c>
      <x:c r="B868" s="24" t="n">
        <x:v>45814</x:v>
      </x:c>
      <x:c r="C868" t="n">
        <x:v>1004</x:v>
      </x:c>
      <x:c r="D868" t="str">
        <x:v>Seller 1004</x:v>
      </x:c>
      <x:c r="E868" t="str">
        <x:v>Platinum</x:v>
      </x:c>
      <x:c r="F868" t="str">
        <x:v>East</x:v>
      </x:c>
      <x:c r="G868" t="str">
        <x:v>Sports</x:v>
      </x:c>
      <x:c r="H868" t="n">
        <x:v>1</x:v>
      </x:c>
      <x:c r="I868" s="26" t="n">
        <x:v>4135.2</x:v>
      </x:c>
      <x:c r="J868" s="26" t="n">
        <x:v>5898.6</x:v>
      </x:c>
      <x:c r="K868" s="28" t="n">
        <x:v>0.1265</x:v>
      </x:c>
      <x:c r="L868" s="26" t="n">
        <x:v>746.17</x:v>
      </x:c>
      <x:c r="M868" t="n">
        <x:v>0</x:v>
      </x:c>
      <x:c r="N868" s="26" t="n">
        <x:v>0</x:v>
      </x:c>
      <x:c r="O868" s="26" t="n">
        <x:v>109.12</x:v>
      </x:c>
      <x:c r="P868" s="26" t="n">
        <x:v>26.54</x:v>
      </x:c>
      <x:c r="Q868" s="26" t="n">
        <x:v>50.14</x:v>
      </x:c>
      <x:c r="R868" s="26" t="n">
        <x:v>61.94</x:v>
      </x:c>
      <x:c r="S868" s="26" t="n">
        <x:v>498.43</x:v>
      </x:c>
    </x:row>
    <x:row r="869">
      <x:c r="A869" t="n">
        <x:v>500866</x:v>
      </x:c>
      <x:c r="B869" s="24" t="n">
        <x:v>45830</x:v>
      </x:c>
      <x:c r="C869" t="n">
        <x:v>1012</x:v>
      </x:c>
      <x:c r="D869" t="str">
        <x:v>Seller 1012</x:v>
      </x:c>
      <x:c r="E869" t="str">
        <x:v>Platinum</x:v>
      </x:c>
      <x:c r="F869" t="str">
        <x:v>East</x:v>
      </x:c>
      <x:c r="G869" t="str">
        <x:v>Beauty</x:v>
      </x:c>
      <x:c r="H869" t="n">
        <x:v>1</x:v>
      </x:c>
      <x:c r="I869" s="26" t="n">
        <x:v>2694.6</x:v>
      </x:c>
      <x:c r="J869" s="26" t="n">
        <x:v>3843.6</x:v>
      </x:c>
      <x:c r="K869" s="28" t="n">
        <x:v>0.1335</x:v>
      </x:c>
      <x:c r="L869" s="26" t="n">
        <x:v>513.12</x:v>
      </x:c>
      <x:c r="M869" t="n">
        <x:v>0</x:v>
      </x:c>
      <x:c r="N869" s="26" t="n">
        <x:v>0</x:v>
      </x:c>
      <x:c r="O869" s="26" t="n">
        <x:v>71.11</x:v>
      </x:c>
      <x:c r="P869" s="26" t="n">
        <x:v>17.3</x:v>
      </x:c>
      <x:c r="Q869" s="26" t="n">
        <x:v>32.67</x:v>
      </x:c>
      <x:c r="R869" s="26" t="n">
        <x:v>40.36</x:v>
      </x:c>
      <x:c r="S869" s="26" t="n">
        <x:v>351.69</x:v>
      </x:c>
    </x:row>
    <x:row r="870">
      <x:c r="A870" t="n">
        <x:v>500867</x:v>
      </x:c>
      <x:c r="B870" s="24" t="n">
        <x:v>45820</x:v>
      </x:c>
      <x:c r="C870" t="n">
        <x:v>1057</x:v>
      </x:c>
      <x:c r="D870" t="str">
        <x:v>Seller 1057</x:v>
      </x:c>
      <x:c r="E870" t="str">
        <x:v>Bronze</x:v>
      </x:c>
      <x:c r="F870" t="str">
        <x:v>South</x:v>
      </x:c>
      <x:c r="G870" t="str">
        <x:v>Apparel</x:v>
      </x:c>
      <x:c r="H870" t="n">
        <x:v>3</x:v>
      </x:c>
      <x:c r="I870" s="26" t="n">
        <x:v>1321.2</x:v>
      </x:c>
      <x:c r="J870" s="26" t="n">
        <x:v>2262</x:v>
      </x:c>
      <x:c r="K870" s="28" t="n">
        <x:v>0.1138</x:v>
      </x:c>
      <x:c r="L870" s="26" t="n">
        <x:v>257.42</x:v>
      </x:c>
      <x:c r="M870" t="n">
        <x:v>0</x:v>
      </x:c>
      <x:c r="N870" s="26" t="n">
        <x:v>0</x:v>
      </x:c>
      <x:c r="O870" s="26" t="n">
        <x:v>41.85</x:v>
      </x:c>
      <x:c r="P870" s="26" t="n">
        <x:v>10.18</x:v>
      </x:c>
      <x:c r="Q870" s="26" t="n">
        <x:v>19.23</x:v>
      </x:c>
      <x:c r="R870" s="26" t="n">
        <x:v>23.75</x:v>
      </x:c>
      <x:c r="S870" s="26" t="n">
        <x:v>162.41</x:v>
      </x:c>
    </x:row>
    <x:row r="871">
      <x:c r="A871" t="n">
        <x:v>500868</x:v>
      </x:c>
      <x:c r="B871" s="24" t="n">
        <x:v>45826</x:v>
      </x:c>
      <x:c r="C871" t="n">
        <x:v>1007</x:v>
      </x:c>
      <x:c r="D871" t="str">
        <x:v>Seller 1007</x:v>
      </x:c>
      <x:c r="E871" t="str">
        <x:v>Platinum</x:v>
      </x:c>
      <x:c r="F871" t="str">
        <x:v>South</x:v>
      </x:c>
      <x:c r="G871" t="str">
        <x:v>Home &amp; Kitchen</x:v>
      </x:c>
      <x:c r="H871" t="n">
        <x:v>3</x:v>
      </x:c>
      <x:c r="I871" s="26" t="n">
        <x:v>2098.7999999999997</x:v>
      </x:c>
      <x:c r="J871" s="26" t="n">
        <x:v>8982.6</x:v>
      </x:c>
      <x:c r="K871" s="28" t="n">
        <x:v>0.1334</x:v>
      </x:c>
      <x:c r="L871" s="26" t="n">
        <x:v>1198.28</x:v>
      </x:c>
      <x:c r="M871" t="n">
        <x:v>0</x:v>
      </x:c>
      <x:c r="N871" s="26" t="n">
        <x:v>0</x:v>
      </x:c>
      <x:c r="O871" s="26" t="n">
        <x:v>166.18</x:v>
      </x:c>
      <x:c r="P871" s="26" t="n">
        <x:v>40.42</x:v>
      </x:c>
      <x:c r="Q871" s="26" t="n">
        <x:v>76.35</x:v>
      </x:c>
      <x:c r="R871" s="26" t="n">
        <x:v>94.32</x:v>
      </x:c>
      <x:c r="S871" s="26" t="n">
        <x:v>821.01</x:v>
      </x:c>
    </x:row>
    <x:row r="872">
      <x:c r="A872" t="n">
        <x:v>500869</x:v>
      </x:c>
      <x:c r="B872" s="24" t="n">
        <x:v>45837</x:v>
      </x:c>
      <x:c r="C872" t="n">
        <x:v>1077</x:v>
      </x:c>
      <x:c r="D872" t="str">
        <x:v>Seller 1077</x:v>
      </x:c>
      <x:c r="E872" t="str">
        <x:v>Bronze</x:v>
      </x:c>
      <x:c r="F872" t="str">
        <x:v>South</x:v>
      </x:c>
      <x:c r="G872" t="str">
        <x:v>Home &amp; Kitchen</x:v>
      </x:c>
      <x:c r="H872" t="n">
        <x:v>2</x:v>
      </x:c>
      <x:c r="I872" s="26" t="n">
        <x:v>2459.4</x:v>
      </x:c>
      <x:c r="J872" s="26" t="n">
        <x:v>2806.8</x:v>
      </x:c>
      <x:c r="K872" s="28" t="n">
        <x:v>0.1326</x:v>
      </x:c>
      <x:c r="L872" s="26" t="n">
        <x:v>372.18</x:v>
      </x:c>
      <x:c r="M872" t="n">
        <x:v>0</x:v>
      </x:c>
      <x:c r="N872" s="26" t="n">
        <x:v>0</x:v>
      </x:c>
      <x:c r="O872" s="26" t="n">
        <x:v>51.93</x:v>
      </x:c>
      <x:c r="P872" s="26" t="n">
        <x:v>12.63</x:v>
      </x:c>
      <x:c r="Q872" s="26" t="n">
        <x:v>23.86</x:v>
      </x:c>
      <x:c r="R872" s="26" t="n">
        <x:v>29.47</x:v>
      </x:c>
      <x:c r="S872" s="26" t="n">
        <x:v>254.3</x:v>
      </x:c>
    </x:row>
    <x:row r="873">
      <x:c r="A873" t="n">
        <x:v>500870</x:v>
      </x:c>
      <x:c r="B873" s="24" t="n">
        <x:v>45828</x:v>
      </x:c>
      <x:c r="C873" t="n">
        <x:v>1063</x:v>
      </x:c>
      <x:c r="D873" t="str">
        <x:v>Seller 1063</x:v>
      </x:c>
      <x:c r="E873" t="str">
        <x:v>Bronze</x:v>
      </x:c>
      <x:c r="F873" t="str">
        <x:v>West</x:v>
      </x:c>
      <x:c r="G873" t="str">
        <x:v>Pet Supplies</x:v>
      </x:c>
      <x:c r="H873" t="n">
        <x:v>2</x:v>
      </x:c>
      <x:c r="I873" s="26" t="n">
        <x:v>1578</x:v>
      </x:c>
      <x:c r="J873" s="26" t="n">
        <x:v>1801.2</x:v>
      </x:c>
      <x:c r="K873" s="28" t="n">
        <x:v>0.1338</x:v>
      </x:c>
      <x:c r="L873" s="26" t="n">
        <x:v>241</x:v>
      </x:c>
      <x:c r="M873" t="n">
        <x:v>0</x:v>
      </x:c>
      <x:c r="N873" s="26" t="n">
        <x:v>0</x:v>
      </x:c>
      <x:c r="O873" s="26" t="n">
        <x:v>33.32</x:v>
      </x:c>
      <x:c r="P873" s="26" t="n">
        <x:v>8.11</x:v>
      </x:c>
      <x:c r="Q873" s="26" t="n">
        <x:v>15.31</x:v>
      </x:c>
      <x:c r="R873" s="26" t="n">
        <x:v>18.91</x:v>
      </x:c>
      <x:c r="S873" s="26" t="n">
        <x:v>165.35</x:v>
      </x:c>
    </x:row>
    <x:row r="874">
      <x:c r="A874" t="n">
        <x:v>500871</x:v>
      </x:c>
      <x:c r="B874" s="24" t="n">
        <x:v>45814</x:v>
      </x:c>
      <x:c r="C874" t="n">
        <x:v>1054</x:v>
      </x:c>
      <x:c r="D874" t="str">
        <x:v>Seller 1054</x:v>
      </x:c>
      <x:c r="E874" t="str">
        <x:v>Silver</x:v>
      </x:c>
      <x:c r="F874" t="str">
        <x:v>South</x:v>
      </x:c>
      <x:c r="G874" t="str">
        <x:v>Electronics</x:v>
      </x:c>
      <x:c r="H874" t="n">
        <x:v>1</x:v>
      </x:c>
      <x:c r="I874" s="26" t="n">
        <x:v>8754</x:v>
      </x:c>
      <x:c r="J874" s="26" t="n">
        <x:v>7089.6</x:v>
      </x:c>
      <x:c r="K874" s="28" t="n">
        <x:v>0.1213</x:v>
      </x:c>
      <x:c r="L874" s="26" t="n">
        <x:v>859.97</x:v>
      </x:c>
      <x:c r="M874" t="n">
        <x:v>1</x:v>
      </x:c>
      <x:c r="N874" s="26" t="n">
        <x:v>4818</x:v>
      </x:c>
      <x:c r="O874" s="26" t="n">
        <x:v>131.16</x:v>
      </x:c>
      <x:c r="P874" s="26" t="n">
        <x:v>31.9</x:v>
      </x:c>
      <x:c r="Q874" s="26" t="n">
        <x:v>60.26</x:v>
      </x:c>
      <x:c r="R874" s="26" t="n">
        <x:v>74.44</x:v>
      </x:c>
      <x:c r="S874" s="26" t="n">
        <x:v>465.85</x:v>
      </x:c>
    </x:row>
    <x:row r="875">
      <x:c r="A875" t="n">
        <x:v>500872</x:v>
      </x:c>
      <x:c r="B875" s="24" t="n">
        <x:v>45834</x:v>
      </x:c>
      <x:c r="C875" t="n">
        <x:v>1061</x:v>
      </x:c>
      <x:c r="D875" t="str">
        <x:v>Seller 1061</x:v>
      </x:c>
      <x:c r="E875" t="str">
        <x:v>Bronze</x:v>
      </x:c>
      <x:c r="F875" t="str">
        <x:v>Central</x:v>
      </x:c>
      <x:c r="G875" t="str">
        <x:v>Electronics</x:v>
      </x:c>
      <x:c r="H875" t="n">
        <x:v>2</x:v>
      </x:c>
      <x:c r="I875" s="26" t="n">
        <x:v>4837.200000000001</x:v>
      </x:c>
      <x:c r="J875" s="26" t="n">
        <x:v>5520</x:v>
      </x:c>
      <x:c r="K875" s="28" t="n">
        <x:v>0.1348</x:v>
      </x:c>
      <x:c r="L875" s="26" t="n">
        <x:v>744.1</x:v>
      </x:c>
      <x:c r="M875" t="n">
        <x:v>0</x:v>
      </x:c>
      <x:c r="N875" s="26" t="n">
        <x:v>0</x:v>
      </x:c>
      <x:c r="O875" s="26" t="n">
        <x:v>102.12</x:v>
      </x:c>
      <x:c r="P875" s="26" t="n">
        <x:v>24.84</x:v>
      </x:c>
      <x:c r="Q875" s="26" t="n">
        <x:v>46.92</x:v>
      </x:c>
      <x:c r="R875" s="26" t="n">
        <x:v>57.96</x:v>
      </x:c>
      <x:c r="S875" s="26" t="n">
        <x:v>512.26</x:v>
      </x:c>
    </x:row>
    <x:row r="876">
      <x:c r="A876" t="n">
        <x:v>500873</x:v>
      </x:c>
      <x:c r="B876" s="24" t="n">
        <x:v>45831</x:v>
      </x:c>
      <x:c r="C876" t="n">
        <x:v>1060</x:v>
      </x:c>
      <x:c r="D876" t="str">
        <x:v>Seller 1060</x:v>
      </x:c>
      <x:c r="E876" t="str">
        <x:v>Bronze</x:v>
      </x:c>
      <x:c r="F876" t="str">
        <x:v>East</x:v>
      </x:c>
      <x:c r="G876" t="str">
        <x:v>Pet Supplies</x:v>
      </x:c>
      <x:c r="H876" t="n">
        <x:v>2</x:v>
      </x:c>
      <x:c r="I876" s="26" t="n">
        <x:v>1939.2</x:v>
      </x:c>
      <x:c r="J876" s="26" t="n">
        <x:v>2212.8</x:v>
      </x:c>
      <x:c r="K876" s="28" t="n">
        <x:v>0.143</x:v>
      </x:c>
      <x:c r="L876" s="26" t="n">
        <x:v>316.43</x:v>
      </x:c>
      <x:c r="M876" t="n">
        <x:v>0</x:v>
      </x:c>
      <x:c r="N876" s="26" t="n">
        <x:v>0</x:v>
      </x:c>
      <x:c r="O876" s="26" t="n">
        <x:v>40.94</x:v>
      </x:c>
      <x:c r="P876" s="26" t="n">
        <x:v>9.96</x:v>
      </x:c>
      <x:c r="Q876" s="26" t="n">
        <x:v>18.81</x:v>
      </x:c>
      <x:c r="R876" s="26" t="n">
        <x:v>23.23</x:v>
      </x:c>
      <x:c r="S876" s="26" t="n">
        <x:v>223.49</x:v>
      </x:c>
    </x:row>
    <x:row r="877">
      <x:c r="A877" t="n">
        <x:v>500874</x:v>
      </x:c>
      <x:c r="B877" s="24" t="n">
        <x:v>45814</x:v>
      </x:c>
      <x:c r="C877" t="n">
        <x:v>1047</x:v>
      </x:c>
      <x:c r="D877" t="str">
        <x:v>Seller 1047</x:v>
      </x:c>
      <x:c r="E877" t="str">
        <x:v>Silver</x:v>
      </x:c>
      <x:c r="F877" t="str">
        <x:v>East</x:v>
      </x:c>
      <x:c r="G877" t="str">
        <x:v>Home &amp; Kitchen</x:v>
      </x:c>
      <x:c r="H877" t="n">
        <x:v>2</x:v>
      </x:c>
      <x:c r="I877" s="26" t="n">
        <x:v>2238</x:v>
      </x:c>
      <x:c r="J877" s="26" t="n">
        <x:v>3624.6</x:v>
      </x:c>
      <x:c r="K877" s="28" t="n">
        <x:v>0.141</x:v>
      </x:c>
      <x:c r="L877" s="26" t="n">
        <x:v>511.07</x:v>
      </x:c>
      <x:c r="M877" t="n">
        <x:v>0</x:v>
      </x:c>
      <x:c r="N877" s="26" t="n">
        <x:v>0</x:v>
      </x:c>
      <x:c r="O877" s="26" t="n">
        <x:v>67.06</x:v>
      </x:c>
      <x:c r="P877" s="26" t="n">
        <x:v>16.31</x:v>
      </x:c>
      <x:c r="Q877" s="26" t="n">
        <x:v>30.81</x:v>
      </x:c>
      <x:c r="R877" s="26" t="n">
        <x:v>38.06</x:v>
      </x:c>
      <x:c r="S877" s="26" t="n">
        <x:v>358.84</x:v>
      </x:c>
    </x:row>
    <x:row r="878">
      <x:c r="A878" t="n">
        <x:v>500875</x:v>
      </x:c>
      <x:c r="B878" s="24" t="n">
        <x:v>45809</x:v>
      </x:c>
      <x:c r="C878" t="n">
        <x:v>1021</x:v>
      </x:c>
      <x:c r="D878" t="str">
        <x:v>Seller 1021</x:v>
      </x:c>
      <x:c r="E878" t="str">
        <x:v>Gold</x:v>
      </x:c>
      <x:c r="F878" t="str">
        <x:v>Central</x:v>
      </x:c>
      <x:c r="G878" t="str">
        <x:v>Pet Supplies</x:v>
      </x:c>
      <x:c r="H878" t="n">
        <x:v>3</x:v>
      </x:c>
      <x:c r="I878" s="26" t="n">
        <x:v>1193.4</x:v>
      </x:c>
      <x:c r="J878" s="26" t="n">
        <x:v>3789</x:v>
      </x:c>
      <x:c r="K878" s="28" t="n">
        <x:v>0.1439</x:v>
      </x:c>
      <x:c r="L878" s="26" t="n">
        <x:v>545.24</x:v>
      </x:c>
      <x:c r="M878" t="n">
        <x:v>0</x:v>
      </x:c>
      <x:c r="N878" s="26" t="n">
        <x:v>0</x:v>
      </x:c>
      <x:c r="O878" s="26" t="n">
        <x:v>70.1</x:v>
      </x:c>
      <x:c r="P878" s="26" t="n">
        <x:v>17.05</x:v>
      </x:c>
      <x:c r="Q878" s="26" t="n">
        <x:v>32.21</x:v>
      </x:c>
      <x:c r="R878" s="26" t="n">
        <x:v>39.78</x:v>
      </x:c>
      <x:c r="S878" s="26" t="n">
        <x:v>386.1</x:v>
      </x:c>
    </x:row>
    <x:row r="879">
      <x:c r="A879" t="n">
        <x:v>500876</x:v>
      </x:c>
      <x:c r="B879" s="24" t="n">
        <x:v>45833</x:v>
      </x:c>
      <x:c r="C879" t="n">
        <x:v>1003</x:v>
      </x:c>
      <x:c r="D879" t="str">
        <x:v>Seller 1003</x:v>
      </x:c>
      <x:c r="E879" t="str">
        <x:v>Platinum</x:v>
      </x:c>
      <x:c r="F879" t="str">
        <x:v>East</x:v>
      </x:c>
      <x:c r="G879" t="str">
        <x:v>Pet Supplies</x:v>
      </x:c>
      <x:c r="H879" t="n">
        <x:v>2</x:v>
      </x:c>
      <x:c r="I879" s="26" t="n">
        <x:v>1934.4</x:v>
      </x:c>
      <x:c r="J879" s="26" t="n">
        <x:v>5518.8</x:v>
      </x:c>
      <x:c r="K879" s="28" t="n">
        <x:v>0.1242</x:v>
      </x:c>
      <x:c r="L879" s="26" t="n">
        <x:v>685.43</x:v>
      </x:c>
      <x:c r="M879" t="n">
        <x:v>0</x:v>
      </x:c>
      <x:c r="N879" s="26" t="n">
        <x:v>0</x:v>
      </x:c>
      <x:c r="O879" s="26" t="n">
        <x:v>102.1</x:v>
      </x:c>
      <x:c r="P879" s="26" t="n">
        <x:v>24.83</x:v>
      </x:c>
      <x:c r="Q879" s="26" t="n">
        <x:v>46.91</x:v>
      </x:c>
      <x:c r="R879" s="26" t="n">
        <x:v>57.95</x:v>
      </x:c>
      <x:c r="S879" s="26" t="n">
        <x:v>453.65</x:v>
      </x:c>
    </x:row>
    <x:row r="880">
      <x:c r="A880" t="n">
        <x:v>500877</x:v>
      </x:c>
      <x:c r="B880" s="24" t="n">
        <x:v>45833</x:v>
      </x:c>
      <x:c r="C880" t="n">
        <x:v>1009</x:v>
      </x:c>
      <x:c r="D880" t="str">
        <x:v>Seller 1009</x:v>
      </x:c>
      <x:c r="E880" t="str">
        <x:v>Platinum</x:v>
      </x:c>
      <x:c r="F880" t="str">
        <x:v>Central</x:v>
      </x:c>
      <x:c r="G880" t="str">
        <x:v>Pet Supplies</x:v>
      </x:c>
      <x:c r="H880" t="n">
        <x:v>3</x:v>
      </x:c>
      <x:c r="I880" s="26" t="n">
        <x:v>1157.3999999999999</x:v>
      </x:c>
      <x:c r="J880" s="26" t="n">
        <x:v>4953.6</x:v>
      </x:c>
      <x:c r="K880" s="28" t="n">
        <x:v>0.1335</x:v>
      </x:c>
      <x:c r="L880" s="26" t="n">
        <x:v>661.31</x:v>
      </x:c>
      <x:c r="M880" t="n">
        <x:v>0</x:v>
      </x:c>
      <x:c r="N880" s="26" t="n">
        <x:v>0</x:v>
      </x:c>
      <x:c r="O880" s="26" t="n">
        <x:v>91.64</x:v>
      </x:c>
      <x:c r="P880" s="26" t="n">
        <x:v>22.29</x:v>
      </x:c>
      <x:c r="Q880" s="26" t="n">
        <x:v>42.11</x:v>
      </x:c>
      <x:c r="R880" s="26" t="n">
        <x:v>52.01</x:v>
      </x:c>
      <x:c r="S880" s="26" t="n">
        <x:v>453.25</x:v>
      </x:c>
    </x:row>
    <x:row r="881">
      <x:c r="A881" t="n">
        <x:v>500878</x:v>
      </x:c>
      <x:c r="B881" s="24" t="n">
        <x:v>45830</x:v>
      </x:c>
      <x:c r="C881" t="n">
        <x:v>1046</x:v>
      </x:c>
      <x:c r="D881" t="str">
        <x:v>Seller 1046</x:v>
      </x:c>
      <x:c r="E881" t="str">
        <x:v>Silver</x:v>
      </x:c>
      <x:c r="F881" t="str">
        <x:v>Central</x:v>
      </x:c>
      <x:c r="G881" t="str">
        <x:v>Sports</x:v>
      </x:c>
      <x:c r="H881" t="n">
        <x:v>2</x:v>
      </x:c>
      <x:c r="I881" s="26" t="n">
        <x:v>2487.6</x:v>
      </x:c>
      <x:c r="J881" s="26" t="n">
        <x:v>4029</x:v>
      </x:c>
      <x:c r="K881" s="28" t="n">
        <x:v>0.1326</x:v>
      </x:c>
      <x:c r="L881" s="26" t="n">
        <x:v>534.25</x:v>
      </x:c>
      <x:c r="M881" t="n">
        <x:v>0</x:v>
      </x:c>
      <x:c r="N881" s="26" t="n">
        <x:v>0</x:v>
      </x:c>
      <x:c r="O881" s="26" t="n">
        <x:v>74.54</x:v>
      </x:c>
      <x:c r="P881" s="26" t="n">
        <x:v>18.13</x:v>
      </x:c>
      <x:c r="Q881" s="26" t="n">
        <x:v>34.25</x:v>
      </x:c>
      <x:c r="R881" s="26" t="n">
        <x:v>42.3</x:v>
      </x:c>
      <x:c r="S881" s="26" t="n">
        <x:v>365.03</x:v>
      </x:c>
    </x:row>
    <x:row r="882">
      <x:c r="A882" t="n">
        <x:v>500879</x:v>
      </x:c>
      <x:c r="B882" s="24" t="n">
        <x:v>45827</x:v>
      </x:c>
      <x:c r="C882" t="n">
        <x:v>1007</x:v>
      </x:c>
      <x:c r="D882" t="str">
        <x:v>Seller 1007</x:v>
      </x:c>
      <x:c r="E882" t="str">
        <x:v>Platinum</x:v>
      </x:c>
      <x:c r="F882" t="str">
        <x:v>South</x:v>
      </x:c>
      <x:c r="G882" t="str">
        <x:v>Apparel</x:v>
      </x:c>
      <x:c r="H882" t="n">
        <x:v>3</x:v>
      </x:c>
      <x:c r="I882" s="26" t="n">
        <x:v>529.2</x:v>
      </x:c>
      <x:c r="J882" s="26" t="n">
        <x:v>2265</x:v>
      </x:c>
      <x:c r="K882" s="28" t="n">
        <x:v>0.1261</x:v>
      </x:c>
      <x:c r="L882" s="26" t="n">
        <x:v>285.62</x:v>
      </x:c>
      <x:c r="M882" t="n">
        <x:v>0</x:v>
      </x:c>
      <x:c r="N882" s="26" t="n">
        <x:v>0</x:v>
      </x:c>
      <x:c r="O882" s="26" t="n">
        <x:v>41.9</x:v>
      </x:c>
      <x:c r="P882" s="26" t="n">
        <x:v>10.19</x:v>
      </x:c>
      <x:c r="Q882" s="26" t="n">
        <x:v>19.25</x:v>
      </x:c>
      <x:c r="R882" s="26" t="n">
        <x:v>23.78</x:v>
      </x:c>
      <x:c r="S882" s="26" t="n">
        <x:v>190.49</x:v>
      </x:c>
    </x:row>
    <x:row r="883">
      <x:c r="A883" t="n">
        <x:v>500880</x:v>
      </x:c>
      <x:c r="B883" s="24" t="n">
        <x:v>45831</x:v>
      </x:c>
      <x:c r="C883" t="n">
        <x:v>1014</x:v>
      </x:c>
      <x:c r="D883" t="str">
        <x:v>Seller 1014</x:v>
      </x:c>
      <x:c r="E883" t="str">
        <x:v>Gold</x:v>
      </x:c>
      <x:c r="F883" t="str">
        <x:v>East</x:v>
      </x:c>
      <x:c r="G883" t="str">
        <x:v>Electronics</x:v>
      </x:c>
      <x:c r="H883" t="n">
        <x:v>2</x:v>
      </x:c>
      <x:c r="I883" s="26" t="n">
        <x:v>4330.8</x:v>
      </x:c>
      <x:c r="J883" s="26" t="n">
        <x:v>9166.8</x:v>
      </x:c>
      <x:c r="K883" s="28" t="n">
        <x:v>0.1158</x:v>
      </x:c>
      <x:c r="L883" s="26" t="n">
        <x:v>1061.52</x:v>
      </x:c>
      <x:c r="M883" t="n">
        <x:v>0</x:v>
      </x:c>
      <x:c r="N883" s="26" t="n">
        <x:v>0</x:v>
      </x:c>
      <x:c r="O883" s="26" t="n">
        <x:v>169.59</x:v>
      </x:c>
      <x:c r="P883" s="26" t="n">
        <x:v>41.25</x:v>
      </x:c>
      <x:c r="Q883" s="26" t="n">
        <x:v>77.92</x:v>
      </x:c>
      <x:c r="R883" s="26" t="n">
        <x:v>96.25</x:v>
      </x:c>
      <x:c r="S883" s="26" t="n">
        <x:v>676.51</x:v>
      </x:c>
    </x:row>
    <x:row r="884">
      <x:c r="A884" t="n">
        <x:v>500881</x:v>
      </x:c>
      <x:c r="B884" s="24" t="n">
        <x:v>45834</x:v>
      </x:c>
      <x:c r="C884" t="n">
        <x:v>1038</x:v>
      </x:c>
      <x:c r="D884" t="str">
        <x:v>Seller 1038</x:v>
      </x:c>
      <x:c r="E884" t="str">
        <x:v>Silver</x:v>
      </x:c>
      <x:c r="F884" t="str">
        <x:v>South</x:v>
      </x:c>
      <x:c r="G884" t="str">
        <x:v>Sports</x:v>
      </x:c>
      <x:c r="H884" t="n">
        <x:v>2</x:v>
      </x:c>
      <x:c r="I884" s="26" t="n">
        <x:v>1852.8</x:v>
      </x:c>
      <x:c r="J884" s="26" t="n">
        <x:v>3000.6</x:v>
      </x:c>
      <x:c r="K884" s="28" t="n">
        <x:v>0.1369</x:v>
      </x:c>
      <x:c r="L884" s="26" t="n">
        <x:v>410.78</x:v>
      </x:c>
      <x:c r="M884" t="n">
        <x:v>0</x:v>
      </x:c>
      <x:c r="N884" s="26" t="n">
        <x:v>0</x:v>
      </x:c>
      <x:c r="O884" s="26" t="n">
        <x:v>55.51</x:v>
      </x:c>
      <x:c r="P884" s="26" t="n">
        <x:v>13.5</x:v>
      </x:c>
      <x:c r="Q884" s="26" t="n">
        <x:v>25.51</x:v>
      </x:c>
      <x:c r="R884" s="26" t="n">
        <x:v>31.51</x:v>
      </x:c>
      <x:c r="S884" s="26" t="n">
        <x:v>284.76</x:v>
      </x:c>
    </x:row>
    <x:row r="885">
      <x:c r="A885" t="n">
        <x:v>500882</x:v>
      </x:c>
      <x:c r="B885" s="24" t="n">
        <x:v>45823</x:v>
      </x:c>
      <x:c r="C885" t="n">
        <x:v>1018</x:v>
      </x:c>
      <x:c r="D885" t="str">
        <x:v>Seller 1018</x:v>
      </x:c>
      <x:c r="E885" t="str">
        <x:v>Gold</x:v>
      </x:c>
      <x:c r="F885" t="str">
        <x:v>West</x:v>
      </x:c>
      <x:c r="G885" t="str">
        <x:v>Electronics</x:v>
      </x:c>
      <x:c r="H885" t="n">
        <x:v>3</x:v>
      </x:c>
      <x:c r="I885" s="26" t="n">
        <x:v>4656.6</x:v>
      </x:c>
      <x:c r="J885" s="26" t="n">
        <x:v>14784.6</x:v>
      </x:c>
      <x:c r="K885" s="28" t="n">
        <x:v>0.1315</x:v>
      </x:c>
      <x:c r="L885" s="26" t="n">
        <x:v>1944.17</x:v>
      </x:c>
      <x:c r="M885" t="n">
        <x:v>0</x:v>
      </x:c>
      <x:c r="N885" s="26" t="n">
        <x:v>0</x:v>
      </x:c>
      <x:c r="O885" s="26" t="n">
        <x:v>273.52</x:v>
      </x:c>
      <x:c r="P885" s="26" t="n">
        <x:v>66.53</x:v>
      </x:c>
      <x:c r="Q885" s="26" t="n">
        <x:v>125.67</x:v>
      </x:c>
      <x:c r="R885" s="26" t="n">
        <x:v>155.24</x:v>
      </x:c>
      <x:c r="S885" s="26" t="n">
        <x:v>1323.22</x:v>
      </x:c>
    </x:row>
    <x:row r="886">
      <x:c r="A886" t="n">
        <x:v>500883</x:v>
      </x:c>
      <x:c r="B886" s="24" t="n">
        <x:v>45815</x:v>
      </x:c>
      <x:c r="C886" t="n">
        <x:v>1044</x:v>
      </x:c>
      <x:c r="D886" t="str">
        <x:v>Seller 1044</x:v>
      </x:c>
      <x:c r="E886" t="str">
        <x:v>Silver</x:v>
      </x:c>
      <x:c r="F886" t="str">
        <x:v>East</x:v>
      </x:c>
      <x:c r="G886" t="str">
        <x:v>Pet Supplies</x:v>
      </x:c>
      <x:c r="H886" t="n">
        <x:v>2</x:v>
      </x:c>
      <x:c r="I886" s="26" t="n">
        <x:v>1732.8</x:v>
      </x:c>
      <x:c r="J886" s="26" t="n">
        <x:v>2806.8</x:v>
      </x:c>
      <x:c r="K886" s="28" t="n">
        <x:v>0.1372</x:v>
      </x:c>
      <x:c r="L886" s="26" t="n">
        <x:v>385.09</x:v>
      </x:c>
      <x:c r="M886" t="n">
        <x:v>0</x:v>
      </x:c>
      <x:c r="N886" s="26" t="n">
        <x:v>0</x:v>
      </x:c>
      <x:c r="O886" s="26" t="n">
        <x:v>51.93</x:v>
      </x:c>
      <x:c r="P886" s="26" t="n">
        <x:v>12.63</x:v>
      </x:c>
      <x:c r="Q886" s="26" t="n">
        <x:v>23.86</x:v>
      </x:c>
      <x:c r="R886" s="26" t="n">
        <x:v>29.47</x:v>
      </x:c>
      <x:c r="S886" s="26" t="n">
        <x:v>267.21</x:v>
      </x:c>
    </x:row>
    <x:row r="887">
      <x:c r="A887" t="n">
        <x:v>500884</x:v>
      </x:c>
      <x:c r="B887" s="24" t="n">
        <x:v>45822</x:v>
      </x:c>
      <x:c r="C887" t="n">
        <x:v>1020</x:v>
      </x:c>
      <x:c r="D887" t="str">
        <x:v>Seller 1020</x:v>
      </x:c>
      <x:c r="E887" t="str">
        <x:v>Gold</x:v>
      </x:c>
      <x:c r="F887" t="str">
        <x:v>West</x:v>
      </x:c>
      <x:c r="G887" t="str">
        <x:v>Sports</x:v>
      </x:c>
      <x:c r="H887" t="n">
        <x:v>2</x:v>
      </x:c>
      <x:c r="I887" s="26" t="n">
        <x:v>2404.2</x:v>
      </x:c>
      <x:c r="J887" s="26" t="n">
        <x:v>5088.6</x:v>
      </x:c>
      <x:c r="K887" s="28" t="n">
        <x:v>0.1352</x:v>
      </x:c>
      <x:c r="L887" s="26" t="n">
        <x:v>687.98</x:v>
      </x:c>
      <x:c r="M887" t="n">
        <x:v>0</x:v>
      </x:c>
      <x:c r="N887" s="26" t="n">
        <x:v>0</x:v>
      </x:c>
      <x:c r="O887" s="26" t="n">
        <x:v>94.14</x:v>
      </x:c>
      <x:c r="P887" s="26" t="n">
        <x:v>22.9</x:v>
      </x:c>
      <x:c r="Q887" s="26" t="n">
        <x:v>43.25</x:v>
      </x:c>
      <x:c r="R887" s="26" t="n">
        <x:v>53.43</x:v>
      </x:c>
      <x:c r="S887" s="26" t="n">
        <x:v>474.26</x:v>
      </x:c>
    </x:row>
    <x:row r="888">
      <x:c r="A888" t="n">
        <x:v>500885</x:v>
      </x:c>
      <x:c r="B888" s="24" t="n">
        <x:v>45810</x:v>
      </x:c>
      <x:c r="C888" t="n">
        <x:v>1067</x:v>
      </x:c>
      <x:c r="D888" t="str">
        <x:v>Seller 1067</x:v>
      </x:c>
      <x:c r="E888" t="str">
        <x:v>Bronze</x:v>
      </x:c>
      <x:c r="F888" t="str">
        <x:v>South</x:v>
      </x:c>
      <x:c r="G888" t="str">
        <x:v>Beauty</x:v>
      </x:c>
      <x:c r="H888" t="n">
        <x:v>3</x:v>
      </x:c>
      <x:c r="I888" s="26" t="n">
        <x:v>801</x:v>
      </x:c>
      <x:c r="J888" s="26" t="n">
        <x:v>1371</x:v>
      </x:c>
      <x:c r="K888" s="28" t="n">
        <x:v>0.1515</x:v>
      </x:c>
      <x:c r="L888" s="26" t="n">
        <x:v>207.71</x:v>
      </x:c>
      <x:c r="M888" t="n">
        <x:v>0</x:v>
      </x:c>
      <x:c r="N888" s="26" t="n">
        <x:v>0</x:v>
      </x:c>
      <x:c r="O888" s="26" t="n">
        <x:v>25.36</x:v>
      </x:c>
      <x:c r="P888" s="26" t="n">
        <x:v>6.17</x:v>
      </x:c>
      <x:c r="Q888" s="26" t="n">
        <x:v>11.65</x:v>
      </x:c>
      <x:c r="R888" s="26" t="n">
        <x:v>14.4</x:v>
      </x:c>
      <x:c r="S888" s="26" t="n">
        <x:v>150.12</x:v>
      </x:c>
    </x:row>
    <x:row r="889">
      <x:c r="A889" t="n">
        <x:v>500886</x:v>
      </x:c>
      <x:c r="B889" s="24" t="n">
        <x:v>45812</x:v>
      </x:c>
      <x:c r="C889" t="n">
        <x:v>1011</x:v>
      </x:c>
      <x:c r="D889" t="str">
        <x:v>Seller 1011</x:v>
      </x:c>
      <x:c r="E889" t="str">
        <x:v>Platinum</x:v>
      </x:c>
      <x:c r="F889" t="str">
        <x:v>West</x:v>
      </x:c>
      <x:c r="G889" t="str">
        <x:v>Electronics</x:v>
      </x:c>
      <x:c r="H889" t="n">
        <x:v>1</x:v>
      </x:c>
      <x:c r="I889" s="26" t="n">
        <x:v>9393.6</x:v>
      </x:c>
      <x:c r="J889" s="26" t="n">
        <x:v>13399.8</x:v>
      </x:c>
      <x:c r="K889" s="28" t="n">
        <x:v>0.1234</x:v>
      </x:c>
      <x:c r="L889" s="26" t="n">
        <x:v>1653.54</x:v>
      </x:c>
      <x:c r="M889" t="n">
        <x:v>1</x:v>
      </x:c>
      <x:c r="N889" s="26" t="n">
        <x:v>12933</x:v>
      </x:c>
      <x:c r="O889" s="26" t="n">
        <x:v>247.9</x:v>
      </x:c>
      <x:c r="P889" s="26" t="n">
        <x:v>60.3</x:v>
      </x:c>
      <x:c r="Q889" s="26" t="n">
        <x:v>113.9</x:v>
      </x:c>
      <x:c r="R889" s="26" t="n">
        <x:v>140.7</x:v>
      </x:c>
      <x:c r="S889" s="26" t="n">
        <x:v>832.08</x:v>
      </x:c>
    </x:row>
    <x:row r="890">
      <x:c r="A890" t="n">
        <x:v>500887</x:v>
      </x:c>
      <x:c r="B890" s="24" t="n">
        <x:v>45820</x:v>
      </x:c>
      <x:c r="C890" t="n">
        <x:v>1074</x:v>
      </x:c>
      <x:c r="D890" t="str">
        <x:v>Seller 1074</x:v>
      </x:c>
      <x:c r="E890" t="str">
        <x:v>Bronze</x:v>
      </x:c>
      <x:c r="F890" t="str">
        <x:v>East</x:v>
      </x:c>
      <x:c r="G890" t="str">
        <x:v>Electronics</x:v>
      </x:c>
      <x:c r="H890" t="n">
        <x:v>1</x:v>
      </x:c>
      <x:c r="I890" s="26" t="n">
        <x:v>7890.599999999999</x:v>
      </x:c>
      <x:c r="J890" s="26" t="n">
        <x:v>4502.4</x:v>
      </x:c>
      <x:c r="K890" s="28" t="n">
        <x:v>0.1288</x:v>
      </x:c>
      <x:c r="L890" s="26" t="n">
        <x:v>579.91</x:v>
      </x:c>
      <x:c r="M890" t="n">
        <x:v>0</x:v>
      </x:c>
      <x:c r="N890" s="26" t="n">
        <x:v>0</x:v>
      </x:c>
      <x:c r="O890" s="26" t="n">
        <x:v>83.29</x:v>
      </x:c>
      <x:c r="P890" s="26" t="n">
        <x:v>20.26</x:v>
      </x:c>
      <x:c r="Q890" s="26" t="n">
        <x:v>38.27</x:v>
      </x:c>
      <x:c r="R890" s="26" t="n">
        <x:v>47.28</x:v>
      </x:c>
      <x:c r="S890" s="26" t="n">
        <x:v>390.81</x:v>
      </x:c>
    </x:row>
    <x:row r="891">
      <x:c r="A891" t="n">
        <x:v>500888</x:v>
      </x:c>
      <x:c r="B891" s="24" t="n">
        <x:v>45837</x:v>
      </x:c>
      <x:c r="C891" t="n">
        <x:v>1071</x:v>
      </x:c>
      <x:c r="D891" t="str">
        <x:v>Seller 1071</x:v>
      </x:c>
      <x:c r="E891" t="str">
        <x:v>Bronze</x:v>
      </x:c>
      <x:c r="F891" t="str">
        <x:v>Central</x:v>
      </x:c>
      <x:c r="G891" t="str">
        <x:v>Pet Supplies</x:v>
      </x:c>
      <x:c r="H891" t="n">
        <x:v>2</x:v>
      </x:c>
      <x:c r="I891" s="26" t="n">
        <x:v>1013.9999999999999</x:v>
      </x:c>
      <x:c r="J891" s="26" t="n">
        <x:v>1156.8</x:v>
      </x:c>
      <x:c r="K891" s="28" t="n">
        <x:v>0.1202</x:v>
      </x:c>
      <x:c r="L891" s="26" t="n">
        <x:v>139.05</x:v>
      </x:c>
      <x:c r="M891" t="n">
        <x:v>0</x:v>
      </x:c>
      <x:c r="N891" s="26" t="n">
        <x:v>0</x:v>
      </x:c>
      <x:c r="O891" s="26" t="n">
        <x:v>21.4</x:v>
      </x:c>
      <x:c r="P891" s="26" t="n">
        <x:v>5.21</x:v>
      </x:c>
      <x:c r="Q891" s="26" t="n">
        <x:v>9.83</x:v>
      </x:c>
      <x:c r="R891" s="26" t="n">
        <x:v>12.15</x:v>
      </x:c>
      <x:c r="S891" s="26" t="n">
        <x:v>90.46</x:v>
      </x:c>
    </x:row>
    <x:row r="892">
      <x:c r="A892" t="n">
        <x:v>500889</x:v>
      </x:c>
      <x:c r="B892" s="24" t="n">
        <x:v>45830</x:v>
      </x:c>
      <x:c r="C892" t="n">
        <x:v>1019</x:v>
      </x:c>
      <x:c r="D892" t="str">
        <x:v>Seller 1019</x:v>
      </x:c>
      <x:c r="E892" t="str">
        <x:v>Gold</x:v>
      </x:c>
      <x:c r="F892" t="str">
        <x:v>East</x:v>
      </x:c>
      <x:c r="G892" t="str">
        <x:v>Apparel</x:v>
      </x:c>
      <x:c r="H892" t="n">
        <x:v>2</x:v>
      </x:c>
      <x:c r="I892" s="26" t="n">
        <x:v>1989</x:v>
      </x:c>
      <x:c r="J892" s="26" t="n">
        <x:v>4210.2</x:v>
      </x:c>
      <x:c r="K892" s="28" t="n">
        <x:v>0.1211</x:v>
      </x:c>
      <x:c r="L892" s="26" t="n">
        <x:v>509.86</x:v>
      </x:c>
      <x:c r="M892" t="n">
        <x:v>0</x:v>
      </x:c>
      <x:c r="N892" s="26" t="n">
        <x:v>0</x:v>
      </x:c>
      <x:c r="O892" s="26" t="n">
        <x:v>77.89</x:v>
      </x:c>
      <x:c r="P892" s="26" t="n">
        <x:v>18.95</x:v>
      </x:c>
      <x:c r="Q892" s="26" t="n">
        <x:v>35.79</x:v>
      </x:c>
      <x:c r="R892" s="26" t="n">
        <x:v>44.21</x:v>
      </x:c>
      <x:c r="S892" s="26" t="n">
        <x:v>333.03</x:v>
      </x:c>
    </x:row>
    <x:row r="893">
      <x:c r="A893" t="n">
        <x:v>500890</x:v>
      </x:c>
      <x:c r="B893" s="24" t="n">
        <x:v>45831</x:v>
      </x:c>
      <x:c r="C893" t="n">
        <x:v>1045</x:v>
      </x:c>
      <x:c r="D893" t="str">
        <x:v>Seller 1045</x:v>
      </x:c>
      <x:c r="E893" t="str">
        <x:v>Silver</x:v>
      </x:c>
      <x:c r="F893" t="str">
        <x:v>Central</x:v>
      </x:c>
      <x:c r="G893" t="str">
        <x:v>Pet Supplies</x:v>
      </x:c>
      <x:c r="H893" t="n">
        <x:v>2</x:v>
      </x:c>
      <x:c r="I893" s="26" t="n">
        <x:v>1653.6</x:v>
      </x:c>
      <x:c r="J893" s="26" t="n">
        <x:v>2678.4</x:v>
      </x:c>
      <x:c r="K893" s="28" t="n">
        <x:v>0.1272</x:v>
      </x:c>
      <x:c r="L893" s="26" t="n">
        <x:v>340.69</x:v>
      </x:c>
      <x:c r="M893" t="n">
        <x:v>0</x:v>
      </x:c>
      <x:c r="N893" s="26" t="n">
        <x:v>0</x:v>
      </x:c>
      <x:c r="O893" s="26" t="n">
        <x:v>49.55</x:v>
      </x:c>
      <x:c r="P893" s="26" t="n">
        <x:v>12.05</x:v>
      </x:c>
      <x:c r="Q893" s="26" t="n">
        <x:v>22.77</x:v>
      </x:c>
      <x:c r="R893" s="26" t="n">
        <x:v>28.12</x:v>
      </x:c>
      <x:c r="S893" s="26" t="n">
        <x:v>228.2</x:v>
      </x:c>
    </x:row>
    <x:row r="894">
      <x:c r="A894" t="n">
        <x:v>500891</x:v>
      </x:c>
      <x:c r="B894" s="24" t="n">
        <x:v>45828</x:v>
      </x:c>
      <x:c r="C894" t="n">
        <x:v>1017</x:v>
      </x:c>
      <x:c r="D894" t="str">
        <x:v>Seller 1017</x:v>
      </x:c>
      <x:c r="E894" t="str">
        <x:v>Gold</x:v>
      </x:c>
      <x:c r="F894" t="str">
        <x:v>East</x:v>
      </x:c>
      <x:c r="G894" t="str">
        <x:v>Electronics</x:v>
      </x:c>
      <x:c r="H894" t="n">
        <x:v>1</x:v>
      </x:c>
      <x:c r="I894" s="26" t="n">
        <x:v>8577.6</x:v>
      </x:c>
      <x:c r="J894" s="26" t="n">
        <x:v>9078</x:v>
      </x:c>
      <x:c r="K894" s="28" t="n">
        <x:v>0.1253</x:v>
      </x:c>
      <x:c r="L894" s="26" t="n">
        <x:v>1137.47</x:v>
      </x:c>
      <x:c r="M894" t="n">
        <x:v>0</x:v>
      </x:c>
      <x:c r="N894" s="26" t="n">
        <x:v>0</x:v>
      </x:c>
      <x:c r="O894" s="26" t="n">
        <x:v>167.94</x:v>
      </x:c>
      <x:c r="P894" s="26" t="n">
        <x:v>40.85</x:v>
      </x:c>
      <x:c r="Q894" s="26" t="n">
        <x:v>77.16</x:v>
      </x:c>
      <x:c r="R894" s="26" t="n">
        <x:v>95.32</x:v>
      </x:c>
      <x:c r="S894" s="26" t="n">
        <x:v>756.2</x:v>
      </x:c>
    </x:row>
    <x:row r="895">
      <x:c r="A895" t="n">
        <x:v>500892</x:v>
      </x:c>
      <x:c r="B895" s="24" t="n">
        <x:v>45821</x:v>
      </x:c>
      <x:c r="C895" t="n">
        <x:v>1021</x:v>
      </x:c>
      <x:c r="D895" t="str">
        <x:v>Seller 1021</x:v>
      </x:c>
      <x:c r="E895" t="str">
        <x:v>Gold</x:v>
      </x:c>
      <x:c r="F895" t="str">
        <x:v>Central</x:v>
      </x:c>
      <x:c r="G895" t="str">
        <x:v>Pet Supplies</x:v>
      </x:c>
      <x:c r="H895" t="n">
        <x:v>3</x:v>
      </x:c>
      <x:c r="I895" s="26" t="n">
        <x:v>842.4</x:v>
      </x:c>
      <x:c r="J895" s="26" t="n">
        <x:v>2674.2</x:v>
      </x:c>
      <x:c r="K895" s="28" t="n">
        <x:v>0.1262</x:v>
      </x:c>
      <x:c r="L895" s="26" t="n">
        <x:v>337.48</x:v>
      </x:c>
      <x:c r="M895" t="n">
        <x:v>0</x:v>
      </x:c>
      <x:c r="N895" s="26" t="n">
        <x:v>0</x:v>
      </x:c>
      <x:c r="O895" s="26" t="n">
        <x:v>49.47</x:v>
      </x:c>
      <x:c r="P895" s="26" t="n">
        <x:v>12.03</x:v>
      </x:c>
      <x:c r="Q895" s="26" t="n">
        <x:v>22.73</x:v>
      </x:c>
      <x:c r="R895" s="26" t="n">
        <x:v>28.08</x:v>
      </x:c>
      <x:c r="S895" s="26" t="n">
        <x:v>225.17</x:v>
      </x:c>
    </x:row>
    <x:row r="896">
      <x:c r="A896" t="n">
        <x:v>500893</x:v>
      </x:c>
      <x:c r="B896" s="24" t="n">
        <x:v>45828</x:v>
      </x:c>
      <x:c r="C896" t="n">
        <x:v>1065</x:v>
      </x:c>
      <x:c r="D896" t="str">
        <x:v>Seller 1065</x:v>
      </x:c>
      <x:c r="E896" t="str">
        <x:v>Bronze</x:v>
      </x:c>
      <x:c r="F896" t="str">
        <x:v>South</x:v>
      </x:c>
      <x:c r="G896" t="str">
        <x:v>Home &amp; Kitchen</x:v>
      </x:c>
      <x:c r="H896" t="n">
        <x:v>3</x:v>
      </x:c>
      <x:c r="I896" s="26" t="n">
        <x:v>1779.6</x:v>
      </x:c>
      <x:c r="J896" s="26" t="n">
        <x:v>3046.8</x:v>
      </x:c>
      <x:c r="K896" s="28" t="n">
        <x:v>0.138</x:v>
      </x:c>
      <x:c r="L896" s="26" t="n">
        <x:v>420.46</x:v>
      </x:c>
      <x:c r="M896" t="n">
        <x:v>0</x:v>
      </x:c>
      <x:c r="N896" s="26" t="n">
        <x:v>0</x:v>
      </x:c>
      <x:c r="O896" s="26" t="n">
        <x:v>56.37</x:v>
      </x:c>
      <x:c r="P896" s="26" t="n">
        <x:v>13.71</x:v>
      </x:c>
      <x:c r="Q896" s="26" t="n">
        <x:v>25.9</x:v>
      </x:c>
      <x:c r="R896" s="26" t="n">
        <x:v>31.99</x:v>
      </x:c>
      <x:c r="S896" s="26" t="n">
        <x:v>292.49</x:v>
      </x:c>
    </x:row>
    <x:row r="897">
      <x:c r="A897" t="n">
        <x:v>500894</x:v>
      </x:c>
      <x:c r="B897" s="24" t="n">
        <x:v>45826</x:v>
      </x:c>
      <x:c r="C897" t="n">
        <x:v>1016</x:v>
      </x:c>
      <x:c r="D897" t="str">
        <x:v>Seller 1016</x:v>
      </x:c>
      <x:c r="E897" t="str">
        <x:v>Gold</x:v>
      </x:c>
      <x:c r="F897" t="str">
        <x:v>West</x:v>
      </x:c>
      <x:c r="G897" t="str">
        <x:v>Sports</x:v>
      </x:c>
      <x:c r="H897" t="n">
        <x:v>2</x:v>
      </x:c>
      <x:c r="I897" s="26" t="n">
        <x:v>2263.7999999999997</x:v>
      </x:c>
      <x:c r="J897" s="26" t="n">
        <x:v>4791.6</x:v>
      </x:c>
      <x:c r="K897" s="28" t="n">
        <x:v>0.1241</x:v>
      </x:c>
      <x:c r="L897" s="26" t="n">
        <x:v>594.64</x:v>
      </x:c>
      <x:c r="M897" t="n">
        <x:v>0</x:v>
      </x:c>
      <x:c r="N897" s="26" t="n">
        <x:v>0</x:v>
      </x:c>
      <x:c r="O897" s="26" t="n">
        <x:v>88.64</x:v>
      </x:c>
      <x:c r="P897" s="26" t="n">
        <x:v>21.56</x:v>
      </x:c>
      <x:c r="Q897" s="26" t="n">
        <x:v>40.73</x:v>
      </x:c>
      <x:c r="R897" s="26" t="n">
        <x:v>50.31</x:v>
      </x:c>
      <x:c r="S897" s="26" t="n">
        <x:v>393.39</x:v>
      </x:c>
    </x:row>
    <x:row r="898">
      <x:c r="A898" t="n">
        <x:v>500895</x:v>
      </x:c>
      <x:c r="B898" s="24" t="n">
        <x:v>45829</x:v>
      </x:c>
      <x:c r="C898" t="n">
        <x:v>1073</x:v>
      </x:c>
      <x:c r="D898" t="str">
        <x:v>Seller 1073</x:v>
      </x:c>
      <x:c r="E898" t="str">
        <x:v>Bronze</x:v>
      </x:c>
      <x:c r="F898" t="str">
        <x:v>Central</x:v>
      </x:c>
      <x:c r="G898" t="str">
        <x:v>Electronics</x:v>
      </x:c>
      <x:c r="H898" t="n">
        <x:v>3</x:v>
      </x:c>
      <x:c r="I898" s="26" t="n">
        <x:v>2506.2000000000003</x:v>
      </x:c>
      <x:c r="J898" s="26" t="n">
        <x:v>4290</x:v>
      </x:c>
      <x:c r="K898" s="28" t="n">
        <x:v>0.1333</x:v>
      </x:c>
      <x:c r="L898" s="26" t="n">
        <x:v>571.86</x:v>
      </x:c>
      <x:c r="M898" t="n">
        <x:v>0</x:v>
      </x:c>
      <x:c r="N898" s="26" t="n">
        <x:v>0</x:v>
      </x:c>
      <x:c r="O898" s="26" t="n">
        <x:v>79.36</x:v>
      </x:c>
      <x:c r="P898" s="26" t="n">
        <x:v>19.3</x:v>
      </x:c>
      <x:c r="Q898" s="26" t="n">
        <x:v>36.47</x:v>
      </x:c>
      <x:c r="R898" s="26" t="n">
        <x:v>45.05</x:v>
      </x:c>
      <x:c r="S898" s="26" t="n">
        <x:v>391.68</x:v>
      </x:c>
    </x:row>
    <x:row r="899">
      <x:c r="A899" t="n">
        <x:v>500896</x:v>
      </x:c>
      <x:c r="B899" s="24" t="n">
        <x:v>45834</x:v>
      </x:c>
      <x:c r="C899" t="n">
        <x:v>1074</x:v>
      </x:c>
      <x:c r="D899" t="str">
        <x:v>Seller 1074</x:v>
      </x:c>
      <x:c r="E899" t="str">
        <x:v>Bronze</x:v>
      </x:c>
      <x:c r="F899" t="str">
        <x:v>East</x:v>
      </x:c>
      <x:c r="G899" t="str">
        <x:v>Electronics</x:v>
      </x:c>
      <x:c r="H899" t="n">
        <x:v>2</x:v>
      </x:c>
      <x:c r="I899" s="26" t="n">
        <x:v>3528</x:v>
      </x:c>
      <x:c r="J899" s="26" t="n">
        <x:v>4026.6</x:v>
      </x:c>
      <x:c r="K899" s="28" t="n">
        <x:v>0.1189</x:v>
      </x:c>
      <x:c r="L899" s="26" t="n">
        <x:v>478.76</x:v>
      </x:c>
      <x:c r="M899" t="n">
        <x:v>0</x:v>
      </x:c>
      <x:c r="N899" s="26" t="n">
        <x:v>0</x:v>
      </x:c>
      <x:c r="O899" s="26" t="n">
        <x:v>74.49</x:v>
      </x:c>
      <x:c r="P899" s="26" t="n">
        <x:v>18.12</x:v>
      </x:c>
      <x:c r="Q899" s="26" t="n">
        <x:v>34.23</x:v>
      </x:c>
      <x:c r="R899" s="26" t="n">
        <x:v>42.28</x:v>
      </x:c>
      <x:c r="S899" s="26" t="n">
        <x:v>309.65</x:v>
      </x:c>
    </x:row>
    <x:row r="900">
      <x:c r="A900" t="n">
        <x:v>500897</x:v>
      </x:c>
      <x:c r="B900" s="24" t="n">
        <x:v>45812</x:v>
      </x:c>
      <x:c r="C900" t="n">
        <x:v>1047</x:v>
      </x:c>
      <x:c r="D900" t="str">
        <x:v>Seller 1047</x:v>
      </x:c>
      <x:c r="E900" t="str">
        <x:v>Silver</x:v>
      </x:c>
      <x:c r="F900" t="str">
        <x:v>East</x:v>
      </x:c>
      <x:c r="G900" t="str">
        <x:v>Sports</x:v>
      </x:c>
      <x:c r="H900" t="n">
        <x:v>3</x:v>
      </x:c>
      <x:c r="I900" s="26" t="n">
        <x:v>1825.8</x:v>
      </x:c>
      <x:c r="J900" s="26" t="n">
        <x:v>4436.4</x:v>
      </x:c>
      <x:c r="K900" s="28" t="n">
        <x:v>0.1259</x:v>
      </x:c>
      <x:c r="L900" s="26" t="n">
        <x:v>558.54</x:v>
      </x:c>
      <x:c r="M900" t="n">
        <x:v>0</x:v>
      </x:c>
      <x:c r="N900" s="26" t="n">
        <x:v>0</x:v>
      </x:c>
      <x:c r="O900" s="26" t="n">
        <x:v>82.07</x:v>
      </x:c>
      <x:c r="P900" s="26" t="n">
        <x:v>19.96</x:v>
      </x:c>
      <x:c r="Q900" s="26" t="n">
        <x:v>37.71</x:v>
      </x:c>
      <x:c r="R900" s="26" t="n">
        <x:v>46.58</x:v>
      </x:c>
      <x:c r="S900" s="26" t="n">
        <x:v>372.21</x:v>
      </x:c>
    </x:row>
    <x:row r="901">
      <x:c r="A901" t="n">
        <x:v>500898</x:v>
      </x:c>
      <x:c r="B901" s="24" t="n">
        <x:v>45835</x:v>
      </x:c>
      <x:c r="C901" t="n">
        <x:v>1061</x:v>
      </x:c>
      <x:c r="D901" t="str">
        <x:v>Seller 1061</x:v>
      </x:c>
      <x:c r="E901" t="str">
        <x:v>Bronze</x:v>
      </x:c>
      <x:c r="F901" t="str">
        <x:v>Central</x:v>
      </x:c>
      <x:c r="G901" t="str">
        <x:v>Electronics</x:v>
      </x:c>
      <x:c r="H901" t="n">
        <x:v>3</x:v>
      </x:c>
      <x:c r="I901" s="26" t="n">
        <x:v>3393</x:v>
      </x:c>
      <x:c r="J901" s="26" t="n">
        <x:v>5808</x:v>
      </x:c>
      <x:c r="K901" s="28" t="n">
        <x:v>0.1227</x:v>
      </x:c>
      <x:c r="L901" s="26" t="n">
        <x:v>712.64</x:v>
      </x:c>
      <x:c r="M901" t="n">
        <x:v>0</x:v>
      </x:c>
      <x:c r="N901" s="26" t="n">
        <x:v>0</x:v>
      </x:c>
      <x:c r="O901" s="26" t="n">
        <x:v>107.45</x:v>
      </x:c>
      <x:c r="P901" s="26" t="n">
        <x:v>26.14</x:v>
      </x:c>
      <x:c r="Q901" s="26" t="n">
        <x:v>49.37</x:v>
      </x:c>
      <x:c r="R901" s="26" t="n">
        <x:v>60.98</x:v>
      </x:c>
      <x:c r="S901" s="26" t="n">
        <x:v>468.71</x:v>
      </x:c>
    </x:row>
    <x:row r="902">
      <x:c r="A902" t="n">
        <x:v>500899</x:v>
      </x:c>
      <x:c r="B902" s="24" t="n">
        <x:v>45821</x:v>
      </x:c>
      <x:c r="C902" t="n">
        <x:v>1034</x:v>
      </x:c>
      <x:c r="D902" t="str">
        <x:v>Seller 1034</x:v>
      </x:c>
      <x:c r="E902" t="str">
        <x:v>Silver</x:v>
      </x:c>
      <x:c r="F902" t="str">
        <x:v>Central</x:v>
      </x:c>
      <x:c r="G902" t="str">
        <x:v>Sports</x:v>
      </x:c>
      <x:c r="H902" t="n">
        <x:v>1</x:v>
      </x:c>
      <x:c r="I902" s="26" t="n">
        <x:v>3631.8</x:v>
      </x:c>
      <x:c r="J902" s="26" t="n">
        <x:v>2941.2</x:v>
      </x:c>
      <x:c r="K902" s="28" t="n">
        <x:v>0.1325</x:v>
      </x:c>
      <x:c r="L902" s="26" t="n">
        <x:v>389.71</x:v>
      </x:c>
      <x:c r="M902" t="n">
        <x:v>0</x:v>
      </x:c>
      <x:c r="N902" s="26" t="n">
        <x:v>0</x:v>
      </x:c>
      <x:c r="O902" s="26" t="n">
        <x:v>54.41</x:v>
      </x:c>
      <x:c r="P902" s="26" t="n">
        <x:v>13.24</x:v>
      </x:c>
      <x:c r="Q902" s="26" t="n">
        <x:v>25</x:v>
      </x:c>
      <x:c r="R902" s="26" t="n">
        <x:v>30.88</x:v>
      </x:c>
      <x:c r="S902" s="26" t="n">
        <x:v>266.18</x:v>
      </x:c>
    </x:row>
    <x:row r="903">
      <x:c r="A903" t="n">
        <x:v>500900</x:v>
      </x:c>
      <x:c r="B903" s="24" t="n">
        <x:v>45811</x:v>
      </x:c>
      <x:c r="C903" t="n">
        <x:v>1021</x:v>
      </x:c>
      <x:c r="D903" t="str">
        <x:v>Seller 1021</x:v>
      </x:c>
      <x:c r="E903" t="str">
        <x:v>Gold</x:v>
      </x:c>
      <x:c r="F903" t="str">
        <x:v>Central</x:v>
      </x:c>
      <x:c r="G903" t="str">
        <x:v>Pet Supplies</x:v>
      </x:c>
      <x:c r="H903" t="n">
        <x:v>3</x:v>
      </x:c>
      <x:c r="I903" s="26" t="n">
        <x:v>1321.8000000000002</x:v>
      </x:c>
      <x:c r="J903" s="26" t="n">
        <x:v>4197</x:v>
      </x:c>
      <x:c r="K903" s="28" t="n">
        <x:v>0.1231</x:v>
      </x:c>
      <x:c r="L903" s="26" t="n">
        <x:v>516.65</x:v>
      </x:c>
      <x:c r="M903" t="n">
        <x:v>0</x:v>
      </x:c>
      <x:c r="N903" s="26" t="n">
        <x:v>0</x:v>
      </x:c>
      <x:c r="O903" s="26" t="n">
        <x:v>77.64</x:v>
      </x:c>
      <x:c r="P903" s="26" t="n">
        <x:v>18.89</x:v>
      </x:c>
      <x:c r="Q903" s="26" t="n">
        <x:v>35.67</x:v>
      </x:c>
      <x:c r="R903" s="26" t="n">
        <x:v>44.07</x:v>
      </x:c>
      <x:c r="S903" s="26" t="n">
        <x:v>340.38</x:v>
      </x:c>
    </x:row>
    <x:row r="904">
      <x:c r="A904" t="n">
        <x:v>500901</x:v>
      </x:c>
      <x:c r="B904" s="24" t="n">
        <x:v>45835</x:v>
      </x:c>
      <x:c r="C904" t="n">
        <x:v>1028</x:v>
      </x:c>
      <x:c r="D904" t="str">
        <x:v>Seller 1028</x:v>
      </x:c>
      <x:c r="E904" t="str">
        <x:v>Gold</x:v>
      </x:c>
      <x:c r="F904" t="str">
        <x:v>Central</x:v>
      </x:c>
      <x:c r="G904" t="str">
        <x:v>Sports</x:v>
      </x:c>
      <x:c r="H904" t="n">
        <x:v>3</x:v>
      </x:c>
      <x:c r="I904" s="26" t="n">
        <x:v>1563.6</x:v>
      </x:c>
      <x:c r="J904" s="26" t="n">
        <x:v>4963.8</x:v>
      </x:c>
      <x:c r="K904" s="28" t="n">
        <x:v>0.1294</x:v>
      </x:c>
      <x:c r="L904" s="26" t="n">
        <x:v>642.32</x:v>
      </x:c>
      <x:c r="M904" t="n">
        <x:v>0</x:v>
      </x:c>
      <x:c r="N904" s="26" t="n">
        <x:v>0</x:v>
      </x:c>
      <x:c r="O904" s="26" t="n">
        <x:v>91.83</x:v>
      </x:c>
      <x:c r="P904" s="26" t="n">
        <x:v>22.34</x:v>
      </x:c>
      <x:c r="Q904" s="26" t="n">
        <x:v>42.19</x:v>
      </x:c>
      <x:c r="R904" s="26" t="n">
        <x:v>52.12</x:v>
      </x:c>
      <x:c r="S904" s="26" t="n">
        <x:v>433.84</x:v>
      </x:c>
    </x:row>
    <x:row r="905">
      <x:c r="A905" t="n">
        <x:v>500902</x:v>
      </x:c>
      <x:c r="B905" s="24" t="n">
        <x:v>45819</x:v>
      </x:c>
      <x:c r="C905" t="n">
        <x:v>1053</x:v>
      </x:c>
      <x:c r="D905" t="str">
        <x:v>Seller 1053</x:v>
      </x:c>
      <x:c r="E905" t="str">
        <x:v>Silver</x:v>
      </x:c>
      <x:c r="F905" t="str">
        <x:v>Central</x:v>
      </x:c>
      <x:c r="G905" t="str">
        <x:v>Beauty</x:v>
      </x:c>
      <x:c r="H905" t="n">
        <x:v>2</x:v>
      </x:c>
      <x:c r="I905" s="26" t="n">
        <x:v>1447.8</x:v>
      </x:c>
      <x:c r="J905" s="26" t="n">
        <x:v>2344.8</x:v>
      </x:c>
      <x:c r="K905" s="28" t="n">
        <x:v>0.1455</x:v>
      </x:c>
      <x:c r="L905" s="26" t="n">
        <x:v>341.17</x:v>
      </x:c>
      <x:c r="M905" t="n">
        <x:v>0</x:v>
      </x:c>
      <x:c r="N905" s="26" t="n">
        <x:v>0</x:v>
      </x:c>
      <x:c r="O905" s="26" t="n">
        <x:v>43.38</x:v>
      </x:c>
      <x:c r="P905" s="26" t="n">
        <x:v>10.55</x:v>
      </x:c>
      <x:c r="Q905" s="26" t="n">
        <x:v>19.93</x:v>
      </x:c>
      <x:c r="R905" s="26" t="n">
        <x:v>24.62</x:v>
      </x:c>
      <x:c r="S905" s="26" t="n">
        <x:v>242.69</x:v>
      </x:c>
    </x:row>
    <x:row r="906">
      <x:c r="A906" t="n">
        <x:v>500903</x:v>
      </x:c>
      <x:c r="B906" s="24" t="n">
        <x:v>45817</x:v>
      </x:c>
      <x:c r="C906" t="n">
        <x:v>1039</x:v>
      </x:c>
      <x:c r="D906" t="str">
        <x:v>Seller 1039</x:v>
      </x:c>
      <x:c r="E906" t="str">
        <x:v>Silver</x:v>
      </x:c>
      <x:c r="F906" t="str">
        <x:v>East</x:v>
      </x:c>
      <x:c r="G906" t="str">
        <x:v>Pet Supplies</x:v>
      </x:c>
      <x:c r="H906" t="n">
        <x:v>3</x:v>
      </x:c>
      <x:c r="I906" s="26" t="n">
        <x:v>1064.3999999999999</x:v>
      </x:c>
      <x:c r="J906" s="26" t="n">
        <x:v>2585.4</x:v>
      </x:c>
      <x:c r="K906" s="28" t="n">
        <x:v>0.1388</x:v>
      </x:c>
      <x:c r="L906" s="26" t="n">
        <x:v>358.85</x:v>
      </x:c>
      <x:c r="M906" t="n">
        <x:v>0</x:v>
      </x:c>
      <x:c r="N906" s="26" t="n">
        <x:v>0</x:v>
      </x:c>
      <x:c r="O906" s="26" t="n">
        <x:v>47.83</x:v>
      </x:c>
      <x:c r="P906" s="26" t="n">
        <x:v>11.63</x:v>
      </x:c>
      <x:c r="Q906" s="26" t="n">
        <x:v>21.98</x:v>
      </x:c>
      <x:c r="R906" s="26" t="n">
        <x:v>27.15</x:v>
      </x:c>
      <x:c r="S906" s="26" t="n">
        <x:v>250.27</x:v>
      </x:c>
    </x:row>
    <x:row r="907">
      <x:c r="A907" t="n">
        <x:v>500904</x:v>
      </x:c>
      <x:c r="B907" s="24" t="n">
        <x:v>45821</x:v>
      </x:c>
      <x:c r="C907" t="n">
        <x:v>1037</x:v>
      </x:c>
      <x:c r="D907" t="str">
        <x:v>Seller 1037</x:v>
      </x:c>
      <x:c r="E907" t="str">
        <x:v>Silver</x:v>
      </x:c>
      <x:c r="F907" t="str">
        <x:v>East</x:v>
      </x:c>
      <x:c r="G907" t="str">
        <x:v>Apparel</x:v>
      </x:c>
      <x:c r="H907" t="n">
        <x:v>3</x:v>
      </x:c>
      <x:c r="I907" s="26" t="n">
        <x:v>957</x:v>
      </x:c>
      <x:c r="J907" s="26" t="n">
        <x:v>2325.6</x:v>
      </x:c>
      <x:c r="K907" s="28" t="n">
        <x:v>0.1109</x:v>
      </x:c>
      <x:c r="L907" s="26" t="n">
        <x:v>257.91</x:v>
      </x:c>
      <x:c r="M907" t="n">
        <x:v>0</x:v>
      </x:c>
      <x:c r="N907" s="26" t="n">
        <x:v>0</x:v>
      </x:c>
      <x:c r="O907" s="26" t="n">
        <x:v>43.02</x:v>
      </x:c>
      <x:c r="P907" s="26" t="n">
        <x:v>10.47</x:v>
      </x:c>
      <x:c r="Q907" s="26" t="n">
        <x:v>19.77</x:v>
      </x:c>
      <x:c r="R907" s="26" t="n">
        <x:v>24.42</x:v>
      </x:c>
      <x:c r="S907" s="26" t="n">
        <x:v>160.23</x:v>
      </x:c>
    </x:row>
    <x:row r="908">
      <x:c r="A908" t="n">
        <x:v>500905</x:v>
      </x:c>
      <x:c r="B908" s="24" t="n">
        <x:v>45827</x:v>
      </x:c>
      <x:c r="C908" t="n">
        <x:v>1062</x:v>
      </x:c>
      <x:c r="D908" t="str">
        <x:v>Seller 1062</x:v>
      </x:c>
      <x:c r="E908" t="str">
        <x:v>Bronze</x:v>
      </x:c>
      <x:c r="F908" t="str">
        <x:v>West</x:v>
      </x:c>
      <x:c r="G908" t="str">
        <x:v>Electronics</x:v>
      </x:c>
      <x:c r="H908" t="n">
        <x:v>1</x:v>
      </x:c>
      <x:c r="I908" s="26" t="n">
        <x:v>8100</x:v>
      </x:c>
      <x:c r="J908" s="26" t="n">
        <x:v>4621.8</x:v>
      </x:c>
      <x:c r="K908" s="28" t="n">
        <x:v>0.1318</x:v>
      </x:c>
      <x:c r="L908" s="26" t="n">
        <x:v>609.15</x:v>
      </x:c>
      <x:c r="M908" t="n">
        <x:v>0</x:v>
      </x:c>
      <x:c r="N908" s="26" t="n">
        <x:v>0</x:v>
      </x:c>
      <x:c r="O908" s="26" t="n">
        <x:v>85.5</x:v>
      </x:c>
      <x:c r="P908" s="26" t="n">
        <x:v>20.8</x:v>
      </x:c>
      <x:c r="Q908" s="26" t="n">
        <x:v>39.29</x:v>
      </x:c>
      <x:c r="R908" s="26" t="n">
        <x:v>48.53</x:v>
      </x:c>
      <x:c r="S908" s="26" t="n">
        <x:v>415.04</x:v>
      </x:c>
    </x:row>
    <x:row r="909">
      <x:c r="A909" t="n">
        <x:v>500906</x:v>
      </x:c>
      <x:c r="B909" s="24" t="n">
        <x:v>45810</x:v>
      </x:c>
      <x:c r="C909" t="n">
        <x:v>1017</x:v>
      </x:c>
      <x:c r="D909" t="str">
        <x:v>Seller 1017</x:v>
      </x:c>
      <x:c r="E909" t="str">
        <x:v>Gold</x:v>
      </x:c>
      <x:c r="F909" t="str">
        <x:v>East</x:v>
      </x:c>
      <x:c r="G909" t="str">
        <x:v>Sports</x:v>
      </x:c>
      <x:c r="H909" t="n">
        <x:v>1</x:v>
      </x:c>
      <x:c r="I909" s="26" t="n">
        <x:v>4092.5999999999995</x:v>
      </x:c>
      <x:c r="J909" s="26" t="n">
        <x:v>4331.4</x:v>
      </x:c>
      <x:c r="K909" s="28" t="n">
        <x:v>0.132</x:v>
      </x:c>
      <x:c r="L909" s="26" t="n">
        <x:v>571.74</x:v>
      </x:c>
      <x:c r="M909" t="n">
        <x:v>0</x:v>
      </x:c>
      <x:c r="N909" s="26" t="n">
        <x:v>0</x:v>
      </x:c>
      <x:c r="O909" s="26" t="n">
        <x:v>80.13</x:v>
      </x:c>
      <x:c r="P909" s="26" t="n">
        <x:v>19.49</x:v>
      </x:c>
      <x:c r="Q909" s="26" t="n">
        <x:v>36.82</x:v>
      </x:c>
      <x:c r="R909" s="26" t="n">
        <x:v>45.48</x:v>
      </x:c>
      <x:c r="S909" s="26" t="n">
        <x:v>389.83</x:v>
      </x:c>
    </x:row>
    <x:row r="910">
      <x:c r="A910" t="n">
        <x:v>500907</x:v>
      </x:c>
      <x:c r="B910" s="24" t="n">
        <x:v>45836</x:v>
      </x:c>
      <x:c r="C910" t="n">
        <x:v>1080</x:v>
      </x:c>
      <x:c r="D910" t="str">
        <x:v>Seller 1080</x:v>
      </x:c>
      <x:c r="E910" t="str">
        <x:v>Bronze</x:v>
      </x:c>
      <x:c r="F910" t="str">
        <x:v>South</x:v>
      </x:c>
      <x:c r="G910" t="str">
        <x:v>Beauty</x:v>
      </x:c>
      <x:c r="H910" t="n">
        <x:v>2</x:v>
      </x:c>
      <x:c r="I910" s="26" t="n">
        <x:v>1402.8</x:v>
      </x:c>
      <x:c r="J910" s="26" t="n">
        <x:v>1600.8</x:v>
      </x:c>
      <x:c r="K910" s="28" t="n">
        <x:v>0.1425</x:v>
      </x:c>
      <x:c r="L910" s="26" t="n">
        <x:v>228.11</x:v>
      </x:c>
      <x:c r="M910" t="n">
        <x:v>0</x:v>
      </x:c>
      <x:c r="N910" s="26" t="n">
        <x:v>0</x:v>
      </x:c>
      <x:c r="O910" s="26" t="n">
        <x:v>29.61</x:v>
      </x:c>
      <x:c r="P910" s="26" t="n">
        <x:v>7.2</x:v>
      </x:c>
      <x:c r="Q910" s="26" t="n">
        <x:v>13.61</x:v>
      </x:c>
      <x:c r="R910" s="26" t="n">
        <x:v>16.81</x:v>
      </x:c>
      <x:c r="S910" s="26" t="n">
        <x:v>160.88</x:v>
      </x:c>
    </x:row>
    <x:row r="911">
      <x:c r="A911" t="n">
        <x:v>500908</x:v>
      </x:c>
      <x:c r="B911" s="24" t="n">
        <x:v>45830</x:v>
      </x:c>
      <x:c r="C911" t="n">
        <x:v>1057</x:v>
      </x:c>
      <x:c r="D911" t="str">
        <x:v>Seller 1057</x:v>
      </x:c>
      <x:c r="E911" t="str">
        <x:v>Bronze</x:v>
      </x:c>
      <x:c r="F911" t="str">
        <x:v>South</x:v>
      </x:c>
      <x:c r="G911" t="str">
        <x:v>Electronics</x:v>
      </x:c>
      <x:c r="H911" t="n">
        <x:v>1</x:v>
      </x:c>
      <x:c r="I911" s="26" t="n">
        <x:v>7592.400000000001</x:v>
      </x:c>
      <x:c r="J911" s="26" t="n">
        <x:v>4332</x:v>
      </x:c>
      <x:c r="K911" s="28" t="n">
        <x:v>0.13</x:v>
      </x:c>
      <x:c r="L911" s="26" t="n">
        <x:v>563.16</x:v>
      </x:c>
      <x:c r="M911" t="n">
        <x:v>0</x:v>
      </x:c>
      <x:c r="N911" s="26" t="n">
        <x:v>0</x:v>
      </x:c>
      <x:c r="O911" s="26" t="n">
        <x:v>80.14</x:v>
      </x:c>
      <x:c r="P911" s="26" t="n">
        <x:v>19.49</x:v>
      </x:c>
      <x:c r="Q911" s="26" t="n">
        <x:v>36.82</x:v>
      </x:c>
      <x:c r="R911" s="26" t="n">
        <x:v>45.49</x:v>
      </x:c>
      <x:c r="S911" s="26" t="n">
        <x:v>381.22</x:v>
      </x:c>
    </x:row>
    <x:row r="912">
      <x:c r="A912" t="n">
        <x:v>500909</x:v>
      </x:c>
      <x:c r="B912" s="24" t="n">
        <x:v>45809</x:v>
      </x:c>
      <x:c r="C912" t="n">
        <x:v>1040</x:v>
      </x:c>
      <x:c r="D912" t="str">
        <x:v>Seller 1040</x:v>
      </x:c>
      <x:c r="E912" t="str">
        <x:v>Silver</x:v>
      </x:c>
      <x:c r="F912" t="str">
        <x:v>West</x:v>
      </x:c>
      <x:c r="G912" t="str">
        <x:v>Pet Supplies</x:v>
      </x:c>
      <x:c r="H912" t="n">
        <x:v>3</x:v>
      </x:c>
      <x:c r="I912" s="26" t="n">
        <x:v>1264.2</x:v>
      </x:c>
      <x:c r="J912" s="26" t="n">
        <x:v>3071.4</x:v>
      </x:c>
      <x:c r="K912" s="28" t="n">
        <x:v>0.1246</x:v>
      </x:c>
      <x:c r="L912" s="26" t="n">
        <x:v>382.7</x:v>
      </x:c>
      <x:c r="M912" t="n">
        <x:v>0</x:v>
      </x:c>
      <x:c r="N912" s="26" t="n">
        <x:v>0</x:v>
      </x:c>
      <x:c r="O912" s="26" t="n">
        <x:v>56.82</x:v>
      </x:c>
      <x:c r="P912" s="26" t="n">
        <x:v>13.82</x:v>
      </x:c>
      <x:c r="Q912" s="26" t="n">
        <x:v>26.11</x:v>
      </x:c>
      <x:c r="R912" s="26" t="n">
        <x:v>32.25</x:v>
      </x:c>
      <x:c r="S912" s="26" t="n">
        <x:v>253.7</x:v>
      </x:c>
    </x:row>
    <x:row r="913">
      <x:c r="A913" t="n">
        <x:v>500910</x:v>
      </x:c>
      <x:c r="B913" s="24" t="n">
        <x:v>45808</x:v>
      </x:c>
      <x:c r="C913" t="n">
        <x:v>1073</x:v>
      </x:c>
      <x:c r="D913" t="str">
        <x:v>Seller 1073</x:v>
      </x:c>
      <x:c r="E913" t="str">
        <x:v>Bronze</x:v>
      </x:c>
      <x:c r="F913" t="str">
        <x:v>Central</x:v>
      </x:c>
      <x:c r="G913" t="str">
        <x:v>Electronics</x:v>
      </x:c>
      <x:c r="H913" t="n">
        <x:v>2</x:v>
      </x:c>
      <x:c r="I913" s="26" t="n">
        <x:v>3527.4</x:v>
      </x:c>
      <x:c r="J913" s="26" t="n">
        <x:v>4025.4</x:v>
      </x:c>
      <x:c r="K913" s="28" t="n">
        <x:v>0.1134</x:v>
      </x:c>
      <x:c r="L913" s="26" t="n">
        <x:v>456.48</x:v>
      </x:c>
      <x:c r="M913" t="n">
        <x:v>0</x:v>
      </x:c>
      <x:c r="N913" s="26" t="n">
        <x:v>0</x:v>
      </x:c>
      <x:c r="O913" s="26" t="n">
        <x:v>74.47</x:v>
      </x:c>
      <x:c r="P913" s="26" t="n">
        <x:v>18.11</x:v>
      </x:c>
      <x:c r="Q913" s="26" t="n">
        <x:v>34.22</x:v>
      </x:c>
      <x:c r="R913" s="26" t="n">
        <x:v>42.27</x:v>
      </x:c>
      <x:c r="S913" s="26" t="n">
        <x:v>287.41</x:v>
      </x:c>
    </x:row>
    <x:row r="914">
      <x:c r="A914" t="n">
        <x:v>500911</x:v>
      </x:c>
      <x:c r="B914" s="24" t="n">
        <x:v>45818</x:v>
      </x:c>
      <x:c r="C914" t="n">
        <x:v>1036</x:v>
      </x:c>
      <x:c r="D914" t="str">
        <x:v>Seller 1036</x:v>
      </x:c>
      <x:c r="E914" t="str">
        <x:v>Silver</x:v>
      </x:c>
      <x:c r="F914" t="str">
        <x:v>Central</x:v>
      </x:c>
      <x:c r="G914" t="str">
        <x:v>Home &amp; Kitchen</x:v>
      </x:c>
      <x:c r="H914" t="n">
        <x:v>3</x:v>
      </x:c>
      <x:c r="I914" s="26" t="n">
        <x:v>980.4</x:v>
      </x:c>
      <x:c r="J914" s="26" t="n">
        <x:v>2381.4</x:v>
      </x:c>
      <x:c r="K914" s="28" t="n">
        <x:v>0.1369</x:v>
      </x:c>
      <x:c r="L914" s="26" t="n">
        <x:v>326.01</x:v>
      </x:c>
      <x:c r="M914" t="n">
        <x:v>0</x:v>
      </x:c>
      <x:c r="N914" s="26" t="n">
        <x:v>0</x:v>
      </x:c>
      <x:c r="O914" s="26" t="n">
        <x:v>44.06</x:v>
      </x:c>
      <x:c r="P914" s="26" t="n">
        <x:v>10.72</x:v>
      </x:c>
      <x:c r="Q914" s="26" t="n">
        <x:v>20.24</x:v>
      </x:c>
      <x:c r="R914" s="26" t="n">
        <x:v>25</x:v>
      </x:c>
      <x:c r="S914" s="26" t="n">
        <x:v>225.99</x:v>
      </x:c>
    </x:row>
    <x:row r="915">
      <x:c r="A915" t="n">
        <x:v>500912</x:v>
      </x:c>
      <x:c r="B915" s="24" t="n">
        <x:v>45820</x:v>
      </x:c>
      <x:c r="C915" t="n">
        <x:v>1052</x:v>
      </x:c>
      <x:c r="D915" t="str">
        <x:v>Seller 1052</x:v>
      </x:c>
      <x:c r="E915" t="str">
        <x:v>Silver</x:v>
      </x:c>
      <x:c r="F915" t="str">
        <x:v>Central</x:v>
      </x:c>
      <x:c r="G915" t="str">
        <x:v>Pet Supplies</x:v>
      </x:c>
      <x:c r="H915" t="n">
        <x:v>1</x:v>
      </x:c>
      <x:c r="I915" s="26" t="n">
        <x:v>3151.2000000000003</x:v>
      </x:c>
      <x:c r="J915" s="26" t="n">
        <x:v>2551.8</x:v>
      </x:c>
      <x:c r="K915" s="28" t="n">
        <x:v>0.1282</x:v>
      </x:c>
      <x:c r="L915" s="26" t="n">
        <x:v>327.14</x:v>
      </x:c>
      <x:c r="M915" t="n">
        <x:v>1</x:v>
      </x:c>
      <x:c r="N915" s="26" t="n">
        <x:v>2010</x:v>
      </x:c>
      <x:c r="O915" s="26" t="n">
        <x:v>47.21</x:v>
      </x:c>
      <x:c r="P915" s="26" t="n">
        <x:v>11.48</x:v>
      </x:c>
      <x:c r="Q915" s="26" t="n">
        <x:v>21.69</x:v>
      </x:c>
      <x:c r="R915" s="26" t="n">
        <x:v>26.79</x:v>
      </x:c>
      <x:c r="S915" s="26" t="n">
        <x:v>179.77</x:v>
      </x:c>
    </x:row>
    <x:row r="916">
      <x:c r="A916" t="n">
        <x:v>500913</x:v>
      </x:c>
      <x:c r="B916" s="24" t="n">
        <x:v>45812</x:v>
      </x:c>
      <x:c r="C916" t="n">
        <x:v>1033</x:v>
      </x:c>
      <x:c r="D916" t="str">
        <x:v>Seller 1033</x:v>
      </x:c>
      <x:c r="E916" t="str">
        <x:v>Silver</x:v>
      </x:c>
      <x:c r="F916" t="str">
        <x:v>South</x:v>
      </x:c>
      <x:c r="G916" t="str">
        <x:v>Beauty</x:v>
      </x:c>
      <x:c r="H916" t="n">
        <x:v>3</x:v>
      </x:c>
      <x:c r="I916" s="26" t="n">
        <x:v>846.5999999999999</x:v>
      </x:c>
      <x:c r="J916" s="26" t="n">
        <x:v>2056.8</x:v>
      </x:c>
      <x:c r="K916" s="28" t="n">
        <x:v>0.1398</x:v>
      </x:c>
      <x:c r="L916" s="26" t="n">
        <x:v>287.54</x:v>
      </x:c>
      <x:c r="M916" t="n">
        <x:v>0</x:v>
      </x:c>
      <x:c r="N916" s="26" t="n">
        <x:v>0</x:v>
      </x:c>
      <x:c r="O916" s="26" t="n">
        <x:v>38.05</x:v>
      </x:c>
      <x:c r="P916" s="26" t="n">
        <x:v>9.26</x:v>
      </x:c>
      <x:c r="Q916" s="26" t="n">
        <x:v>17.48</x:v>
      </x:c>
      <x:c r="R916" s="26" t="n">
        <x:v>21.6</x:v>
      </x:c>
      <x:c r="S916" s="26" t="n">
        <x:v>201.16</x:v>
      </x:c>
    </x:row>
    <x:row r="917">
      <x:c r="A917" t="n">
        <x:v>500914</x:v>
      </x:c>
      <x:c r="B917" s="24" t="n">
        <x:v>45820</x:v>
      </x:c>
      <x:c r="C917" t="n">
        <x:v>1040</x:v>
      </x:c>
      <x:c r="D917" t="str">
        <x:v>Seller 1040</x:v>
      </x:c>
      <x:c r="E917" t="str">
        <x:v>Silver</x:v>
      </x:c>
      <x:c r="F917" t="str">
        <x:v>West</x:v>
      </x:c>
      <x:c r="G917" t="str">
        <x:v>Pet Supplies</x:v>
      </x:c>
      <x:c r="H917" t="n">
        <x:v>3</x:v>
      </x:c>
      <x:c r="I917" s="26" t="n">
        <x:v>1341</x:v>
      </x:c>
      <x:c r="J917" s="26" t="n">
        <x:v>3258.6</x:v>
      </x:c>
      <x:c r="K917" s="28" t="n">
        <x:v>0.1278</x:v>
      </x:c>
      <x:c r="L917" s="26" t="n">
        <x:v>416.45</x:v>
      </x:c>
      <x:c r="M917" t="n">
        <x:v>0</x:v>
      </x:c>
      <x:c r="N917" s="26" t="n">
        <x:v>0</x:v>
      </x:c>
      <x:c r="O917" s="26" t="n">
        <x:v>60.28</x:v>
      </x:c>
      <x:c r="P917" s="26" t="n">
        <x:v>14.66</x:v>
      </x:c>
      <x:c r="Q917" s="26" t="n">
        <x:v>27.7</x:v>
      </x:c>
      <x:c r="R917" s="26" t="n">
        <x:v>34.22</x:v>
      </x:c>
      <x:c r="S917" s="26" t="n">
        <x:v>279.59</x:v>
      </x:c>
    </x:row>
    <x:row r="918">
      <x:c r="A918" t="n">
        <x:v>500915</x:v>
      </x:c>
      <x:c r="B918" s="24" t="n">
        <x:v>45814</x:v>
      </x:c>
      <x:c r="C918" t="n">
        <x:v>1013</x:v>
      </x:c>
      <x:c r="D918" t="str">
        <x:v>Seller 1013</x:v>
      </x:c>
      <x:c r="E918" t="str">
        <x:v>Gold</x:v>
      </x:c>
      <x:c r="F918" t="str">
        <x:v>West</x:v>
      </x:c>
      <x:c r="G918" t="str">
        <x:v>Electronics</x:v>
      </x:c>
      <x:c r="H918" t="n">
        <x:v>1</x:v>
      </x:c>
      <x:c r="I918" s="26" t="n">
        <x:v>9021</x:v>
      </x:c>
      <x:c r="J918" s="26" t="n">
        <x:v>9547.2</x:v>
      </x:c>
      <x:c r="K918" s="28" t="n">
        <x:v>0.122</x:v>
      </x:c>
      <x:c r="L918" s="26" t="n">
        <x:v>1164.76</x:v>
      </x:c>
      <x:c r="M918" t="n">
        <x:v>0</x:v>
      </x:c>
      <x:c r="N918" s="26" t="n">
        <x:v>0</x:v>
      </x:c>
      <x:c r="O918" s="26" t="n">
        <x:v>176.62</x:v>
      </x:c>
      <x:c r="P918" s="26" t="n">
        <x:v>42.96</x:v>
      </x:c>
      <x:c r="Q918" s="26" t="n">
        <x:v>81.15</x:v>
      </x:c>
      <x:c r="R918" s="26" t="n">
        <x:v>100.25</x:v>
      </x:c>
      <x:c r="S918" s="26" t="n">
        <x:v>763.78</x:v>
      </x:c>
    </x:row>
    <x:row r="919">
      <x:c r="A919" t="n">
        <x:v>500916</x:v>
      </x:c>
      <x:c r="B919" s="24" t="n">
        <x:v>45818</x:v>
      </x:c>
      <x:c r="C919" t="n">
        <x:v>1031</x:v>
      </x:c>
      <x:c r="D919" t="str">
        <x:v>Seller 1031</x:v>
      </x:c>
      <x:c r="E919" t="str">
        <x:v>Silver</x:v>
      </x:c>
      <x:c r="F919" t="str">
        <x:v>West</x:v>
      </x:c>
      <x:c r="G919" t="str">
        <x:v>Sports</x:v>
      </x:c>
      <x:c r="H919" t="n">
        <x:v>2</x:v>
      </x:c>
      <x:c r="I919" s="26" t="n">
        <x:v>2713.2</x:v>
      </x:c>
      <x:c r="J919" s="26" t="n">
        <x:v>4395</x:v>
      </x:c>
      <x:c r="K919" s="28" t="n">
        <x:v>0.1281</x:v>
      </x:c>
      <x:c r="L919" s="26" t="n">
        <x:v>563</x:v>
      </x:c>
      <x:c r="M919" t="n">
        <x:v>0</x:v>
      </x:c>
      <x:c r="N919" s="26" t="n">
        <x:v>0</x:v>
      </x:c>
      <x:c r="O919" s="26" t="n">
        <x:v>81.31</x:v>
      </x:c>
      <x:c r="P919" s="26" t="n">
        <x:v>19.78</x:v>
      </x:c>
      <x:c r="Q919" s="26" t="n">
        <x:v>37.36</x:v>
      </x:c>
      <x:c r="R919" s="26" t="n">
        <x:v>46.15</x:v>
      </x:c>
      <x:c r="S919" s="26" t="n">
        <x:v>378.41</x:v>
      </x:c>
    </x:row>
    <x:row r="920">
      <x:c r="A920" t="n">
        <x:v>500917</x:v>
      </x:c>
      <x:c r="B920" s="24" t="n">
        <x:v>45826</x:v>
      </x:c>
      <x:c r="C920" t="n">
        <x:v>1060</x:v>
      </x:c>
      <x:c r="D920" t="str">
        <x:v>Seller 1060</x:v>
      </x:c>
      <x:c r="E920" t="str">
        <x:v>Bronze</x:v>
      </x:c>
      <x:c r="F920" t="str">
        <x:v>East</x:v>
      </x:c>
      <x:c r="G920" t="str">
        <x:v>Pet Supplies</x:v>
      </x:c>
      <x:c r="H920" t="n">
        <x:v>2</x:v>
      </x:c>
      <x:c r="I920" s="26" t="n">
        <x:v>1584</x:v>
      </x:c>
      <x:c r="J920" s="26" t="n">
        <x:v>1807.8</x:v>
      </x:c>
      <x:c r="K920" s="28" t="n">
        <x:v>0.1352</x:v>
      </x:c>
      <x:c r="L920" s="26" t="n">
        <x:v>244.41</x:v>
      </x:c>
      <x:c r="M920" t="n">
        <x:v>1</x:v>
      </x:c>
      <x:c r="N920" s="26" t="n">
        <x:v>1444.8</x:v>
      </x:c>
      <x:c r="O920" s="26" t="n">
        <x:v>33.44</x:v>
      </x:c>
      <x:c r="P920" s="26" t="n">
        <x:v>8.14</x:v>
      </x:c>
      <x:c r="Q920" s="26" t="n">
        <x:v>15.37</x:v>
      </x:c>
      <x:c r="R920" s="26" t="n">
        <x:v>18.98</x:v>
      </x:c>
      <x:c r="S920" s="26" t="n">
        <x:v>139.59</x:v>
      </x:c>
    </x:row>
    <x:row r="921">
      <x:c r="A921" t="n">
        <x:v>500918</x:v>
      </x:c>
      <x:c r="B921" s="24" t="n">
        <x:v>45828</x:v>
      </x:c>
      <x:c r="C921" t="n">
        <x:v>1013</x:v>
      </x:c>
      <x:c r="D921" t="str">
        <x:v>Seller 1013</x:v>
      </x:c>
      <x:c r="E921" t="str">
        <x:v>Gold</x:v>
      </x:c>
      <x:c r="F921" t="str">
        <x:v>West</x:v>
      </x:c>
      <x:c r="G921" t="str">
        <x:v>Electronics</x:v>
      </x:c>
      <x:c r="H921" t="n">
        <x:v>1</x:v>
      </x:c>
      <x:c r="I921" s="26" t="n">
        <x:v>8288.4</x:v>
      </x:c>
      <x:c r="J921" s="26" t="n">
        <x:v>8772</x:v>
      </x:c>
      <x:c r="K921" s="28" t="n">
        <x:v>0.1203</x:v>
      </x:c>
      <x:c r="L921" s="26" t="n">
        <x:v>1055.27</x:v>
      </x:c>
      <x:c r="M921" t="n">
        <x:v>0</x:v>
      </x:c>
      <x:c r="N921" s="26" t="n">
        <x:v>0</x:v>
      </x:c>
      <x:c r="O921" s="26" t="n">
        <x:v>162.28</x:v>
      </x:c>
      <x:c r="P921" s="26" t="n">
        <x:v>39.47</x:v>
      </x:c>
      <x:c r="Q921" s="26" t="n">
        <x:v>74.56</x:v>
      </x:c>
      <x:c r="R921" s="26" t="n">
        <x:v>92.11</x:v>
      </x:c>
      <x:c r="S921" s="26" t="n">
        <x:v>686.85</x:v>
      </x:c>
    </x:row>
    <x:row r="922">
      <x:c r="A922" t="n">
        <x:v>500919</x:v>
      </x:c>
      <x:c r="B922" s="24" t="n">
        <x:v>45821</x:v>
      </x:c>
      <x:c r="C922" t="n">
        <x:v>1065</x:v>
      </x:c>
      <x:c r="D922" t="str">
        <x:v>Seller 1065</x:v>
      </x:c>
      <x:c r="E922" t="str">
        <x:v>Bronze</x:v>
      </x:c>
      <x:c r="F922" t="str">
        <x:v>South</x:v>
      </x:c>
      <x:c r="G922" t="str">
        <x:v>Home &amp; Kitchen</x:v>
      </x:c>
      <x:c r="H922" t="n">
        <x:v>3</x:v>
      </x:c>
      <x:c r="I922" s="26" t="n">
        <x:v>1563.6</x:v>
      </x:c>
      <x:c r="J922" s="26" t="n">
        <x:v>2676.6</x:v>
      </x:c>
      <x:c r="K922" s="28" t="n">
        <x:v>0.1466</x:v>
      </x:c>
      <x:c r="L922" s="26" t="n">
        <x:v>392.39</x:v>
      </x:c>
      <x:c r="M922" t="n">
        <x:v>0</x:v>
      </x:c>
      <x:c r="N922" s="26" t="n">
        <x:v>0</x:v>
      </x:c>
      <x:c r="O922" s="26" t="n">
        <x:v>49.52</x:v>
      </x:c>
      <x:c r="P922" s="26" t="n">
        <x:v>12.04</x:v>
      </x:c>
      <x:c r="Q922" s="26" t="n">
        <x:v>22.75</x:v>
      </x:c>
      <x:c r="R922" s="26" t="n">
        <x:v>28.1</x:v>
      </x:c>
      <x:c r="S922" s="26" t="n">
        <x:v>279.97</x:v>
      </x:c>
    </x:row>
    <x:row r="923">
      <x:c r="A923" t="n">
        <x:v>500920</x:v>
      </x:c>
      <x:c r="B923" s="24" t="n">
        <x:v>45808</x:v>
      </x:c>
      <x:c r="C923" t="n">
        <x:v>1072</x:v>
      </x:c>
      <x:c r="D923" t="str">
        <x:v>Seller 1072</x:v>
      </x:c>
      <x:c r="E923" t="str">
        <x:v>Bronze</x:v>
      </x:c>
      <x:c r="F923" t="str">
        <x:v>South</x:v>
      </x:c>
      <x:c r="G923" t="str">
        <x:v>Home &amp; Kitchen</x:v>
      </x:c>
      <x:c r="H923" t="n">
        <x:v>3</x:v>
      </x:c>
      <x:c r="I923" s="26" t="n">
        <x:v>1642.8</x:v>
      </x:c>
      <x:c r="J923" s="26" t="n">
        <x:v>2812.2</x:v>
      </x:c>
      <x:c r="K923" s="28" t="n">
        <x:v>0.1429</x:v>
      </x:c>
      <x:c r="L923" s="26" t="n">
        <x:v>401.86</x:v>
      </x:c>
      <x:c r="M923" t="n">
        <x:v>0</x:v>
      </x:c>
      <x:c r="N923" s="26" t="n">
        <x:v>0</x:v>
      </x:c>
      <x:c r="O923" s="26" t="n">
        <x:v>52.03</x:v>
      </x:c>
      <x:c r="P923" s="26" t="n">
        <x:v>12.65</x:v>
      </x:c>
      <x:c r="Q923" s="26" t="n">
        <x:v>23.9</x:v>
      </x:c>
      <x:c r="R923" s="26" t="n">
        <x:v>29.53</x:v>
      </x:c>
      <x:c r="S923" s="26" t="n">
        <x:v>283.75</x:v>
      </x:c>
    </x:row>
    <x:row r="924">
      <x:c r="A924" t="n">
        <x:v>500921</x:v>
      </x:c>
      <x:c r="B924" s="24" t="n">
        <x:v>45814</x:v>
      </x:c>
      <x:c r="C924" t="n">
        <x:v>1008</x:v>
      </x:c>
      <x:c r="D924" t="str">
        <x:v>Seller 1008</x:v>
      </x:c>
      <x:c r="E924" t="str">
        <x:v>Platinum</x:v>
      </x:c>
      <x:c r="F924" t="str">
        <x:v>West</x:v>
      </x:c>
      <x:c r="G924" t="str">
        <x:v>Apparel</x:v>
      </x:c>
      <x:c r="H924" t="n">
        <x:v>2</x:v>
      </x:c>
      <x:c r="I924" s="26" t="n">
        <x:v>2151</x:v>
      </x:c>
      <x:c r="J924" s="26" t="n">
        <x:v>6136.8</x:v>
      </x:c>
      <x:c r="K924" s="28" t="n">
        <x:v>0.1243</x:v>
      </x:c>
      <x:c r="L924" s="26" t="n">
        <x:v>762.8</x:v>
      </x:c>
      <x:c r="M924" t="n">
        <x:v>0</x:v>
      </x:c>
      <x:c r="N924" s="26" t="n">
        <x:v>0</x:v>
      </x:c>
      <x:c r="O924" s="26" t="n">
        <x:v>113.53</x:v>
      </x:c>
      <x:c r="P924" s="26" t="n">
        <x:v>27.62</x:v>
      </x:c>
      <x:c r="Q924" s="26" t="n">
        <x:v>52.16</x:v>
      </x:c>
      <x:c r="R924" s="26" t="n">
        <x:v>64.44</x:v>
      </x:c>
      <x:c r="S924" s="26" t="n">
        <x:v>505.06</x:v>
      </x:c>
    </x:row>
    <x:row r="925">
      <x:c r="A925" t="n">
        <x:v>500922</x:v>
      </x:c>
      <x:c r="B925" s="24" t="n">
        <x:v>45811</x:v>
      </x:c>
      <x:c r="C925" t="n">
        <x:v>1075</x:v>
      </x:c>
      <x:c r="D925" t="str">
        <x:v>Seller 1075</x:v>
      </x:c>
      <x:c r="E925" t="str">
        <x:v>Bronze</x:v>
      </x:c>
      <x:c r="F925" t="str">
        <x:v>East</x:v>
      </x:c>
      <x:c r="G925" t="str">
        <x:v>Beauty</x:v>
      </x:c>
      <x:c r="H925" t="n">
        <x:v>4</x:v>
      </x:c>
      <x:c r="I925" s="26" t="n">
        <x:v>757.8000000000001</x:v>
      </x:c>
      <x:c r="J925" s="26" t="n">
        <x:v>1729.2</x:v>
      </x:c>
      <x:c r="K925" s="28" t="n">
        <x:v>0.1465</x:v>
      </x:c>
      <x:c r="L925" s="26" t="n">
        <x:v>253.33</x:v>
      </x:c>
      <x:c r="M925" t="n">
        <x:v>0</x:v>
      </x:c>
      <x:c r="N925" s="26" t="n">
        <x:v>0</x:v>
      </x:c>
      <x:c r="O925" s="26" t="n">
        <x:v>31.99</x:v>
      </x:c>
      <x:c r="P925" s="26" t="n">
        <x:v>7.78</x:v>
      </x:c>
      <x:c r="Q925" s="26" t="n">
        <x:v>14.7</x:v>
      </x:c>
      <x:c r="R925" s="26" t="n">
        <x:v>18.16</x:v>
      </x:c>
      <x:c r="S925" s="26" t="n">
        <x:v>180.7</x:v>
      </x:c>
    </x:row>
    <x:row r="926">
      <x:c r="A926" t="n">
        <x:v>500923</x:v>
      </x:c>
      <x:c r="B926" s="24" t="n">
        <x:v>45836</x:v>
      </x:c>
      <x:c r="C926" t="n">
        <x:v>1018</x:v>
      </x:c>
      <x:c r="D926" t="str">
        <x:v>Seller 1018</x:v>
      </x:c>
      <x:c r="E926" t="str">
        <x:v>Gold</x:v>
      </x:c>
      <x:c r="F926" t="str">
        <x:v>West</x:v>
      </x:c>
      <x:c r="G926" t="str">
        <x:v>Electronics</x:v>
      </x:c>
      <x:c r="H926" t="n">
        <x:v>4</x:v>
      </x:c>
      <x:c r="I926" s="26" t="n">
        <x:v>2164.2</x:v>
      </x:c>
      <x:c r="J926" s="26" t="n">
        <x:v>9162.6</x:v>
      </x:c>
      <x:c r="K926" s="28" t="n">
        <x:v>0.1181</x:v>
      </x:c>
      <x:c r="L926" s="26" t="n">
        <x:v>1082.1</x:v>
      </x:c>
      <x:c r="M926" t="n">
        <x:v>0</x:v>
      </x:c>
      <x:c r="N926" s="26" t="n">
        <x:v>0</x:v>
      </x:c>
      <x:c r="O926" s="26" t="n">
        <x:v>169.51</x:v>
      </x:c>
      <x:c r="P926" s="26" t="n">
        <x:v>41.23</x:v>
      </x:c>
      <x:c r="Q926" s="26" t="n">
        <x:v>77.88</x:v>
      </x:c>
      <x:c r="R926" s="26" t="n">
        <x:v>96.21</x:v>
      </x:c>
      <x:c r="S926" s="26" t="n">
        <x:v>697.27</x:v>
      </x:c>
    </x:row>
    <x:row r="927">
      <x:c r="A927" t="n">
        <x:v>500924</x:v>
      </x:c>
      <x:c r="B927" s="24" t="n">
        <x:v>45814</x:v>
      </x:c>
      <x:c r="C927" t="n">
        <x:v>1044</x:v>
      </x:c>
      <x:c r="D927" t="str">
        <x:v>Seller 1044</x:v>
      </x:c>
      <x:c r="E927" t="str">
        <x:v>Silver</x:v>
      </x:c>
      <x:c r="F927" t="str">
        <x:v>East</x:v>
      </x:c>
      <x:c r="G927" t="str">
        <x:v>Pet Supplies</x:v>
      </x:c>
      <x:c r="H927" t="n">
        <x:v>4</x:v>
      </x:c>
      <x:c r="I927" s="26" t="n">
        <x:v>730.2</x:v>
      </x:c>
      <x:c r="J927" s="26" t="n">
        <x:v>2365.2</x:v>
      </x:c>
      <x:c r="K927" s="28" t="n">
        <x:v>0.1266</x:v>
      </x:c>
      <x:c r="L927" s="26" t="n">
        <x:v>299.43</x:v>
      </x:c>
      <x:c r="M927" t="n">
        <x:v>0</x:v>
      </x:c>
      <x:c r="N927" s="26" t="n">
        <x:v>0</x:v>
      </x:c>
      <x:c r="O927" s="26" t="n">
        <x:v>43.76</x:v>
      </x:c>
      <x:c r="P927" s="26" t="n">
        <x:v>10.64</x:v>
      </x:c>
      <x:c r="Q927" s="26" t="n">
        <x:v>20.1</x:v>
      </x:c>
      <x:c r="R927" s="26" t="n">
        <x:v>24.83</x:v>
      </x:c>
      <x:c r="S927" s="26" t="n">
        <x:v>200.1</x:v>
      </x:c>
    </x:row>
    <x:row r="928">
      <x:c r="A928" t="n">
        <x:v>500925</x:v>
      </x:c>
      <x:c r="B928" s="24" t="n">
        <x:v>45836</x:v>
      </x:c>
      <x:c r="C928" t="n">
        <x:v>1059</x:v>
      </x:c>
      <x:c r="D928" t="str">
        <x:v>Seller 1059</x:v>
      </x:c>
      <x:c r="E928" t="str">
        <x:v>Bronze</x:v>
      </x:c>
      <x:c r="F928" t="str">
        <x:v>Central</x:v>
      </x:c>
      <x:c r="G928" t="str">
        <x:v>Beauty</x:v>
      </x:c>
      <x:c r="H928" t="n">
        <x:v>3</x:v>
      </x:c>
      <x:c r="I928" s="26" t="n">
        <x:v>912</x:v>
      </x:c>
      <x:c r="J928" s="26" t="n">
        <x:v>1561.8</x:v>
      </x:c>
      <x:c r="K928" s="28" t="n">
        <x:v>0.1485</x:v>
      </x:c>
      <x:c r="L928" s="26" t="n">
        <x:v>231.93</x:v>
      </x:c>
      <x:c r="M928" t="n">
        <x:v>0</x:v>
      </x:c>
      <x:c r="N928" s="26" t="n">
        <x:v>0</x:v>
      </x:c>
      <x:c r="O928" s="26" t="n">
        <x:v>28.89</x:v>
      </x:c>
      <x:c r="P928" s="26" t="n">
        <x:v>7.03</x:v>
      </x:c>
      <x:c r="Q928" s="26" t="n">
        <x:v>13.28</x:v>
      </x:c>
      <x:c r="R928" s="26" t="n">
        <x:v>16.4</x:v>
      </x:c>
      <x:c r="S928" s="26" t="n">
        <x:v>166.33</x:v>
      </x:c>
    </x:row>
    <x:row r="929">
      <x:c r="A929" t="n">
        <x:v>500926</x:v>
      </x:c>
      <x:c r="B929" s="24" t="n">
        <x:v>45833</x:v>
      </x:c>
      <x:c r="C929" t="n">
        <x:v>1002</x:v>
      </x:c>
      <x:c r="D929" t="str">
        <x:v>Seller 1002</x:v>
      </x:c>
      <x:c r="E929" t="str">
        <x:v>Platinum</x:v>
      </x:c>
      <x:c r="F929" t="str">
        <x:v>Central</x:v>
      </x:c>
      <x:c r="G929" t="str">
        <x:v>Home &amp; Kitchen</x:v>
      </x:c>
      <x:c r="H929" t="n">
        <x:v>1</x:v>
      </x:c>
      <x:c r="I929" s="26" t="n">
        <x:v>5353.8</x:v>
      </x:c>
      <x:c r="J929" s="26" t="n">
        <x:v>7637.4</x:v>
      </x:c>
      <x:c r="K929" s="28" t="n">
        <x:v>0.1399</x:v>
      </x:c>
      <x:c r="L929" s="26" t="n">
        <x:v>1068.47</x:v>
      </x:c>
      <x:c r="M929" t="n">
        <x:v>0</x:v>
      </x:c>
      <x:c r="N929" s="26" t="n">
        <x:v>0</x:v>
      </x:c>
      <x:c r="O929" s="26" t="n">
        <x:v>141.29</x:v>
      </x:c>
      <x:c r="P929" s="26" t="n">
        <x:v>34.37</x:v>
      </x:c>
      <x:c r="Q929" s="26" t="n">
        <x:v>64.92</x:v>
      </x:c>
      <x:c r="R929" s="26" t="n">
        <x:v>80.19</x:v>
      </x:c>
      <x:c r="S929" s="26" t="n">
        <x:v>747.7</x:v>
      </x:c>
    </x:row>
    <x:row r="930">
      <x:c r="A930" t="n">
        <x:v>500927</x:v>
      </x:c>
      <x:c r="B930" s="24" t="n">
        <x:v>45820</x:v>
      </x:c>
      <x:c r="C930" t="n">
        <x:v>1010</x:v>
      </x:c>
      <x:c r="D930" t="str">
        <x:v>Seller 1010</x:v>
      </x:c>
      <x:c r="E930" t="str">
        <x:v>Platinum</x:v>
      </x:c>
      <x:c r="F930" t="str">
        <x:v>West</x:v>
      </x:c>
      <x:c r="G930" t="str">
        <x:v>Home &amp; Kitchen</x:v>
      </x:c>
      <x:c r="H930" t="n">
        <x:v>3</x:v>
      </x:c>
      <x:c r="I930" s="26" t="n">
        <x:v>1187.3999999999999</x:v>
      </x:c>
      <x:c r="J930" s="26" t="n">
        <x:v>5081.4</x:v>
      </x:c>
      <x:c r="K930" s="28" t="n">
        <x:v>0.1337</x:v>
      </x:c>
      <x:c r="L930" s="26" t="n">
        <x:v>679.38</x:v>
      </x:c>
      <x:c r="M930" t="n">
        <x:v>0</x:v>
      </x:c>
      <x:c r="N930" s="26" t="n">
        <x:v>0</x:v>
      </x:c>
      <x:c r="O930" s="26" t="n">
        <x:v>94.01</x:v>
      </x:c>
      <x:c r="P930" s="26" t="n">
        <x:v>22.87</x:v>
      </x:c>
      <x:c r="Q930" s="26" t="n">
        <x:v>43.19</x:v>
      </x:c>
      <x:c r="R930" s="26" t="n">
        <x:v>53.35</x:v>
      </x:c>
      <x:c r="S930" s="26" t="n">
        <x:v>465.96</x:v>
      </x:c>
    </x:row>
    <x:row r="931">
      <x:c r="A931" t="n">
        <x:v>500928</x:v>
      </x:c>
      <x:c r="B931" s="24" t="n">
        <x:v>45837</x:v>
      </x:c>
      <x:c r="C931" t="n">
        <x:v>1077</x:v>
      </x:c>
      <x:c r="D931" t="str">
        <x:v>Seller 1077</x:v>
      </x:c>
      <x:c r="E931" t="str">
        <x:v>Bronze</x:v>
      </x:c>
      <x:c r="F931" t="str">
        <x:v>South</x:v>
      </x:c>
      <x:c r="G931" t="str">
        <x:v>Home &amp; Kitchen</x:v>
      </x:c>
      <x:c r="H931" t="n">
        <x:v>3</x:v>
      </x:c>
      <x:c r="I931" s="26" t="n">
        <x:v>2243.4</x:v>
      </x:c>
      <x:c r="J931" s="26" t="n">
        <x:v>3840.6</x:v>
      </x:c>
      <x:c r="K931" s="28" t="n">
        <x:v>0.1397</x:v>
      </x:c>
      <x:c r="L931" s="26" t="n">
        <x:v>536.53</x:v>
      </x:c>
      <x:c r="M931" t="n">
        <x:v>0</x:v>
      </x:c>
      <x:c r="N931" s="26" t="n">
        <x:v>0</x:v>
      </x:c>
      <x:c r="O931" s="26" t="n">
        <x:v>71.05</x:v>
      </x:c>
      <x:c r="P931" s="26" t="n">
        <x:v>17.28</x:v>
      </x:c>
      <x:c r="Q931" s="26" t="n">
        <x:v>32.65</x:v>
      </x:c>
      <x:c r="R931" s="26" t="n">
        <x:v>40.33</x:v>
      </x:c>
      <x:c r="S931" s="26" t="n">
        <x:v>375.23</x:v>
      </x:c>
    </x:row>
    <x:row r="932">
      <x:c r="A932" t="n">
        <x:v>500929</x:v>
      </x:c>
      <x:c r="B932" s="24" t="n">
        <x:v>45810</x:v>
      </x:c>
      <x:c r="C932" t="n">
        <x:v>1025</x:v>
      </x:c>
      <x:c r="D932" t="str">
        <x:v>Seller 1025</x:v>
      </x:c>
      <x:c r="E932" t="str">
        <x:v>Gold</x:v>
      </x:c>
      <x:c r="F932" t="str">
        <x:v>Central</x:v>
      </x:c>
      <x:c r="G932" t="str">
        <x:v>Pet Supplies</x:v>
      </x:c>
      <x:c r="H932" t="n">
        <x:v>2</x:v>
      </x:c>
      <x:c r="I932" s="26" t="n">
        <x:v>1609.2</x:v>
      </x:c>
      <x:c r="J932" s="26" t="n">
        <x:v>3406.2</x:v>
      </x:c>
      <x:c r="K932" s="28" t="n">
        <x:v>0.1267</x:v>
      </x:c>
      <x:c r="L932" s="26" t="n">
        <x:v>431.57</x:v>
      </x:c>
      <x:c r="M932" t="n">
        <x:v>0</x:v>
      </x:c>
      <x:c r="N932" s="26" t="n">
        <x:v>0</x:v>
      </x:c>
      <x:c r="O932" s="26" t="n">
        <x:v>63.01</x:v>
      </x:c>
      <x:c r="P932" s="26" t="n">
        <x:v>15.33</x:v>
      </x:c>
      <x:c r="Q932" s="26" t="n">
        <x:v>28.95</x:v>
      </x:c>
      <x:c r="R932" s="26" t="n">
        <x:v>35.77</x:v>
      </x:c>
      <x:c r="S932" s="26" t="n">
        <x:v>288.51</x:v>
      </x:c>
    </x:row>
    <x:row r="933">
      <x:c r="A933" t="n">
        <x:v>500930</x:v>
      </x:c>
      <x:c r="B933" s="24" t="n">
        <x:v>45823</x:v>
      </x:c>
      <x:c r="C933" t="n">
        <x:v>1079</x:v>
      </x:c>
      <x:c r="D933" t="str">
        <x:v>Seller 1079</x:v>
      </x:c>
      <x:c r="E933" t="str">
        <x:v>Bronze</x:v>
      </x:c>
      <x:c r="F933" t="str">
        <x:v>South</x:v>
      </x:c>
      <x:c r="G933" t="str">
        <x:v>Beauty</x:v>
      </x:c>
      <x:c r="H933" t="n">
        <x:v>2</x:v>
      </x:c>
      <x:c r="I933" s="26" t="n">
        <x:v>1180.8</x:v>
      </x:c>
      <x:c r="J933" s="26" t="n">
        <x:v>1347.6</x:v>
      </x:c>
      <x:c r="K933" s="28" t="n">
        <x:v>0.1565</x:v>
      </x:c>
      <x:c r="L933" s="26" t="n">
        <x:v>210.9</x:v>
      </x:c>
      <x:c r="M933" t="n">
        <x:v>0</x:v>
      </x:c>
      <x:c r="N933" s="26" t="n">
        <x:v>0</x:v>
      </x:c>
      <x:c r="O933" s="26" t="n">
        <x:v>24.93</x:v>
      </x:c>
      <x:c r="P933" s="26" t="n">
        <x:v>6.06</x:v>
      </x:c>
      <x:c r="Q933" s="26" t="n">
        <x:v>11.45</x:v>
      </x:c>
      <x:c r="R933" s="26" t="n">
        <x:v>14.15</x:v>
      </x:c>
      <x:c r="S933" s="26" t="n">
        <x:v>154.3</x:v>
      </x:c>
    </x:row>
    <x:row r="934">
      <x:c r="A934" t="n">
        <x:v>500931</x:v>
      </x:c>
      <x:c r="B934" s="24" t="n">
        <x:v>45853</x:v>
      </x:c>
      <x:c r="C934" t="n">
        <x:v>1078</x:v>
      </x:c>
      <x:c r="D934" t="str">
        <x:v>Seller 1078</x:v>
      </x:c>
      <x:c r="E934" t="str">
        <x:v>Bronze</x:v>
      </x:c>
      <x:c r="F934" t="str">
        <x:v>East</x:v>
      </x:c>
      <x:c r="G934" t="str">
        <x:v>Home &amp; Kitchen</x:v>
      </x:c>
      <x:c r="H934" t="n">
        <x:v>3</x:v>
      </x:c>
      <x:c r="I934" s="26" t="n">
        <x:v>2328.6000000000004</x:v>
      </x:c>
      <x:c r="J934" s="26" t="n">
        <x:v>4113</x:v>
      </x:c>
      <x:c r="K934" s="28" t="n">
        <x:v>0.1325</x:v>
      </x:c>
      <x:c r="L934" s="26" t="n">
        <x:v>544.97</x:v>
      </x:c>
      <x:c r="M934" t="n">
        <x:v>0</x:v>
      </x:c>
      <x:c r="N934" s="26" t="n">
        <x:v>0</x:v>
      </x:c>
      <x:c r="O934" s="26" t="n">
        <x:v>76.09</x:v>
      </x:c>
      <x:c r="P934" s="26" t="n">
        <x:v>18.51</x:v>
      </x:c>
      <x:c r="Q934" s="26" t="n">
        <x:v>34.96</x:v>
      </x:c>
      <x:c r="R934" s="26" t="n">
        <x:v>43.19</x:v>
      </x:c>
      <x:c r="S934" s="26" t="n">
        <x:v>372.23</x:v>
      </x:c>
    </x:row>
    <x:row r="935">
      <x:c r="A935" t="n">
        <x:v>500932</x:v>
      </x:c>
      <x:c r="B935" s="24" t="n">
        <x:v>45842</x:v>
      </x:c>
      <x:c r="C935" t="n">
        <x:v>1022</x:v>
      </x:c>
      <x:c r="D935" t="str">
        <x:v>Seller 1022</x:v>
      </x:c>
      <x:c r="E935" t="str">
        <x:v>Gold</x:v>
      </x:c>
      <x:c r="F935" t="str">
        <x:v>East</x:v>
      </x:c>
      <x:c r="G935" t="str">
        <x:v>Sports</x:v>
      </x:c>
      <x:c r="H935" t="n">
        <x:v>1</x:v>
      </x:c>
      <x:c r="I935" s="26" t="n">
        <x:v>4162.200000000001</x:v>
      </x:c>
      <x:c r="J935" s="26" t="n">
        <x:v>4545</x:v>
      </x:c>
      <x:c r="K935" s="28" t="n">
        <x:v>0.1324</x:v>
      </x:c>
      <x:c r="L935" s="26" t="n">
        <x:v>601.76</x:v>
      </x:c>
      <x:c r="M935" t="n">
        <x:v>0</x:v>
      </x:c>
      <x:c r="N935" s="26" t="n">
        <x:v>0</x:v>
      </x:c>
      <x:c r="O935" s="26" t="n">
        <x:v>84.08</x:v>
      </x:c>
      <x:c r="P935" s="26" t="n">
        <x:v>20.45</x:v>
      </x:c>
      <x:c r="Q935" s="26" t="n">
        <x:v>38.63</x:v>
      </x:c>
      <x:c r="R935" s="26" t="n">
        <x:v>47.72</x:v>
      </x:c>
      <x:c r="S935" s="26" t="n">
        <x:v>410.87</x:v>
      </x:c>
    </x:row>
    <x:row r="936">
      <x:c r="A936" t="n">
        <x:v>500933</x:v>
      </x:c>
      <x:c r="B936" s="24" t="n">
        <x:v>45865</x:v>
      </x:c>
      <x:c r="C936" t="n">
        <x:v>1009</x:v>
      </x:c>
      <x:c r="D936" t="str">
        <x:v>Seller 1009</x:v>
      </x:c>
      <x:c r="E936" t="str">
        <x:v>Platinum</x:v>
      </x:c>
      <x:c r="F936" t="str">
        <x:v>Central</x:v>
      </x:c>
      <x:c r="G936" t="str">
        <x:v>Pet Supplies</x:v>
      </x:c>
      <x:c r="H936" t="n">
        <x:v>4</x:v>
      </x:c>
      <x:c r="I936" s="26" t="n">
        <x:v>580.8</x:v>
      </x:c>
      <x:c r="J936" s="26" t="n">
        <x:v>3420</x:v>
      </x:c>
      <x:c r="K936" s="28" t="n">
        <x:v>0.1411</x:v>
      </x:c>
      <x:c r="L936" s="26" t="n">
        <x:v>482.56</x:v>
      </x:c>
      <x:c r="M936" t="n">
        <x:v>0</x:v>
      </x:c>
      <x:c r="N936" s="26" t="n">
        <x:v>0</x:v>
      </x:c>
      <x:c r="O936" s="26" t="n">
        <x:v>63.27</x:v>
      </x:c>
      <x:c r="P936" s="26" t="n">
        <x:v>15.39</x:v>
      </x:c>
      <x:c r="Q936" s="26" t="n">
        <x:v>29.07</x:v>
      </x:c>
      <x:c r="R936" s="26" t="n">
        <x:v>35.91</x:v>
      </x:c>
      <x:c r="S936" s="26" t="n">
        <x:v>338.92</x:v>
      </x:c>
    </x:row>
    <x:row r="937">
      <x:c r="A937" t="n">
        <x:v>500934</x:v>
      </x:c>
      <x:c r="B937" s="24" t="n">
        <x:v>45859</x:v>
      </x:c>
      <x:c r="C937" t="n">
        <x:v>1003</x:v>
      </x:c>
      <x:c r="D937" t="str">
        <x:v>Seller 1003</x:v>
      </x:c>
      <x:c r="E937" t="str">
        <x:v>Platinum</x:v>
      </x:c>
      <x:c r="F937" t="str">
        <x:v>East</x:v>
      </x:c>
      <x:c r="G937" t="str">
        <x:v>Pet Supplies</x:v>
      </x:c>
      <x:c r="H937" t="n">
        <x:v>2</x:v>
      </x:c>
      <x:c r="I937" s="26" t="n">
        <x:v>1250.4</x:v>
      </x:c>
      <x:c r="J937" s="26" t="n">
        <x:v>3680.4</x:v>
      </x:c>
      <x:c r="K937" s="28" t="n">
        <x:v>0.1363</x:v>
      </x:c>
      <x:c r="L937" s="26" t="n">
        <x:v>501.64</x:v>
      </x:c>
      <x:c r="M937" t="n">
        <x:v>1</x:v>
      </x:c>
      <x:c r="N937" s="26" t="n">
        <x:v>2731.2</x:v>
      </x:c>
      <x:c r="O937" s="26" t="n">
        <x:v>68.09</x:v>
      </x:c>
      <x:c r="P937" s="26" t="n">
        <x:v>16.56</x:v>
      </x:c>
      <x:c r="Q937" s="26" t="n">
        <x:v>31.28</x:v>
      </x:c>
      <x:c r="R937" s="26" t="n">
        <x:v>38.64</x:v>
      </x:c>
      <x:c r="S937" s="26" t="n">
        <x:v>292.44</x:v>
      </x:c>
    </x:row>
    <x:row r="938">
      <x:c r="A938" t="n">
        <x:v>500935</x:v>
      </x:c>
      <x:c r="B938" s="24" t="n">
        <x:v>45849</x:v>
      </x:c>
      <x:c r="C938" t="n">
        <x:v>1007</x:v>
      </x:c>
      <x:c r="D938" t="str">
        <x:v>Seller 1007</x:v>
      </x:c>
      <x:c r="E938" t="str">
        <x:v>Platinum</x:v>
      </x:c>
      <x:c r="F938" t="str">
        <x:v>South</x:v>
      </x:c>
      <x:c r="G938" t="str">
        <x:v>Beauty</x:v>
      </x:c>
      <x:c r="H938" t="n">
        <x:v>1</x:v>
      </x:c>
      <x:c r="I938" s="26" t="n">
        <x:v>2923.2</x:v>
      </x:c>
      <x:c r="J938" s="26" t="n">
        <x:v>4302</x:v>
      </x:c>
      <x:c r="K938" s="28" t="n">
        <x:v>0.1396</x:v>
      </x:c>
      <x:c r="L938" s="26" t="n">
        <x:v>600.56</x:v>
      </x:c>
      <x:c r="M938" t="n">
        <x:v>0</x:v>
      </x:c>
      <x:c r="N938" s="26" t="n">
        <x:v>0</x:v>
      </x:c>
      <x:c r="O938" s="26" t="n">
        <x:v>79.59</x:v>
      </x:c>
      <x:c r="P938" s="26" t="n">
        <x:v>19.36</x:v>
      </x:c>
      <x:c r="Q938" s="26" t="n">
        <x:v>36.57</x:v>
      </x:c>
      <x:c r="R938" s="26" t="n">
        <x:v>45.17</x:v>
      </x:c>
      <x:c r="S938" s="26" t="n">
        <x:v>419.88</x:v>
      </x:c>
    </x:row>
    <x:row r="939">
      <x:c r="A939" t="n">
        <x:v>500936</x:v>
      </x:c>
      <x:c r="B939" s="24" t="n">
        <x:v>45840</x:v>
      </x:c>
      <x:c r="C939" t="n">
        <x:v>1067</x:v>
      </x:c>
      <x:c r="D939" t="str">
        <x:v>Seller 1067</x:v>
      </x:c>
      <x:c r="E939" t="str">
        <x:v>Bronze</x:v>
      </x:c>
      <x:c r="F939" t="str">
        <x:v>South</x:v>
      </x:c>
      <x:c r="G939" t="str">
        <x:v>Pet Supplies</x:v>
      </x:c>
      <x:c r="H939" t="n">
        <x:v>2</x:v>
      </x:c>
      <x:c r="I939" s="26" t="n">
        <x:v>1758.6</x:v>
      </x:c>
      <x:c r="J939" s="26" t="n">
        <x:v>2070.6</x:v>
      </x:c>
      <x:c r="K939" s="28" t="n">
        <x:v>0.1301</x:v>
      </x:c>
      <x:c r="L939" s="26" t="n">
        <x:v>269.39</x:v>
      </x:c>
      <x:c r="M939" t="n">
        <x:v>1</x:v>
      </x:c>
      <x:c r="N939" s="26" t="n">
        <x:v>1320.6</x:v>
      </x:c>
      <x:c r="O939" s="26" t="n">
        <x:v>38.31</x:v>
      </x:c>
      <x:c r="P939" s="26" t="n">
        <x:v>9.32</x:v>
      </x:c>
      <x:c r="Q939" s="26" t="n">
        <x:v>17.6</x:v>
      </x:c>
      <x:c r="R939" s="26" t="n">
        <x:v>21.74</x:v>
      </x:c>
      <x:c r="S939" s="26" t="n">
        <x:v>156.01</x:v>
      </x:c>
    </x:row>
    <x:row r="940">
      <x:c r="A940" t="n">
        <x:v>500937</x:v>
      </x:c>
      <x:c r="B940" s="24" t="n">
        <x:v>45848</x:v>
      </x:c>
      <x:c r="C940" t="n">
        <x:v>1074</x:v>
      </x:c>
      <x:c r="D940" t="str">
        <x:v>Seller 1074</x:v>
      </x:c>
      <x:c r="E940" t="str">
        <x:v>Bronze</x:v>
      </x:c>
      <x:c r="F940" t="str">
        <x:v>East</x:v>
      </x:c>
      <x:c r="G940" t="str">
        <x:v>Pet Supplies</x:v>
      </x:c>
      <x:c r="H940" t="n">
        <x:v>2</x:v>
      </x:c>
      <x:c r="I940" s="26" t="n">
        <x:v>1937.3999999999999</x:v>
      </x:c>
      <x:c r="J940" s="26" t="n">
        <x:v>2281.2</x:v>
      </x:c>
      <x:c r="K940" s="28" t="n">
        <x:v>0.143</x:v>
      </x:c>
      <x:c r="L940" s="26" t="n">
        <x:v>326.21</x:v>
      </x:c>
      <x:c r="M940" t="n">
        <x:v>0</x:v>
      </x:c>
      <x:c r="N940" s="26" t="n">
        <x:v>0</x:v>
      </x:c>
      <x:c r="O940" s="26" t="n">
        <x:v>42.2</x:v>
      </x:c>
      <x:c r="P940" s="26" t="n">
        <x:v>10.27</x:v>
      </x:c>
      <x:c r="Q940" s="26" t="n">
        <x:v>19.39</x:v>
      </x:c>
      <x:c r="R940" s="26" t="n">
        <x:v>23.95</x:v>
      </x:c>
      <x:c r="S940" s="26" t="n">
        <x:v>230.4</x:v>
      </x:c>
    </x:row>
    <x:row r="941">
      <x:c r="A941" t="n">
        <x:v>500938</x:v>
      </x:c>
      <x:c r="B941" s="24" t="n">
        <x:v>45867</x:v>
      </x:c>
      <x:c r="C941" t="n">
        <x:v>1040</x:v>
      </x:c>
      <x:c r="D941" t="str">
        <x:v>Seller 1040</x:v>
      </x:c>
      <x:c r="E941" t="str">
        <x:v>Silver</x:v>
      </x:c>
      <x:c r="F941" t="str">
        <x:v>West</x:v>
      </x:c>
      <x:c r="G941" t="str">
        <x:v>Pet Supplies</x:v>
      </x:c>
      <x:c r="H941" t="n">
        <x:v>2</x:v>
      </x:c>
      <x:c r="I941" s="26" t="n">
        <x:v>1518</x:v>
      </x:c>
      <x:c r="J941" s="26" t="n">
        <x:v>2536.8</x:v>
      </x:c>
      <x:c r="K941" s="28" t="n">
        <x:v>0.1304</x:v>
      </x:c>
      <x:c r="L941" s="26" t="n">
        <x:v>330.8</x:v>
      </x:c>
      <x:c r="M941" t="n">
        <x:v>0</x:v>
      </x:c>
      <x:c r="N941" s="26" t="n">
        <x:v>0</x:v>
      </x:c>
      <x:c r="O941" s="26" t="n">
        <x:v>46.93</x:v>
      </x:c>
      <x:c r="P941" s="26" t="n">
        <x:v>11.42</x:v>
      </x:c>
      <x:c r="Q941" s="26" t="n">
        <x:v>21.56</x:v>
      </x:c>
      <x:c r="R941" s="26" t="n">
        <x:v>26.64</x:v>
      </x:c>
      <x:c r="S941" s="26" t="n">
        <x:v>224.25</x:v>
      </x:c>
    </x:row>
    <x:row r="942">
      <x:c r="A942" t="n">
        <x:v>500939</x:v>
      </x:c>
      <x:c r="B942" s="24" t="n">
        <x:v>45863</x:v>
      </x:c>
      <x:c r="C942" t="n">
        <x:v>1043</x:v>
      </x:c>
      <x:c r="D942" t="str">
        <x:v>Seller 1043</x:v>
      </x:c>
      <x:c r="E942" t="str">
        <x:v>Silver</x:v>
      </x:c>
      <x:c r="F942" t="str">
        <x:v>West</x:v>
      </x:c>
      <x:c r="G942" t="str">
        <x:v>Home &amp; Kitchen</x:v>
      </x:c>
      <x:c r="H942" t="n">
        <x:v>3</x:v>
      </x:c>
      <x:c r="I942" s="26" t="n">
        <x:v>1822.2</x:v>
      </x:c>
      <x:c r="J942" s="26" t="n">
        <x:v>4567.2</x:v>
      </x:c>
      <x:c r="K942" s="28" t="n">
        <x:v>0.1312</x:v>
      </x:c>
      <x:c r="L942" s="26" t="n">
        <x:v>599.22</x:v>
      </x:c>
      <x:c r="M942" t="n">
        <x:v>0</x:v>
      </x:c>
      <x:c r="N942" s="26" t="n">
        <x:v>0</x:v>
      </x:c>
      <x:c r="O942" s="26" t="n">
        <x:v>84.49</x:v>
      </x:c>
      <x:c r="P942" s="26" t="n">
        <x:v>20.55</x:v>
      </x:c>
      <x:c r="Q942" s="26" t="n">
        <x:v>38.82</x:v>
      </x:c>
      <x:c r="R942" s="26" t="n">
        <x:v>47.96</x:v>
      </x:c>
      <x:c r="S942" s="26" t="n">
        <x:v>407.39</x:v>
      </x:c>
    </x:row>
    <x:row r="943">
      <x:c r="A943" t="n">
        <x:v>500940</x:v>
      </x:c>
      <x:c r="B943" s="24" t="n">
        <x:v>45839</x:v>
      </x:c>
      <x:c r="C943" t="n">
        <x:v>1031</x:v>
      </x:c>
      <x:c r="D943" t="str">
        <x:v>Seller 1031</x:v>
      </x:c>
      <x:c r="E943" t="str">
        <x:v>Silver</x:v>
      </x:c>
      <x:c r="F943" t="str">
        <x:v>West</x:v>
      </x:c>
      <x:c r="G943" t="str">
        <x:v>Sports</x:v>
      </x:c>
      <x:c r="H943" t="n">
        <x:v>1</x:v>
      </x:c>
      <x:c r="I943" s="26" t="n">
        <x:v>4137</x:v>
      </x:c>
      <x:c r="J943" s="26" t="n">
        <x:v>3456.6</x:v>
      </x:c>
      <x:c r="K943" s="28" t="n">
        <x:v>0.131</x:v>
      </x:c>
      <x:c r="L943" s="26" t="n">
        <x:v>452.81</x:v>
      </x:c>
      <x:c r="M943" t="n">
        <x:v>0</x:v>
      </x:c>
      <x:c r="N943" s="26" t="n">
        <x:v>0</x:v>
      </x:c>
      <x:c r="O943" s="26" t="n">
        <x:v>63.95</x:v>
      </x:c>
      <x:c r="P943" s="26" t="n">
        <x:v>15.55</x:v>
      </x:c>
      <x:c r="Q943" s="26" t="n">
        <x:v>29.38</x:v>
      </x:c>
      <x:c r="R943" s="26" t="n">
        <x:v>36.29</x:v>
      </x:c>
      <x:c r="S943" s="26" t="n">
        <x:v>307.64</x:v>
      </x:c>
    </x:row>
    <x:row r="944">
      <x:c r="A944" t="n">
        <x:v>500941</x:v>
      </x:c>
      <x:c r="B944" s="24" t="n">
        <x:v>45839</x:v>
      </x:c>
      <x:c r="C944" t="n">
        <x:v>1005</x:v>
      </x:c>
      <x:c r="D944" t="str">
        <x:v>Seller 1005</x:v>
      </x:c>
      <x:c r="E944" t="str">
        <x:v>Platinum</x:v>
      </x:c>
      <x:c r="F944" t="str">
        <x:v>East</x:v>
      </x:c>
      <x:c r="G944" t="str">
        <x:v>Electronics</x:v>
      </x:c>
      <x:c r="H944" t="n">
        <x:v>3</x:v>
      </x:c>
      <x:c r="I944" s="26" t="n">
        <x:v>2218.2</x:v>
      </x:c>
      <x:c r="J944" s="26" t="n">
        <x:v>9794.4</x:v>
      </x:c>
      <x:c r="K944" s="28" t="n">
        <x:v>0.1318</x:v>
      </x:c>
      <x:c r="L944" s="26" t="n">
        <x:v>1290.9</x:v>
      </x:c>
      <x:c r="M944" t="n">
        <x:v>0</x:v>
      </x:c>
      <x:c r="N944" s="26" t="n">
        <x:v>0</x:v>
      </x:c>
      <x:c r="O944" s="26" t="n">
        <x:v>181.2</x:v>
      </x:c>
      <x:c r="P944" s="26" t="n">
        <x:v>44.07</x:v>
      </x:c>
      <x:c r="Q944" s="26" t="n">
        <x:v>83.25</x:v>
      </x:c>
      <x:c r="R944" s="26" t="n">
        <x:v>102.84</x:v>
      </x:c>
      <x:c r="S944" s="26" t="n">
        <x:v>879.54</x:v>
      </x:c>
    </x:row>
    <x:row r="945">
      <x:c r="A945" t="n">
        <x:v>500942</x:v>
      </x:c>
      <x:c r="B945" s="24" t="n">
        <x:v>45850</x:v>
      </x:c>
      <x:c r="C945" t="n">
        <x:v>1039</x:v>
      </x:c>
      <x:c r="D945" t="str">
        <x:v>Seller 1039</x:v>
      </x:c>
      <x:c r="E945" t="str">
        <x:v>Silver</x:v>
      </x:c>
      <x:c r="F945" t="str">
        <x:v>East</x:v>
      </x:c>
      <x:c r="G945" t="str">
        <x:v>Pet Supplies</x:v>
      </x:c>
      <x:c r="H945" t="n">
        <x:v>2</x:v>
      </x:c>
      <x:c r="I945" s="26" t="n">
        <x:v>1608</x:v>
      </x:c>
      <x:c r="J945" s="26" t="n">
        <x:v>2687.4</x:v>
      </x:c>
      <x:c r="K945" s="28" t="n">
        <x:v>0.1213</x:v>
      </x:c>
      <x:c r="L945" s="26" t="n">
        <x:v>325.98</x:v>
      </x:c>
      <x:c r="M945" t="n">
        <x:v>0</x:v>
      </x:c>
      <x:c r="N945" s="26" t="n">
        <x:v>0</x:v>
      </x:c>
      <x:c r="O945" s="26" t="n">
        <x:v>49.72</x:v>
      </x:c>
      <x:c r="P945" s="26" t="n">
        <x:v>12.09</x:v>
      </x:c>
      <x:c r="Q945" s="26" t="n">
        <x:v>22.84</x:v>
      </x:c>
      <x:c r="R945" s="26" t="n">
        <x:v>28.22</x:v>
      </x:c>
      <x:c r="S945" s="26" t="n">
        <x:v>213.11</x:v>
      </x:c>
    </x:row>
    <x:row r="946">
      <x:c r="A946" t="n">
        <x:v>500943</x:v>
      </x:c>
      <x:c r="B946" s="24" t="n">
        <x:v>45852</x:v>
      </x:c>
      <x:c r="C946" t="n">
        <x:v>1013</x:v>
      </x:c>
      <x:c r="D946" t="str">
        <x:v>Seller 1013</x:v>
      </x:c>
      <x:c r="E946" t="str">
        <x:v>Gold</x:v>
      </x:c>
      <x:c r="F946" t="str">
        <x:v>West</x:v>
      </x:c>
      <x:c r="G946" t="str">
        <x:v>Electronics</x:v>
      </x:c>
      <x:c r="H946" t="n">
        <x:v>1</x:v>
      </x:c>
      <x:c r="I946" s="26" t="n">
        <x:v>9437.4</x:v>
      </x:c>
      <x:c r="J946" s="26" t="n">
        <x:v>10305</x:v>
      </x:c>
      <x:c r="K946" s="28" t="n">
        <x:v>0.1319</x:v>
      </x:c>
      <x:c r="L946" s="26" t="n">
        <x:v>1359.23</x:v>
      </x:c>
      <x:c r="M946" t="n">
        <x:v>0</x:v>
      </x:c>
      <x:c r="N946" s="26" t="n">
        <x:v>0</x:v>
      </x:c>
      <x:c r="O946" s="26" t="n">
        <x:v>190.64</x:v>
      </x:c>
      <x:c r="P946" s="26" t="n">
        <x:v>46.37</x:v>
      </x:c>
      <x:c r="Q946" s="26" t="n">
        <x:v>87.59</x:v>
      </x:c>
      <x:c r="R946" s="26" t="n">
        <x:v>108.2</x:v>
      </x:c>
      <x:c r="S946" s="26" t="n">
        <x:v>926.42</x:v>
      </x:c>
    </x:row>
    <x:row r="947">
      <x:c r="A947" t="n">
        <x:v>500944</x:v>
      </x:c>
      <x:c r="B947" s="24" t="n">
        <x:v>45856</x:v>
      </x:c>
      <x:c r="C947" t="n">
        <x:v>1055</x:v>
      </x:c>
      <x:c r="D947" t="str">
        <x:v>Seller 1055</x:v>
      </x:c>
      <x:c r="E947" t="str">
        <x:v>Bronze</x:v>
      </x:c>
      <x:c r="F947" t="str">
        <x:v>Central</x:v>
      </x:c>
      <x:c r="G947" t="str">
        <x:v>Sports</x:v>
      </x:c>
      <x:c r="H947" t="n">
        <x:v>3</x:v>
      </x:c>
      <x:c r="I947" s="26" t="n">
        <x:v>1834.8</x:v>
      </x:c>
      <x:c r="J947" s="26" t="n">
        <x:v>3240</x:v>
      </x:c>
      <x:c r="K947" s="28" t="n">
        <x:v>0.1322</x:v>
      </x:c>
      <x:c r="L947" s="26" t="n">
        <x:v>428.33</x:v>
      </x:c>
      <x:c r="M947" t="n">
        <x:v>0</x:v>
      </x:c>
      <x:c r="N947" s="26" t="n">
        <x:v>0</x:v>
      </x:c>
      <x:c r="O947" s="26" t="n">
        <x:v>59.94</x:v>
      </x:c>
      <x:c r="P947" s="26" t="n">
        <x:v>14.58</x:v>
      </x:c>
      <x:c r="Q947" s="26" t="n">
        <x:v>27.54</x:v>
      </x:c>
      <x:c r="R947" s="26" t="n">
        <x:v>34.02</x:v>
      </x:c>
      <x:c r="S947" s="26" t="n">
        <x:v>292.25</x:v>
      </x:c>
    </x:row>
    <x:row r="948">
      <x:c r="A948" t="n">
        <x:v>500945</x:v>
      </x:c>
      <x:c r="B948" s="24" t="n">
        <x:v>45842</x:v>
      </x:c>
      <x:c r="C948" t="n">
        <x:v>1025</x:v>
      </x:c>
      <x:c r="D948" t="str">
        <x:v>Seller 1025</x:v>
      </x:c>
      <x:c r="E948" t="str">
        <x:v>Gold</x:v>
      </x:c>
      <x:c r="F948" t="str">
        <x:v>Central</x:v>
      </x:c>
      <x:c r="G948" t="str">
        <x:v>Pet Supplies</x:v>
      </x:c>
      <x:c r="H948" t="n">
        <x:v>4</x:v>
      </x:c>
      <x:c r="I948" s="26" t="n">
        <x:v>810.6</x:v>
      </x:c>
      <x:c r="J948" s="26" t="n">
        <x:v>3540</x:v>
      </x:c>
      <x:c r="K948" s="28" t="n">
        <x:v>0.1342</x:v>
      </x:c>
      <x:c r="L948" s="26" t="n">
        <x:v>475.07</x:v>
      </x:c>
      <x:c r="M948" t="n">
        <x:v>0</x:v>
      </x:c>
      <x:c r="N948" s="26" t="n">
        <x:v>0</x:v>
      </x:c>
      <x:c r="O948" s="26" t="n">
        <x:v>65.49</x:v>
      </x:c>
      <x:c r="P948" s="26" t="n">
        <x:v>15.93</x:v>
      </x:c>
      <x:c r="Q948" s="26" t="n">
        <x:v>30.09</x:v>
      </x:c>
      <x:c r="R948" s="26" t="n">
        <x:v>37.17</x:v>
      </x:c>
      <x:c r="S948" s="26" t="n">
        <x:v>326.39</x:v>
      </x:c>
    </x:row>
    <x:row r="949">
      <x:c r="A949" t="n">
        <x:v>500946</x:v>
      </x:c>
      <x:c r="B949" s="24" t="n">
        <x:v>45839</x:v>
      </x:c>
      <x:c r="C949" t="n">
        <x:v>1066</x:v>
      </x:c>
      <x:c r="D949" t="str">
        <x:v>Seller 1066</x:v>
      </x:c>
      <x:c r="E949" t="str">
        <x:v>Bronze</x:v>
      </x:c>
      <x:c r="F949" t="str">
        <x:v>South</x:v>
      </x:c>
      <x:c r="G949" t="str">
        <x:v>Home &amp; Kitchen</x:v>
      </x:c>
      <x:c r="H949" t="n">
        <x:v>1</x:v>
      </x:c>
      <x:c r="I949" s="26" t="n">
        <x:v>5221.2</x:v>
      </x:c>
      <x:c r="J949" s="26" t="n">
        <x:v>3073.8</x:v>
      </x:c>
      <x:c r="K949" s="28" t="n">
        <x:v>0.1337</x:v>
      </x:c>
      <x:c r="L949" s="26" t="n">
        <x:v>410.97</x:v>
      </x:c>
      <x:c r="M949" t="n">
        <x:v>0</x:v>
      </x:c>
      <x:c r="N949" s="26" t="n">
        <x:v>0</x:v>
      </x:c>
      <x:c r="O949" s="26" t="n">
        <x:v>56.87</x:v>
      </x:c>
      <x:c r="P949" s="26" t="n">
        <x:v>13.83</x:v>
      </x:c>
      <x:c r="Q949" s="26" t="n">
        <x:v>26.13</x:v>
      </x:c>
      <x:c r="R949" s="26" t="n">
        <x:v>32.27</x:v>
      </x:c>
      <x:c r="S949" s="26" t="n">
        <x:v>281.87</x:v>
      </x:c>
    </x:row>
    <x:row r="950">
      <x:c r="A950" t="n">
        <x:v>500947</x:v>
      </x:c>
      <x:c r="B950" s="24" t="n">
        <x:v>45862</x:v>
      </x:c>
      <x:c r="C950" t="n">
        <x:v>1017</x:v>
      </x:c>
      <x:c r="D950" t="str">
        <x:v>Seller 1017</x:v>
      </x:c>
      <x:c r="E950" t="str">
        <x:v>Gold</x:v>
      </x:c>
      <x:c r="F950" t="str">
        <x:v>East</x:v>
      </x:c>
      <x:c r="G950" t="str">
        <x:v>Electronics</x:v>
      </x:c>
      <x:c r="H950" t="n">
        <x:v>1</x:v>
      </x:c>
      <x:c r="I950" s="26" t="n">
        <x:v>9391.8</x:v>
      </x:c>
      <x:c r="J950" s="26" t="n">
        <x:v>10255.2</x:v>
      </x:c>
      <x:c r="K950" s="28" t="n">
        <x:v>0.1311</x:v>
      </x:c>
      <x:c r="L950" s="26" t="n">
        <x:v>1344.46</x:v>
      </x:c>
      <x:c r="M950" t="n">
        <x:v>0</x:v>
      </x:c>
      <x:c r="N950" s="26" t="n">
        <x:v>0</x:v>
      </x:c>
      <x:c r="O950" s="26" t="n">
        <x:v>189.72</x:v>
      </x:c>
      <x:c r="P950" s="26" t="n">
        <x:v>46.15</x:v>
      </x:c>
      <x:c r="Q950" s="26" t="n">
        <x:v>87.17</x:v>
      </x:c>
      <x:c r="R950" s="26" t="n">
        <x:v>107.68</x:v>
      </x:c>
      <x:c r="S950" s="26" t="n">
        <x:v>913.74</x:v>
      </x:c>
    </x:row>
    <x:row r="951">
      <x:c r="A951" t="n">
        <x:v>500948</x:v>
      </x:c>
      <x:c r="B951" s="24" t="n">
        <x:v>45859</x:v>
      </x:c>
      <x:c r="C951" t="n">
        <x:v>1019</x:v>
      </x:c>
      <x:c r="D951" t="str">
        <x:v>Seller 1019</x:v>
      </x:c>
      <x:c r="E951" t="str">
        <x:v>Gold</x:v>
      </x:c>
      <x:c r="F951" t="str">
        <x:v>East</x:v>
      </x:c>
      <x:c r="G951" t="str">
        <x:v>Apparel</x:v>
      </x:c>
      <x:c r="H951" t="n">
        <x:v>2</x:v>
      </x:c>
      <x:c r="I951" s="26" t="n">
        <x:v>2182.8</x:v>
      </x:c>
      <x:c r="J951" s="26" t="n">
        <x:v>4766.4</x:v>
      </x:c>
      <x:c r="K951" s="28" t="n">
        <x:v>0.1169</x:v>
      </x:c>
      <x:c r="L951" s="26" t="n">
        <x:v>557.19</x:v>
      </x:c>
      <x:c r="M951" t="n">
        <x:v>0</x:v>
      </x:c>
      <x:c r="N951" s="26" t="n">
        <x:v>0</x:v>
      </x:c>
      <x:c r="O951" s="26" t="n">
        <x:v>88.18</x:v>
      </x:c>
      <x:c r="P951" s="26" t="n">
        <x:v>21.45</x:v>
      </x:c>
      <x:c r="Q951" s="26" t="n">
        <x:v>40.51</x:v>
      </x:c>
      <x:c r="R951" s="26" t="n">
        <x:v>50.05</x:v>
      </x:c>
      <x:c r="S951" s="26" t="n">
        <x:v>357</x:v>
      </x:c>
    </x:row>
    <x:row r="952">
      <x:c r="A952" t="n">
        <x:v>500949</x:v>
      </x:c>
      <x:c r="B952" s="24" t="n">
        <x:v>45844</x:v>
      </x:c>
      <x:c r="C952" t="n">
        <x:v>1019</x:v>
      </x:c>
      <x:c r="D952" t="str">
        <x:v>Seller 1019</x:v>
      </x:c>
      <x:c r="E952" t="str">
        <x:v>Gold</x:v>
      </x:c>
      <x:c r="F952" t="str">
        <x:v>East</x:v>
      </x:c>
      <x:c r="G952" t="str">
        <x:v>Apparel</x:v>
      </x:c>
      <x:c r="H952" t="n">
        <x:v>1</x:v>
      </x:c>
      <x:c r="I952" s="26" t="n">
        <x:v>3814.2</x:v>
      </x:c>
      <x:c r="J952" s="26" t="n">
        <x:v>4164.6</x:v>
      </x:c>
      <x:c r="K952" s="28" t="n">
        <x:v>0.1286</x:v>
      </x:c>
      <x:c r="L952" s="26" t="n">
        <x:v>535.57</x:v>
      </x:c>
      <x:c r="M952" t="n">
        <x:v>0</x:v>
      </x:c>
      <x:c r="N952" s="26" t="n">
        <x:v>0</x:v>
      </x:c>
      <x:c r="O952" s="26" t="n">
        <x:v>77.05</x:v>
      </x:c>
      <x:c r="P952" s="26" t="n">
        <x:v>18.74</x:v>
      </x:c>
      <x:c r="Q952" s="26" t="n">
        <x:v>35.4</x:v>
      </x:c>
      <x:c r="R952" s="26" t="n">
        <x:v>43.73</x:v>
      </x:c>
      <x:c r="S952" s="26" t="n">
        <x:v>360.65</x:v>
      </x:c>
    </x:row>
    <x:row r="953">
      <x:c r="A953" t="n">
        <x:v>500950</x:v>
      </x:c>
      <x:c r="B953" s="24" t="n">
        <x:v>45865</x:v>
      </x:c>
      <x:c r="C953" t="n">
        <x:v>1026</x:v>
      </x:c>
      <x:c r="D953" t="str">
        <x:v>Seller 1026</x:v>
      </x:c>
      <x:c r="E953" t="str">
        <x:v>Gold</x:v>
      </x:c>
      <x:c r="F953" t="str">
        <x:v>East</x:v>
      </x:c>
      <x:c r="G953" t="str">
        <x:v>Beauty</x:v>
      </x:c>
      <x:c r="H953" t="n">
        <x:v>2</x:v>
      </x:c>
      <x:c r="I953" s="26" t="n">
        <x:v>1542.6000000000001</x:v>
      </x:c>
      <x:c r="J953" s="26" t="n">
        <x:v>3369</x:v>
      </x:c>
      <x:c r="K953" s="28" t="n">
        <x:v>0.1496</x:v>
      </x:c>
      <x:c r="L953" s="26" t="n">
        <x:v>504</x:v>
      </x:c>
      <x:c r="M953" t="n">
        <x:v>0</x:v>
      </x:c>
      <x:c r="N953" s="26" t="n">
        <x:v>0</x:v>
      </x:c>
      <x:c r="O953" s="26" t="n">
        <x:v>62.33</x:v>
      </x:c>
      <x:c r="P953" s="26" t="n">
        <x:v>15.16</x:v>
      </x:c>
      <x:c r="Q953" s="26" t="n">
        <x:v>28.64</x:v>
      </x:c>
      <x:c r="R953" s="26" t="n">
        <x:v>35.37</x:v>
      </x:c>
      <x:c r="S953" s="26" t="n">
        <x:v>362.5</x:v>
      </x:c>
    </x:row>
    <x:row r="954">
      <x:c r="A954" t="n">
        <x:v>500951</x:v>
      </x:c>
      <x:c r="B954" s="24" t="n">
        <x:v>45867</x:v>
      </x:c>
      <x:c r="C954" t="n">
        <x:v>1075</x:v>
      </x:c>
      <x:c r="D954" t="str">
        <x:v>Seller 1075</x:v>
      </x:c>
      <x:c r="E954" t="str">
        <x:v>Bronze</x:v>
      </x:c>
      <x:c r="F954" t="str">
        <x:v>East</x:v>
      </x:c>
      <x:c r="G954" t="str">
        <x:v>Electronics</x:v>
      </x:c>
      <x:c r="H954" t="n">
        <x:v>2</x:v>
      </x:c>
      <x:c r="I954" s="26" t="n">
        <x:v>4854.599999999999</x:v>
      </x:c>
      <x:c r="J954" s="26" t="n">
        <x:v>5715.6</x:v>
      </x:c>
      <x:c r="K954" s="28" t="n">
        <x:v>0.1209</x:v>
      </x:c>
      <x:c r="L954" s="26" t="n">
        <x:v>691.02</x:v>
      </x:c>
      <x:c r="M954" t="n">
        <x:v>0</x:v>
      </x:c>
      <x:c r="N954" s="26" t="n">
        <x:v>0</x:v>
      </x:c>
      <x:c r="O954" s="26" t="n">
        <x:v>105.74</x:v>
      </x:c>
      <x:c r="P954" s="26" t="n">
        <x:v>25.72</x:v>
      </x:c>
      <x:c r="Q954" s="26" t="n">
        <x:v>48.58</x:v>
      </x:c>
      <x:c r="R954" s="26" t="n">
        <x:v>60.01</x:v>
      </x:c>
      <x:c r="S954" s="26" t="n">
        <x:v>450.96</x:v>
      </x:c>
    </x:row>
    <x:row r="955">
      <x:c r="A955" t="n">
        <x:v>500952</x:v>
      </x:c>
      <x:c r="B955" s="24" t="n">
        <x:v>45853</x:v>
      </x:c>
      <x:c r="C955" t="n">
        <x:v>1006</x:v>
      </x:c>
      <x:c r="D955" t="str">
        <x:v>Seller 1006</x:v>
      </x:c>
      <x:c r="E955" t="str">
        <x:v>Platinum</x:v>
      </x:c>
      <x:c r="F955" t="str">
        <x:v>East</x:v>
      </x:c>
      <x:c r="G955" t="str">
        <x:v>Sports</x:v>
      </x:c>
      <x:c r="H955" t="n">
        <x:v>3</x:v>
      </x:c>
      <x:c r="I955" s="26" t="n">
        <x:v>1269</x:v>
      </x:c>
      <x:c r="J955" s="26" t="n">
        <x:v>5603.4</x:v>
      </x:c>
      <x:c r="K955" s="28" t="n">
        <x:v>0.1326</x:v>
      </x:c>
      <x:c r="L955" s="26" t="n">
        <x:v>743.01</x:v>
      </x:c>
      <x:c r="M955" t="n">
        <x:v>0</x:v>
      </x:c>
      <x:c r="N955" s="26" t="n">
        <x:v>0</x:v>
      </x:c>
      <x:c r="O955" s="26" t="n">
        <x:v>103.66</x:v>
      </x:c>
      <x:c r="P955" s="26" t="n">
        <x:v>25.22</x:v>
      </x:c>
      <x:c r="Q955" s="26" t="n">
        <x:v>47.63</x:v>
      </x:c>
      <x:c r="R955" s="26" t="n">
        <x:v>58.84</x:v>
      </x:c>
      <x:c r="S955" s="26" t="n">
        <x:v>507.67</x:v>
      </x:c>
    </x:row>
    <x:row r="956">
      <x:c r="A956" t="n">
        <x:v>500953</x:v>
      </x:c>
      <x:c r="B956" s="24" t="n">
        <x:v>45841</x:v>
      </x:c>
      <x:c r="C956" t="n">
        <x:v>1043</x:v>
      </x:c>
      <x:c r="D956" t="str">
        <x:v>Seller 1043</x:v>
      </x:c>
      <x:c r="E956" t="str">
        <x:v>Silver</x:v>
      </x:c>
      <x:c r="F956" t="str">
        <x:v>West</x:v>
      </x:c>
      <x:c r="G956" t="str">
        <x:v>Apparel</x:v>
      </x:c>
      <x:c r="H956" t="n">
        <x:v>2</x:v>
      </x:c>
      <x:c r="I956" s="26" t="n">
        <x:v>2108.4</x:v>
      </x:c>
      <x:c r="J956" s="26" t="n">
        <x:v>3523.2</x:v>
      </x:c>
      <x:c r="K956" s="28" t="n">
        <x:v>0.1318</x:v>
      </x:c>
      <x:c r="L956" s="26" t="n">
        <x:v>464.36</x:v>
      </x:c>
      <x:c r="M956" t="n">
        <x:v>1</x:v>
      </x:c>
      <x:c r="N956" s="26" t="n">
        <x:v>1985.4</x:v>
      </x:c>
      <x:c r="O956" s="26" t="n">
        <x:v>65.18</x:v>
      </x:c>
      <x:c r="P956" s="26" t="n">
        <x:v>15.85</x:v>
      </x:c>
      <x:c r="Q956" s="26" t="n">
        <x:v>29.95</x:v>
      </x:c>
      <x:c r="R956" s="26" t="n">
        <x:v>36.99</x:v>
      </x:c>
      <x:c r="S956" s="26" t="n">
        <x:v>276.68</x:v>
      </x:c>
    </x:row>
    <x:row r="957">
      <x:c r="A957" t="n">
        <x:v>500954</x:v>
      </x:c>
      <x:c r="B957" s="24" t="n">
        <x:v>45843</x:v>
      </x:c>
      <x:c r="C957" t="n">
        <x:v>1019</x:v>
      </x:c>
      <x:c r="D957" t="str">
        <x:v>Seller 1019</x:v>
      </x:c>
      <x:c r="E957" t="str">
        <x:v>Gold</x:v>
      </x:c>
      <x:c r="F957" t="str">
        <x:v>East</x:v>
      </x:c>
      <x:c r="G957" t="str">
        <x:v>Apparel</x:v>
      </x:c>
      <x:c r="H957" t="n">
        <x:v>3</x:v>
      </x:c>
      <x:c r="I957" s="26" t="n">
        <x:v>1663.1999999999998</x:v>
      </x:c>
      <x:c r="J957" s="26" t="n">
        <x:v>5448</x:v>
      </x:c>
      <x:c r="K957" s="28" t="n">
        <x:v>0.1264</x:v>
      </x:c>
      <x:c r="L957" s="26" t="n">
        <x:v>688.63</x:v>
      </x:c>
      <x:c r="M957" t="n">
        <x:v>1</x:v>
      </x:c>
      <x:c r="N957" s="26" t="n">
        <x:v>3481.8</x:v>
      </x:c>
      <x:c r="O957" s="26" t="n">
        <x:v>100.79</x:v>
      </x:c>
      <x:c r="P957" s="26" t="n">
        <x:v>24.52</x:v>
      </x:c>
      <x:c r="Q957" s="26" t="n">
        <x:v>46.31</x:v>
      </x:c>
      <x:c r="R957" s="26" t="n">
        <x:v>57.2</x:v>
      </x:c>
      <x:c r="S957" s="26" t="n">
        <x:v>390.18</x:v>
      </x:c>
    </x:row>
    <x:row r="958">
      <x:c r="A958" t="n">
        <x:v>500955</x:v>
      </x:c>
      <x:c r="B958" s="24" t="n">
        <x:v>45846</x:v>
      </x:c>
      <x:c r="C958" t="n">
        <x:v>1029</x:v>
      </x:c>
      <x:c r="D958" t="str">
        <x:v>Seller 1029</x:v>
      </x:c>
      <x:c r="E958" t="str">
        <x:v>Gold</x:v>
      </x:c>
      <x:c r="F958" t="str">
        <x:v>West</x:v>
      </x:c>
      <x:c r="G958" t="str">
        <x:v>Pet Supplies</x:v>
      </x:c>
      <x:c r="H958" t="n">
        <x:v>3</x:v>
      </x:c>
      <x:c r="I958" s="26" t="n">
        <x:v>1470.6000000000001</x:v>
      </x:c>
      <x:c r="J958" s="26" t="n">
        <x:v>4816.8</x:v>
      </x:c>
      <x:c r="K958" s="28" t="n">
        <x:v>0.1259</x:v>
      </x:c>
      <x:c r="L958" s="26" t="n">
        <x:v>606.44</x:v>
      </x:c>
      <x:c r="M958" t="n">
        <x:v>0</x:v>
      </x:c>
      <x:c r="N958" s="26" t="n">
        <x:v>0</x:v>
      </x:c>
      <x:c r="O958" s="26" t="n">
        <x:v>89.11</x:v>
      </x:c>
      <x:c r="P958" s="26" t="n">
        <x:v>21.68</x:v>
      </x:c>
      <x:c r="Q958" s="26" t="n">
        <x:v>40.94</x:v>
      </x:c>
      <x:c r="R958" s="26" t="n">
        <x:v>50.58</x:v>
      </x:c>
      <x:c r="S958" s="26" t="n">
        <x:v>404.13</x:v>
      </x:c>
    </x:row>
    <x:row r="959">
      <x:c r="A959" t="n">
        <x:v>500956</x:v>
      </x:c>
      <x:c r="B959" s="24" t="n">
        <x:v>45847</x:v>
      </x:c>
      <x:c r="C959" t="n">
        <x:v>1013</x:v>
      </x:c>
      <x:c r="D959" t="str">
        <x:v>Seller 1013</x:v>
      </x:c>
      <x:c r="E959" t="str">
        <x:v>Gold</x:v>
      </x:c>
      <x:c r="F959" t="str">
        <x:v>West</x:v>
      </x:c>
      <x:c r="G959" t="str">
        <x:v>Electronics</x:v>
      </x:c>
      <x:c r="H959" t="n">
        <x:v>2</x:v>
      </x:c>
      <x:c r="I959" s="26" t="n">
        <x:v>3739.7999999999997</x:v>
      </x:c>
      <x:c r="J959" s="26" t="n">
        <x:v>8167.8</x:v>
      </x:c>
      <x:c r="K959" s="28" t="n">
        <x:v>0.1319</x:v>
      </x:c>
      <x:c r="L959" s="26" t="n">
        <x:v>1077.33</x:v>
      </x:c>
      <x:c r="M959" t="n">
        <x:v>0</x:v>
      </x:c>
      <x:c r="N959" s="26" t="n">
        <x:v>0</x:v>
      </x:c>
      <x:c r="O959" s="26" t="n">
        <x:v>151.1</x:v>
      </x:c>
      <x:c r="P959" s="26" t="n">
        <x:v>36.76</x:v>
      </x:c>
      <x:c r="Q959" s="26" t="n">
        <x:v>69.43</x:v>
      </x:c>
      <x:c r="R959" s="26" t="n">
        <x:v>85.76</x:v>
      </x:c>
      <x:c r="S959" s="26" t="n">
        <x:v>734.29</x:v>
      </x:c>
    </x:row>
    <x:row r="960">
      <x:c r="A960" t="n">
        <x:v>500957</x:v>
      </x:c>
      <x:c r="B960" s="24" t="n">
        <x:v>45866</x:v>
      </x:c>
      <x:c r="C960" t="n">
        <x:v>1059</x:v>
      </x:c>
      <x:c r="D960" t="str">
        <x:v>Seller 1059</x:v>
      </x:c>
      <x:c r="E960" t="str">
        <x:v>Bronze</x:v>
      </x:c>
      <x:c r="F960" t="str">
        <x:v>Central</x:v>
      </x:c>
      <x:c r="G960" t="str">
        <x:v>Sports</x:v>
      </x:c>
      <x:c r="H960" t="n">
        <x:v>3</x:v>
      </x:c>
      <x:c r="I960" s="26" t="n">
        <x:v>1020.6000000000001</x:v>
      </x:c>
      <x:c r="J960" s="26" t="n">
        <x:v>1802.4</x:v>
      </x:c>
      <x:c r="K960" s="28" t="n">
        <x:v>0.1386</x:v>
      </x:c>
      <x:c r="L960" s="26" t="n">
        <x:v>249.81</x:v>
      </x:c>
      <x:c r="M960" t="n">
        <x:v>0</x:v>
      </x:c>
      <x:c r="N960" s="26" t="n">
        <x:v>0</x:v>
      </x:c>
      <x:c r="O960" s="26" t="n">
        <x:v>33.34</x:v>
      </x:c>
      <x:c r="P960" s="26" t="n">
        <x:v>8.11</x:v>
      </x:c>
      <x:c r="Q960" s="26" t="n">
        <x:v>15.32</x:v>
      </x:c>
      <x:c r="R960" s="26" t="n">
        <x:v>18.93</x:v>
      </x:c>
      <x:c r="S960" s="26" t="n">
        <x:v>174.11</x:v>
      </x:c>
    </x:row>
    <x:row r="961">
      <x:c r="A961" t="n">
        <x:v>500958</x:v>
      </x:c>
      <x:c r="B961" s="24" t="n">
        <x:v>45860</x:v>
      </x:c>
      <x:c r="C961" t="n">
        <x:v>1056</x:v>
      </x:c>
      <x:c r="D961" t="str">
        <x:v>Seller 1056</x:v>
      </x:c>
      <x:c r="E961" t="str">
        <x:v>Bronze</x:v>
      </x:c>
      <x:c r="F961" t="str">
        <x:v>West</x:v>
      </x:c>
      <x:c r="G961" t="str">
        <x:v>Electronics</x:v>
      </x:c>
      <x:c r="H961" t="n">
        <x:v>3</x:v>
      </x:c>
      <x:c r="I961" s="26" t="n">
        <x:v>3876.6</x:v>
      </x:c>
      <x:c r="J961" s="26" t="n">
        <x:v>6846</x:v>
      </x:c>
      <x:c r="K961" s="28" t="n">
        <x:v>0.1161</x:v>
      </x:c>
      <x:c r="L961" s="26" t="n">
        <x:v>794.82</x:v>
      </x:c>
      <x:c r="M961" t="n">
        <x:v>0</x:v>
      </x:c>
      <x:c r="N961" s="26" t="n">
        <x:v>0</x:v>
      </x:c>
      <x:c r="O961" s="26" t="n">
        <x:v>126.65</x:v>
      </x:c>
      <x:c r="P961" s="26" t="n">
        <x:v>30.81</x:v>
      </x:c>
      <x:c r="Q961" s="26" t="n">
        <x:v>58.19</x:v>
      </x:c>
      <x:c r="R961" s="26" t="n">
        <x:v>71.88</x:v>
      </x:c>
      <x:c r="S961" s="26" t="n">
        <x:v>507.29</x:v>
      </x:c>
    </x:row>
    <x:row r="962">
      <x:c r="A962" t="n">
        <x:v>500959</x:v>
      </x:c>
      <x:c r="B962" s="24" t="n">
        <x:v>45865</x:v>
      </x:c>
      <x:c r="C962" t="n">
        <x:v>1048</x:v>
      </x:c>
      <x:c r="D962" t="str">
        <x:v>Seller 1048</x:v>
      </x:c>
      <x:c r="E962" t="str">
        <x:v>Silver</x:v>
      </x:c>
      <x:c r="F962" t="str">
        <x:v>East</x:v>
      </x:c>
      <x:c r="G962" t="str">
        <x:v>Electronics</x:v>
      </x:c>
      <x:c r="H962" t="n">
        <x:v>1</x:v>
      </x:c>
      <x:c r="I962" s="26" t="n">
        <x:v>9124.199999999999</x:v>
      </x:c>
      <x:c r="J962" s="26" t="n">
        <x:v>7623.6</x:v>
      </x:c>
      <x:c r="K962" s="28" t="n">
        <x:v>0.1351</x:v>
      </x:c>
      <x:c r="L962" s="26" t="n">
        <x:v>1029.95</x:v>
      </x:c>
      <x:c r="M962" t="n">
        <x:v>0</x:v>
      </x:c>
      <x:c r="N962" s="26" t="n">
        <x:v>0</x:v>
      </x:c>
      <x:c r="O962" s="26" t="n">
        <x:v>141.04</x:v>
      </x:c>
      <x:c r="P962" s="26" t="n">
        <x:v>34.31</x:v>
      </x:c>
      <x:c r="Q962" s="26" t="n">
        <x:v>64.8</x:v>
      </x:c>
      <x:c r="R962" s="26" t="n">
        <x:v>80.05</x:v>
      </x:c>
      <x:c r="S962" s="26" t="n">
        <x:v>709.76</x:v>
      </x:c>
    </x:row>
    <x:row r="963">
      <x:c r="A963" t="n">
        <x:v>500960</x:v>
      </x:c>
      <x:c r="B963" s="24" t="n">
        <x:v>45854</x:v>
      </x:c>
      <x:c r="C963" t="n">
        <x:v>1069</x:v>
      </x:c>
      <x:c r="D963" t="str">
        <x:v>Seller 1069</x:v>
      </x:c>
      <x:c r="E963" t="str">
        <x:v>Bronze</x:v>
      </x:c>
      <x:c r="F963" t="str">
        <x:v>East</x:v>
      </x:c>
      <x:c r="G963" t="str">
        <x:v>Electronics</x:v>
      </x:c>
      <x:c r="H963" t="n">
        <x:v>3</x:v>
      </x:c>
      <x:c r="I963" s="26" t="n">
        <x:v>3321.6</x:v>
      </x:c>
      <x:c r="J963" s="26" t="n">
        <x:v>5866.2</x:v>
      </x:c>
      <x:c r="K963" s="28" t="n">
        <x:v>0.1281</x:v>
      </x:c>
      <x:c r="L963" s="26" t="n">
        <x:v>751.46</x:v>
      </x:c>
      <x:c r="M963" t="n">
        <x:v>0</x:v>
      </x:c>
      <x:c r="N963" s="26" t="n">
        <x:v>0</x:v>
      </x:c>
      <x:c r="O963" s="26" t="n">
        <x:v>108.52</x:v>
      </x:c>
      <x:c r="P963" s="26" t="n">
        <x:v>26.4</x:v>
      </x:c>
      <x:c r="Q963" s="26" t="n">
        <x:v>49.86</x:v>
      </x:c>
      <x:c r="R963" s="26" t="n">
        <x:v>61.6</x:v>
      </x:c>
      <x:c r="S963" s="26" t="n">
        <x:v>505.08</x:v>
      </x:c>
    </x:row>
    <x:row r="964">
      <x:c r="A964" t="n">
        <x:v>500961</x:v>
      </x:c>
      <x:c r="B964" s="24" t="n">
        <x:v>45850</x:v>
      </x:c>
      <x:c r="C964" t="n">
        <x:v>1075</x:v>
      </x:c>
      <x:c r="D964" t="str">
        <x:v>Seller 1075</x:v>
      </x:c>
      <x:c r="E964" t="str">
        <x:v>Bronze</x:v>
      </x:c>
      <x:c r="F964" t="str">
        <x:v>East</x:v>
      </x:c>
      <x:c r="G964" t="str">
        <x:v>Home &amp; Kitchen</x:v>
      </x:c>
      <x:c r="H964" t="n">
        <x:v>2</x:v>
      </x:c>
      <x:c r="I964" s="26" t="n">
        <x:v>1777.2</x:v>
      </x:c>
      <x:c r="J964" s="26" t="n">
        <x:v>2092.2</x:v>
      </x:c>
      <x:c r="K964" s="28" t="n">
        <x:v>0.142</x:v>
      </x:c>
      <x:c r="L964" s="26" t="n">
        <x:v>297.09</x:v>
      </x:c>
      <x:c r="M964" t="n">
        <x:v>0</x:v>
      </x:c>
      <x:c r="N964" s="26" t="n">
        <x:v>0</x:v>
      </x:c>
      <x:c r="O964" s="26" t="n">
        <x:v>38.71</x:v>
      </x:c>
      <x:c r="P964" s="26" t="n">
        <x:v>9.41</x:v>
      </x:c>
      <x:c r="Q964" s="26" t="n">
        <x:v>17.78</x:v>
      </x:c>
      <x:c r="R964" s="26" t="n">
        <x:v>21.97</x:v>
      </x:c>
      <x:c r="S964" s="26" t="n">
        <x:v>209.22</x:v>
      </x:c>
    </x:row>
    <x:row r="965">
      <x:c r="A965" t="n">
        <x:v>500962</x:v>
      </x:c>
      <x:c r="B965" s="24" t="n">
        <x:v>45853</x:v>
      </x:c>
      <x:c r="C965" t="n">
        <x:v>1066</x:v>
      </x:c>
      <x:c r="D965" t="str">
        <x:v>Seller 1066</x:v>
      </x:c>
      <x:c r="E965" t="str">
        <x:v>Bronze</x:v>
      </x:c>
      <x:c r="F965" t="str">
        <x:v>South</x:v>
      </x:c>
      <x:c r="G965" t="str">
        <x:v>Home &amp; Kitchen</x:v>
      </x:c>
      <x:c r="H965" t="n">
        <x:v>2</x:v>
      </x:c>
      <x:c r="I965" s="26" t="n">
        <x:v>2430.6</x:v>
      </x:c>
      <x:c r="J965" s="26" t="n">
        <x:v>2862</x:v>
      </x:c>
      <x:c r="K965" s="28" t="n">
        <x:v>0.1401</x:v>
      </x:c>
      <x:c r="L965" s="26" t="n">
        <x:v>400.97</x:v>
      </x:c>
      <x:c r="M965" t="n">
        <x:v>0</x:v>
      </x:c>
      <x:c r="N965" s="26" t="n">
        <x:v>0</x:v>
      </x:c>
      <x:c r="O965" s="26" t="n">
        <x:v>52.95</x:v>
      </x:c>
      <x:c r="P965" s="26" t="n">
        <x:v>12.88</x:v>
      </x:c>
      <x:c r="Q965" s="26" t="n">
        <x:v>24.33</x:v>
      </x:c>
      <x:c r="R965" s="26" t="n">
        <x:v>30.05</x:v>
      </x:c>
      <x:c r="S965" s="26" t="n">
        <x:v>280.76</x:v>
      </x:c>
    </x:row>
    <x:row r="966">
      <x:c r="A966" t="n">
        <x:v>500963</x:v>
      </x:c>
      <x:c r="B966" s="24" t="n">
        <x:v>45844</x:v>
      </x:c>
      <x:c r="C966" t="n">
        <x:v>1061</x:v>
      </x:c>
      <x:c r="D966" t="str">
        <x:v>Seller 1061</x:v>
      </x:c>
      <x:c r="E966" t="str">
        <x:v>Bronze</x:v>
      </x:c>
      <x:c r="F966" t="str">
        <x:v>Central</x:v>
      </x:c>
      <x:c r="G966" t="str">
        <x:v>Electronics</x:v>
      </x:c>
      <x:c r="H966" t="n">
        <x:v>1</x:v>
      </x:c>
      <x:c r="I966" s="26" t="n">
        <x:v>9614.400000000001</x:v>
      </x:c>
      <x:c r="J966" s="26" t="n">
        <x:v>5659.8</x:v>
      </x:c>
      <x:c r="K966" s="28" t="n">
        <x:v>0.127</x:v>
      </x:c>
      <x:c r="L966" s="26" t="n">
        <x:v>718.79</x:v>
      </x:c>
      <x:c r="M966" t="n">
        <x:v>0</x:v>
      </x:c>
      <x:c r="N966" s="26" t="n">
        <x:v>0</x:v>
      </x:c>
      <x:c r="O966" s="26" t="n">
        <x:v>104.71</x:v>
      </x:c>
      <x:c r="P966" s="26" t="n">
        <x:v>25.47</x:v>
      </x:c>
      <x:c r="Q966" s="26" t="n">
        <x:v>48.11</x:v>
      </x:c>
      <x:c r="R966" s="26" t="n">
        <x:v>59.43</x:v>
      </x:c>
      <x:c r="S966" s="26" t="n">
        <x:v>481.08</x:v>
      </x:c>
    </x:row>
    <x:row r="967">
      <x:c r="A967" t="n">
        <x:v>500964</x:v>
      </x:c>
      <x:c r="B967" s="24" t="n">
        <x:v>45846</x:v>
      </x:c>
      <x:c r="C967" t="n">
        <x:v>1058</x:v>
      </x:c>
      <x:c r="D967" t="str">
        <x:v>Seller 1058</x:v>
      </x:c>
      <x:c r="E967" t="str">
        <x:v>Bronze</x:v>
      </x:c>
      <x:c r="F967" t="str">
        <x:v>East</x:v>
      </x:c>
      <x:c r="G967" t="str">
        <x:v>Apparel</x:v>
      </x:c>
      <x:c r="H967" t="n">
        <x:v>2</x:v>
      </x:c>
      <x:c r="I967" s="26" t="n">
        <x:v>2236.8</x:v>
      </x:c>
      <x:c r="J967" s="26" t="n">
        <x:v>2634</x:v>
      </x:c>
      <x:c r="K967" s="28" t="n">
        <x:v>0.117</x:v>
      </x:c>
      <x:c r="L967" s="26" t="n">
        <x:v>308.18</x:v>
      </x:c>
      <x:c r="M967" t="n">
        <x:v>0</x:v>
      </x:c>
      <x:c r="N967" s="26" t="n">
        <x:v>0</x:v>
      </x:c>
      <x:c r="O967" s="26" t="n">
        <x:v>48.73</x:v>
      </x:c>
      <x:c r="P967" s="26" t="n">
        <x:v>11.85</x:v>
      </x:c>
      <x:c r="Q967" s="26" t="n">
        <x:v>22.39</x:v>
      </x:c>
      <x:c r="R967" s="26" t="n">
        <x:v>27.66</x:v>
      </x:c>
      <x:c r="S967" s="26" t="n">
        <x:v>197.55</x:v>
      </x:c>
    </x:row>
    <x:row r="968">
      <x:c r="A968" t="n">
        <x:v>500965</x:v>
      </x:c>
      <x:c r="B968" s="24" t="n">
        <x:v>45848</x:v>
      </x:c>
      <x:c r="C968" t="n">
        <x:v>1071</x:v>
      </x:c>
      <x:c r="D968" t="str">
        <x:v>Seller 1071</x:v>
      </x:c>
      <x:c r="E968" t="str">
        <x:v>Bronze</x:v>
      </x:c>
      <x:c r="F968" t="str">
        <x:v>Central</x:v>
      </x:c>
      <x:c r="G968" t="str">
        <x:v>Sports</x:v>
      </x:c>
      <x:c r="H968" t="n">
        <x:v>2</x:v>
      </x:c>
      <x:c r="I968" s="26" t="n">
        <x:v>1975.2</x:v>
      </x:c>
      <x:c r="J968" s="26" t="n">
        <x:v>2325</x:v>
      </x:c>
      <x:c r="K968" s="28" t="n">
        <x:v>0.1285</x:v>
      </x:c>
      <x:c r="L968" s="26" t="n">
        <x:v>298.76</x:v>
      </x:c>
      <x:c r="M968" t="n">
        <x:v>1</x:v>
      </x:c>
      <x:c r="N968" s="26" t="n">
        <x:v>1815</x:v>
      </x:c>
      <x:c r="O968" s="26" t="n">
        <x:v>43.01</x:v>
      </x:c>
      <x:c r="P968" s="26" t="n">
        <x:v>10.46</x:v>
      </x:c>
      <x:c r="Q968" s="26" t="n">
        <x:v>19.76</x:v>
      </x:c>
      <x:c r="R968" s="26" t="n">
        <x:v>24.41</x:v>
      </x:c>
      <x:c r="S968" s="26" t="n">
        <x:v>164.81</x:v>
      </x:c>
    </x:row>
    <x:row r="969">
      <x:c r="A969" t="n">
        <x:v>500966</x:v>
      </x:c>
      <x:c r="B969" s="24" t="n">
        <x:v>45846</x:v>
      </x:c>
      <x:c r="C969" t="n">
        <x:v>1055</x:v>
      </x:c>
      <x:c r="D969" t="str">
        <x:v>Seller 1055</x:v>
      </x:c>
      <x:c r="E969" t="str">
        <x:v>Bronze</x:v>
      </x:c>
      <x:c r="F969" t="str">
        <x:v>Central</x:v>
      </x:c>
      <x:c r="G969" t="str">
        <x:v>Pet Supplies</x:v>
      </x:c>
      <x:c r="H969" t="n">
        <x:v>1</x:v>
      </x:c>
      <x:c r="I969" s="26" t="n">
        <x:v>3218.4</x:v>
      </x:c>
      <x:c r="J969" s="26" t="n">
        <x:v>1894.8</x:v>
      </x:c>
      <x:c r="K969" s="28" t="n">
        <x:v>0.1319</x:v>
      </x:c>
      <x:c r="L969" s="26" t="n">
        <x:v>249.92</x:v>
      </x:c>
      <x:c r="M969" t="n">
        <x:v>1</x:v>
      </x:c>
      <x:c r="N969" s="26" t="n">
        <x:v>1418.4</x:v>
      </x:c>
      <x:c r="O969" s="26" t="n">
        <x:v>35.05</x:v>
      </x:c>
      <x:c r="P969" s="26" t="n">
        <x:v>8.53</x:v>
      </x:c>
      <x:c r="Q969" s="26" t="n">
        <x:v>16.11</x:v>
      </x:c>
      <x:c r="R969" s="26" t="n">
        <x:v>19.9</x:v>
      </x:c>
      <x:c r="S969" s="26" t="n">
        <x:v>141.97</x:v>
      </x:c>
    </x:row>
    <x:row r="970">
      <x:c r="A970" t="n">
        <x:v>500967</x:v>
      </x:c>
      <x:c r="B970" s="24" t="n">
        <x:v>45867</x:v>
      </x:c>
      <x:c r="C970" t="n">
        <x:v>1010</x:v>
      </x:c>
      <x:c r="D970" t="str">
        <x:v>Seller 1010</x:v>
      </x:c>
      <x:c r="E970" t="str">
        <x:v>Platinum</x:v>
      </x:c>
      <x:c r="F970" t="str">
        <x:v>West</x:v>
      </x:c>
      <x:c r="G970" t="str">
        <x:v>Home &amp; Kitchen</x:v>
      </x:c>
      <x:c r="H970" t="n">
        <x:v>4</x:v>
      </x:c>
      <x:c r="I970" s="26" t="n">
        <x:v>1604.3999999999999</x:v>
      </x:c>
      <x:c r="J970" s="26" t="n">
        <x:v>9446.4</x:v>
      </x:c>
      <x:c r="K970" s="28" t="n">
        <x:v>0.1353</x:v>
      </x:c>
      <x:c r="L970" s="26" t="n">
        <x:v>1278.1</x:v>
      </x:c>
      <x:c r="M970" t="n">
        <x:v>0</x:v>
      </x:c>
      <x:c r="N970" s="26" t="n">
        <x:v>0</x:v>
      </x:c>
      <x:c r="O970" s="26" t="n">
        <x:v>174.76</x:v>
      </x:c>
      <x:c r="P970" s="26" t="n">
        <x:v>42.51</x:v>
      </x:c>
      <x:c r="Q970" s="26" t="n">
        <x:v>80.29</x:v>
      </x:c>
      <x:c r="R970" s="26" t="n">
        <x:v>99.19</x:v>
      </x:c>
      <x:c r="S970" s="26" t="n">
        <x:v>881.35</x:v>
      </x:c>
    </x:row>
    <x:row r="971">
      <x:c r="A971" t="n">
        <x:v>500968</x:v>
      </x:c>
      <x:c r="B971" s="24" t="n">
        <x:v>45847</x:v>
      </x:c>
      <x:c r="C971" t="n">
        <x:v>1030</x:v>
      </x:c>
      <x:c r="D971" t="str">
        <x:v>Seller 1030</x:v>
      </x:c>
      <x:c r="E971" t="str">
        <x:v>Gold</x:v>
      </x:c>
      <x:c r="F971" t="str">
        <x:v>South</x:v>
      </x:c>
      <x:c r="G971" t="str">
        <x:v>Pet Supplies</x:v>
      </x:c>
      <x:c r="H971" t="n">
        <x:v>2</x:v>
      </x:c>
      <x:c r="I971" s="26" t="n">
        <x:v>1590</x:v>
      </x:c>
      <x:c r="J971" s="26" t="n">
        <x:v>3472.8</x:v>
      </x:c>
      <x:c r="K971" s="28" t="n">
        <x:v>0.1248</x:v>
      </x:c>
      <x:c r="L971" s="26" t="n">
        <x:v>433.41</x:v>
      </x:c>
      <x:c r="M971" t="n">
        <x:v>0</x:v>
      </x:c>
      <x:c r="N971" s="26" t="n">
        <x:v>0</x:v>
      </x:c>
      <x:c r="O971" s="26" t="n">
        <x:v>64.25</x:v>
      </x:c>
      <x:c r="P971" s="26" t="n">
        <x:v>15.63</x:v>
      </x:c>
      <x:c r="Q971" s="26" t="n">
        <x:v>29.52</x:v>
      </x:c>
      <x:c r="R971" s="26" t="n">
        <x:v>36.46</x:v>
      </x:c>
      <x:c r="S971" s="26" t="n">
        <x:v>287.55</x:v>
      </x:c>
    </x:row>
    <x:row r="972">
      <x:c r="A972" t="n">
        <x:v>500969</x:v>
      </x:c>
      <x:c r="B972" s="24" t="n">
        <x:v>45846</x:v>
      </x:c>
      <x:c r="C972" t="n">
        <x:v>1036</x:v>
      </x:c>
      <x:c r="D972" t="str">
        <x:v>Seller 1036</x:v>
      </x:c>
      <x:c r="E972" t="str">
        <x:v>Silver</x:v>
      </x:c>
      <x:c r="F972" t="str">
        <x:v>Central</x:v>
      </x:c>
      <x:c r="G972" t="str">
        <x:v>Pet Supplies</x:v>
      </x:c>
      <x:c r="H972" t="n">
        <x:v>2</x:v>
      </x:c>
      <x:c r="I972" s="26" t="n">
        <x:v>1477.2</x:v>
      </x:c>
      <x:c r="J972" s="26" t="n">
        <x:v>2469</x:v>
      </x:c>
      <x:c r="K972" s="28" t="n">
        <x:v>0.1405</x:v>
      </x:c>
      <x:c r="L972" s="26" t="n">
        <x:v>346.89</x:v>
      </x:c>
      <x:c r="M972" t="n">
        <x:v>0</x:v>
      </x:c>
      <x:c r="N972" s="26" t="n">
        <x:v>0</x:v>
      </x:c>
      <x:c r="O972" s="26" t="n">
        <x:v>45.68</x:v>
      </x:c>
      <x:c r="P972" s="26" t="n">
        <x:v>11.11</x:v>
      </x:c>
      <x:c r="Q972" s="26" t="n">
        <x:v>20.99</x:v>
      </x:c>
      <x:c r="R972" s="26" t="n">
        <x:v>25.92</x:v>
      </x:c>
      <x:c r="S972" s="26" t="n">
        <x:v>243.2</x:v>
      </x:c>
    </x:row>
    <x:row r="973">
      <x:c r="A973" t="n">
        <x:v>500970</x:v>
      </x:c>
      <x:c r="B973" s="24" t="n">
        <x:v>45858</x:v>
      </x:c>
      <x:c r="C973" t="n">
        <x:v>1002</x:v>
      </x:c>
      <x:c r="D973" t="str">
        <x:v>Seller 1002</x:v>
      </x:c>
      <x:c r="E973" t="str">
        <x:v>Platinum</x:v>
      </x:c>
      <x:c r="F973" t="str">
        <x:v>Central</x:v>
      </x:c>
      <x:c r="G973" t="str">
        <x:v>Beauty</x:v>
      </x:c>
      <x:c r="H973" t="n">
        <x:v>3</x:v>
      </x:c>
      <x:c r="I973" s="26" t="n">
        <x:v>548.4000000000001</x:v>
      </x:c>
      <x:c r="J973" s="26" t="n">
        <x:v>2420.4</x:v>
      </x:c>
      <x:c r="K973" s="28" t="n">
        <x:v>0.1427</x:v>
      </x:c>
      <x:c r="L973" s="26" t="n">
        <x:v>345.39</x:v>
      </x:c>
      <x:c r="M973" t="n">
        <x:v>0</x:v>
      </x:c>
      <x:c r="N973" s="26" t="n">
        <x:v>0</x:v>
      </x:c>
      <x:c r="O973" s="26" t="n">
        <x:v>44.78</x:v>
      </x:c>
      <x:c r="P973" s="26" t="n">
        <x:v>10.89</x:v>
      </x:c>
      <x:c r="Q973" s="26" t="n">
        <x:v>20.57</x:v>
      </x:c>
      <x:c r="R973" s="26" t="n">
        <x:v>25.41</x:v>
      </x:c>
      <x:c r="S973" s="26" t="n">
        <x:v>243.73</x:v>
      </x:c>
    </x:row>
    <x:row r="974">
      <x:c r="A974" t="n">
        <x:v>500971</x:v>
      </x:c>
      <x:c r="B974" s="24" t="n">
        <x:v>45861</x:v>
      </x:c>
      <x:c r="C974" t="n">
        <x:v>1002</x:v>
      </x:c>
      <x:c r="D974" t="str">
        <x:v>Seller 1002</x:v>
      </x:c>
      <x:c r="E974" t="str">
        <x:v>Platinum</x:v>
      </x:c>
      <x:c r="F974" t="str">
        <x:v>Central</x:v>
      </x:c>
      <x:c r="G974" t="str">
        <x:v>Home &amp; Kitchen</x:v>
      </x:c>
      <x:c r="H974" t="n">
        <x:v>1</x:v>
      </x:c>
      <x:c r="I974" s="26" t="n">
        <x:v>4867.200000000001</x:v>
      </x:c>
      <x:c r="J974" s="26" t="n">
        <x:v>7162.8</x:v>
      </x:c>
      <x:c r="K974" s="28" t="n">
        <x:v>0.1266</x:v>
      </x:c>
      <x:c r="L974" s="26" t="n">
        <x:v>906.81</x:v>
      </x:c>
      <x:c r="M974" t="n">
        <x:v>0</x:v>
      </x:c>
      <x:c r="N974" s="26" t="n">
        <x:v>0</x:v>
      </x:c>
      <x:c r="O974" s="26" t="n">
        <x:v>132.51</x:v>
      </x:c>
      <x:c r="P974" s="26" t="n">
        <x:v>32.23</x:v>
      </x:c>
      <x:c r="Q974" s="26" t="n">
        <x:v>60.88</x:v>
      </x:c>
      <x:c r="R974" s="26" t="n">
        <x:v>75.21</x:v>
      </x:c>
      <x:c r="S974" s="26" t="n">
        <x:v>605.97</x:v>
      </x:c>
    </x:row>
    <x:row r="975">
      <x:c r="A975" t="n">
        <x:v>500972</x:v>
      </x:c>
      <x:c r="B975" s="24" t="n">
        <x:v>45863</x:v>
      </x:c>
      <x:c r="C975" t="n">
        <x:v>1027</x:v>
      </x:c>
      <x:c r="D975" t="str">
        <x:v>Seller 1027</x:v>
      </x:c>
      <x:c r="E975" t="str">
        <x:v>Gold</x:v>
      </x:c>
      <x:c r="F975" t="str">
        <x:v>West</x:v>
      </x:c>
      <x:c r="G975" t="str">
        <x:v>Apparel</x:v>
      </x:c>
      <x:c r="H975" t="n">
        <x:v>1</x:v>
      </x:c>
      <x:c r="I975" s="26" t="n">
        <x:v>3786.6</x:v>
      </x:c>
      <x:c r="J975" s="26" t="n">
        <x:v>4134.6</x:v>
      </x:c>
      <x:c r="K975" s="28" t="n">
        <x:v>0.1262</x:v>
      </x:c>
      <x:c r="L975" s="26" t="n">
        <x:v>521.79</x:v>
      </x:c>
      <x:c r="M975" t="n">
        <x:v>0</x:v>
      </x:c>
      <x:c r="N975" s="26" t="n">
        <x:v>0</x:v>
      </x:c>
      <x:c r="O975" s="26" t="n">
        <x:v>76.49</x:v>
      </x:c>
      <x:c r="P975" s="26" t="n">
        <x:v>18.61</x:v>
      </x:c>
      <x:c r="Q975" s="26" t="n">
        <x:v>35.14</x:v>
      </x:c>
      <x:c r="R975" s="26" t="n">
        <x:v>43.41</x:v>
      </x:c>
      <x:c r="S975" s="26" t="n">
        <x:v>348.13</x:v>
      </x:c>
    </x:row>
    <x:row r="976">
      <x:c r="A976" t="n">
        <x:v>500973</x:v>
      </x:c>
      <x:c r="B976" s="24" t="n">
        <x:v>45855</x:v>
      </x:c>
      <x:c r="C976" t="n">
        <x:v>1011</x:v>
      </x:c>
      <x:c r="D976" t="str">
        <x:v>Seller 1011</x:v>
      </x:c>
      <x:c r="E976" t="str">
        <x:v>Platinum</x:v>
      </x:c>
      <x:c r="F976" t="str">
        <x:v>West</x:v>
      </x:c>
      <x:c r="G976" t="str">
        <x:v>Electronics</x:v>
      </x:c>
      <x:c r="H976" t="n">
        <x:v>3</x:v>
      </x:c>
      <x:c r="I976" s="26" t="n">
        <x:v>4003.8</x:v>
      </x:c>
      <x:c r="J976" s="26" t="n">
        <x:v>17676.6</x:v>
      </x:c>
      <x:c r="K976" s="28" t="n">
        <x:v>0.1298</x:v>
      </x:c>
      <x:c r="L976" s="26" t="n">
        <x:v>2294.42</x:v>
      </x:c>
      <x:c r="M976" t="n">
        <x:v>0</x:v>
      </x:c>
      <x:c r="N976" s="26" t="n">
        <x:v>0</x:v>
      </x:c>
      <x:c r="O976" s="26" t="n">
        <x:v>327.02</x:v>
      </x:c>
      <x:c r="P976" s="26" t="n">
        <x:v>79.54</x:v>
      </x:c>
      <x:c r="Q976" s="26" t="n">
        <x:v>150.25</x:v>
      </x:c>
      <x:c r="R976" s="26" t="n">
        <x:v>185.6</x:v>
      </x:c>
      <x:c r="S976" s="26" t="n">
        <x:v>1552.01</x:v>
      </x:c>
    </x:row>
    <x:row r="977">
      <x:c r="A977" t="n">
        <x:v>500974</x:v>
      </x:c>
      <x:c r="B977" s="24" t="n">
        <x:v>45864</x:v>
      </x:c>
      <x:c r="C977" t="n">
        <x:v>1004</x:v>
      </x:c>
      <x:c r="D977" t="str">
        <x:v>Seller 1004</x:v>
      </x:c>
      <x:c r="E977" t="str">
        <x:v>Platinum</x:v>
      </x:c>
      <x:c r="F977" t="str">
        <x:v>East</x:v>
      </x:c>
      <x:c r="G977" t="str">
        <x:v>Sports</x:v>
      </x:c>
      <x:c r="H977" t="n">
        <x:v>2</x:v>
      </x:c>
      <x:c r="I977" s="26" t="n">
        <x:v>2190.6</x:v>
      </x:c>
      <x:c r="J977" s="26" t="n">
        <x:v>6447.6</x:v>
      </x:c>
      <x:c r="K977" s="28" t="n">
        <x:v>0.1386</x:v>
      </x:c>
      <x:c r="L977" s="26" t="n">
        <x:v>893.64</x:v>
      </x:c>
      <x:c r="M977" t="n">
        <x:v>0</x:v>
      </x:c>
      <x:c r="N977" s="26" t="n">
        <x:v>0</x:v>
      </x:c>
      <x:c r="O977" s="26" t="n">
        <x:v>119.28</x:v>
      </x:c>
      <x:c r="P977" s="26" t="n">
        <x:v>29.01</x:v>
      </x:c>
      <x:c r="Q977" s="26" t="n">
        <x:v>54.8</x:v>
      </x:c>
      <x:c r="R977" s="26" t="n">
        <x:v>67.7</x:v>
      </x:c>
      <x:c r="S977" s="26" t="n">
        <x:v>622.84</x:v>
      </x:c>
    </x:row>
    <x:row r="978">
      <x:c r="A978" t="n">
        <x:v>500975</x:v>
      </x:c>
      <x:c r="B978" s="24" t="n">
        <x:v>45848</x:v>
      </x:c>
      <x:c r="C978" t="n">
        <x:v>1046</x:v>
      </x:c>
      <x:c r="D978" t="str">
        <x:v>Seller 1046</x:v>
      </x:c>
      <x:c r="E978" t="str">
        <x:v>Silver</x:v>
      </x:c>
      <x:c r="F978" t="str">
        <x:v>Central</x:v>
      </x:c>
      <x:c r="G978" t="str">
        <x:v>Sports</x:v>
      </x:c>
      <x:c r="H978" t="n">
        <x:v>1</x:v>
      </x:c>
      <x:c r="I978" s="26" t="n">
        <x:v>4830</x:v>
      </x:c>
      <x:c r="J978" s="26" t="n">
        <x:v>4035.6</x:v>
      </x:c>
      <x:c r="K978" s="28" t="n">
        <x:v>0.1257</x:v>
      </x:c>
      <x:c r="L978" s="26" t="n">
        <x:v>507.27</x:v>
      </x:c>
      <x:c r="M978" t="n">
        <x:v>0</x:v>
      </x:c>
      <x:c r="N978" s="26" t="n">
        <x:v>0</x:v>
      </x:c>
      <x:c r="O978" s="26" t="n">
        <x:v>74.66</x:v>
      </x:c>
      <x:c r="P978" s="26" t="n">
        <x:v>18.16</x:v>
      </x:c>
      <x:c r="Q978" s="26" t="n">
        <x:v>34.3</x:v>
      </x:c>
      <x:c r="R978" s="26" t="n">
        <x:v>42.37</x:v>
      </x:c>
      <x:c r="S978" s="26" t="n">
        <x:v>337.78</x:v>
      </x:c>
    </x:row>
    <x:row r="979">
      <x:c r="A979" t="n">
        <x:v>500976</x:v>
      </x:c>
      <x:c r="B979" s="24" t="n">
        <x:v>45858</x:v>
      </x:c>
      <x:c r="C979" t="n">
        <x:v>1076</x:v>
      </x:c>
      <x:c r="D979" t="str">
        <x:v>Seller 1076</x:v>
      </x:c>
      <x:c r="E979" t="str">
        <x:v>Bronze</x:v>
      </x:c>
      <x:c r="F979" t="str">
        <x:v>Central</x:v>
      </x:c>
      <x:c r="G979" t="str">
        <x:v>Home &amp; Kitchen</x:v>
      </x:c>
      <x:c r="H979" t="n">
        <x:v>3</x:v>
      </x:c>
      <x:c r="I979" s="26" t="n">
        <x:v>772.1999999999999</x:v>
      </x:c>
      <x:c r="J979" s="26" t="n">
        <x:v>1364.4</x:v>
      </x:c>
      <x:c r="K979" s="28" t="n">
        <x:v>0.1267</x:v>
      </x:c>
      <x:c r="L979" s="26" t="n">
        <x:v>172.87</x:v>
      </x:c>
      <x:c r="M979" t="n">
        <x:v>0</x:v>
      </x:c>
      <x:c r="N979" s="26" t="n">
        <x:v>0</x:v>
      </x:c>
      <x:c r="O979" s="26" t="n">
        <x:v>25.24</x:v>
      </x:c>
      <x:c r="P979" s="26" t="n">
        <x:v>6.14</x:v>
      </x:c>
      <x:c r="Q979" s="26" t="n">
        <x:v>11.6</x:v>
      </x:c>
      <x:c r="R979" s="26" t="n">
        <x:v>14.33</x:v>
      </x:c>
      <x:c r="S979" s="26" t="n">
        <x:v>115.56</x:v>
      </x:c>
    </x:row>
    <x:row r="980">
      <x:c r="A980" t="n">
        <x:v>500977</x:v>
      </x:c>
      <x:c r="B980" s="24" t="n">
        <x:v>45844</x:v>
      </x:c>
      <x:c r="C980" t="n">
        <x:v>1078</x:v>
      </x:c>
      <x:c r="D980" t="str">
        <x:v>Seller 1078</x:v>
      </x:c>
      <x:c r="E980" t="str">
        <x:v>Bronze</x:v>
      </x:c>
      <x:c r="F980" t="str">
        <x:v>East</x:v>
      </x:c>
      <x:c r="G980" t="str">
        <x:v>Sports</x:v>
      </x:c>
      <x:c r="H980" t="n">
        <x:v>4</x:v>
      </x:c>
      <x:c r="I980" s="26" t="n">
        <x:v>480</x:v>
      </x:c>
      <x:c r="J980" s="26" t="n">
        <x:v>1130.4</x:v>
      </x:c>
      <x:c r="K980" s="28" t="n">
        <x:v>0.1209</x:v>
      </x:c>
      <x:c r="L980" s="26" t="n">
        <x:v>136.67</x:v>
      </x:c>
      <x:c r="M980" t="n">
        <x:v>0</x:v>
      </x:c>
      <x:c r="N980" s="26" t="n">
        <x:v>0</x:v>
      </x:c>
      <x:c r="O980" s="26" t="n">
        <x:v>20.91</x:v>
      </x:c>
      <x:c r="P980" s="26" t="n">
        <x:v>5.09</x:v>
      </x:c>
      <x:c r="Q980" s="26" t="n">
        <x:v>9.61</x:v>
      </x:c>
      <x:c r="R980" s="26" t="n">
        <x:v>11.87</x:v>
      </x:c>
      <x:c r="S980" s="26" t="n">
        <x:v>89.19</x:v>
      </x:c>
    </x:row>
    <x:row r="981">
      <x:c r="A981" t="n">
        <x:v>500978</x:v>
      </x:c>
      <x:c r="B981" s="24" t="n">
        <x:v>45855</x:v>
      </x:c>
      <x:c r="C981" t="n">
        <x:v>1061</x:v>
      </x:c>
      <x:c r="D981" t="str">
        <x:v>Seller 1061</x:v>
      </x:c>
      <x:c r="E981" t="str">
        <x:v>Bronze</x:v>
      </x:c>
      <x:c r="F981" t="str">
        <x:v>Central</x:v>
      </x:c>
      <x:c r="G981" t="str">
        <x:v>Electronics</x:v>
      </x:c>
      <x:c r="H981" t="n">
        <x:v>1</x:v>
      </x:c>
      <x:c r="I981" s="26" t="n">
        <x:v>8377.2</x:v>
      </x:c>
      <x:c r="J981" s="26" t="n">
        <x:v>4931.4</x:v>
      </x:c>
      <x:c r="K981" s="28" t="n">
        <x:v>0.1345</x:v>
      </x:c>
      <x:c r="L981" s="26" t="n">
        <x:v>663.27</x:v>
      </x:c>
      <x:c r="M981" t="n">
        <x:v>0</x:v>
      </x:c>
      <x:c r="N981" s="26" t="n">
        <x:v>0</x:v>
      </x:c>
      <x:c r="O981" s="26" t="n">
        <x:v>91.23</x:v>
      </x:c>
      <x:c r="P981" s="26" t="n">
        <x:v>22.19</x:v>
      </x:c>
      <x:c r="Q981" s="26" t="n">
        <x:v>41.92</x:v>
      </x:c>
      <x:c r="R981" s="26" t="n">
        <x:v>51.78</x:v>
      </x:c>
      <x:c r="S981" s="26" t="n">
        <x:v>456.15</x:v>
      </x:c>
    </x:row>
    <x:row r="982">
      <x:c r="A982" t="n">
        <x:v>500979</x:v>
      </x:c>
      <x:c r="B982" s="24" t="n">
        <x:v>45847</x:v>
      </x:c>
      <x:c r="C982" t="n">
        <x:v>1023</x:v>
      </x:c>
      <x:c r="D982" t="str">
        <x:v>Seller 1023</x:v>
      </x:c>
      <x:c r="E982" t="str">
        <x:v>Gold</x:v>
      </x:c>
      <x:c r="F982" t="str">
        <x:v>Central</x:v>
      </x:c>
      <x:c r="G982" t="str">
        <x:v>Home &amp; Kitchen</x:v>
      </x:c>
      <x:c r="H982" t="n">
        <x:v>2</x:v>
      </x:c>
      <x:c r="I982" s="26" t="n">
        <x:v>2037.0000000000002</x:v>
      </x:c>
      <x:c r="J982" s="26" t="n">
        <x:v>4449</x:v>
      </x:c>
      <x:c r="K982" s="28" t="n">
        <x:v>0.1275</x:v>
      </x:c>
      <x:c r="L982" s="26" t="n">
        <x:v>567.25</x:v>
      </x:c>
      <x:c r="M982" t="n">
        <x:v>0</x:v>
      </x:c>
      <x:c r="N982" s="26" t="n">
        <x:v>0</x:v>
      </x:c>
      <x:c r="O982" s="26" t="n">
        <x:v>82.31</x:v>
      </x:c>
      <x:c r="P982" s="26" t="n">
        <x:v>20.02</x:v>
      </x:c>
      <x:c r="Q982" s="26" t="n">
        <x:v>37.82</x:v>
      </x:c>
      <x:c r="R982" s="26" t="n">
        <x:v>46.71</x:v>
      </x:c>
      <x:c r="S982" s="26" t="n">
        <x:v>380.39</x:v>
      </x:c>
    </x:row>
    <x:row r="983">
      <x:c r="A983" t="n">
        <x:v>500980</x:v>
      </x:c>
      <x:c r="B983" s="24" t="n">
        <x:v>45865</x:v>
      </x:c>
      <x:c r="C983" t="n">
        <x:v>1027</x:v>
      </x:c>
      <x:c r="D983" t="str">
        <x:v>Seller 1027</x:v>
      </x:c>
      <x:c r="E983" t="str">
        <x:v>Gold</x:v>
      </x:c>
      <x:c r="F983" t="str">
        <x:v>West</x:v>
      </x:c>
      <x:c r="G983" t="str">
        <x:v>Apparel</x:v>
      </x:c>
      <x:c r="H983" t="n">
        <x:v>2</x:v>
      </x:c>
      <x:c r="I983" s="26" t="n">
        <x:v>1821.6</x:v>
      </x:c>
      <x:c r="J983" s="26" t="n">
        <x:v>3977.4</x:v>
      </x:c>
      <x:c r="K983" s="28" t="n">
        <x:v>0.1094</x:v>
      </x:c>
      <x:c r="L983" s="26" t="n">
        <x:v>435.13</x:v>
      </x:c>
      <x:c r="M983" t="n">
        <x:v>0</x:v>
      </x:c>
      <x:c r="N983" s="26" t="n">
        <x:v>0</x:v>
      </x:c>
      <x:c r="O983" s="26" t="n">
        <x:v>73.58</x:v>
      </x:c>
      <x:c r="P983" s="26" t="n">
        <x:v>17.9</x:v>
      </x:c>
      <x:c r="Q983" s="26" t="n">
        <x:v>33.81</x:v>
      </x:c>
      <x:c r="R983" s="26" t="n">
        <x:v>41.76</x:v>
      </x:c>
      <x:c r="S983" s="26" t="n">
        <x:v>268.08</x:v>
      </x:c>
    </x:row>
    <x:row r="984">
      <x:c r="A984" t="n">
        <x:v>500981</x:v>
      </x:c>
      <x:c r="B984" s="24" t="n">
        <x:v>45866</x:v>
      </x:c>
      <x:c r="C984" t="n">
        <x:v>1053</x:v>
      </x:c>
      <x:c r="D984" t="str">
        <x:v>Seller 1053</x:v>
      </x:c>
      <x:c r="E984" t="str">
        <x:v>Silver</x:v>
      </x:c>
      <x:c r="F984" t="str">
        <x:v>Central</x:v>
      </x:c>
      <x:c r="G984" t="str">
        <x:v>Beauty</x:v>
      </x:c>
      <x:c r="H984" t="n">
        <x:v>3</x:v>
      </x:c>
      <x:c r="I984" s="26" t="n">
        <x:v>873</x:v>
      </x:c>
      <x:c r="J984" s="26" t="n">
        <x:v>2187.6</x:v>
      </x:c>
      <x:c r="K984" s="28" t="n">
        <x:v>0.143</x:v>
      </x:c>
      <x:c r="L984" s="26" t="n">
        <x:v>312.83</x:v>
      </x:c>
      <x:c r="M984" t="n">
        <x:v>0</x:v>
      </x:c>
      <x:c r="N984" s="26" t="n">
        <x:v>0</x:v>
      </x:c>
      <x:c r="O984" s="26" t="n">
        <x:v>40.47</x:v>
      </x:c>
      <x:c r="P984" s="26" t="n">
        <x:v>9.84</x:v>
      </x:c>
      <x:c r="Q984" s="26" t="n">
        <x:v>18.59</x:v>
      </x:c>
      <x:c r="R984" s="26" t="n">
        <x:v>22.97</x:v>
      </x:c>
      <x:c r="S984" s="26" t="n">
        <x:v>220.95</x:v>
      </x:c>
    </x:row>
    <x:row r="985">
      <x:c r="A985" t="n">
        <x:v>500982</x:v>
      </x:c>
      <x:c r="B985" s="24" t="n">
        <x:v>45847</x:v>
      </x:c>
      <x:c r="C985" t="n">
        <x:v>1027</x:v>
      </x:c>
      <x:c r="D985" t="str">
        <x:v>Seller 1027</x:v>
      </x:c>
      <x:c r="E985" t="str">
        <x:v>Gold</x:v>
      </x:c>
      <x:c r="F985" t="str">
        <x:v>West</x:v>
      </x:c>
      <x:c r="G985" t="str">
        <x:v>Apparel</x:v>
      </x:c>
      <x:c r="H985" t="n">
        <x:v>2</x:v>
      </x:c>
      <x:c r="I985" s="26" t="n">
        <x:v>2234.4</x:v>
      </x:c>
      <x:c r="J985" s="26" t="n">
        <x:v>4879.2</x:v>
      </x:c>
      <x:c r="K985" s="28" t="n">
        <x:v>0.125</x:v>
      </x:c>
      <x:c r="L985" s="26" t="n">
        <x:v>609.9</x:v>
      </x:c>
      <x:c r="M985" t="n">
        <x:v>0</x:v>
      </x:c>
      <x:c r="N985" s="26" t="n">
        <x:v>0</x:v>
      </x:c>
      <x:c r="O985" s="26" t="n">
        <x:v>90.27</x:v>
      </x:c>
      <x:c r="P985" s="26" t="n">
        <x:v>21.96</x:v>
      </x:c>
      <x:c r="Q985" s="26" t="n">
        <x:v>41.47</x:v>
      </x:c>
      <x:c r="R985" s="26" t="n">
        <x:v>51.23</x:v>
      </x:c>
      <x:c r="S985" s="26" t="n">
        <x:v>404.97</x:v>
      </x:c>
    </x:row>
    <x:row r="986">
      <x:c r="A986" t="n">
        <x:v>500983</x:v>
      </x:c>
      <x:c r="B986" s="24" t="n">
        <x:v>45864</x:v>
      </x:c>
      <x:c r="C986" t="n">
        <x:v>1076</x:v>
      </x:c>
      <x:c r="D986" t="str">
        <x:v>Seller 1076</x:v>
      </x:c>
      <x:c r="E986" t="str">
        <x:v>Bronze</x:v>
      </x:c>
      <x:c r="F986" t="str">
        <x:v>Central</x:v>
      </x:c>
      <x:c r="G986" t="str">
        <x:v>Home &amp; Kitchen</x:v>
      </x:c>
      <x:c r="H986" t="n">
        <x:v>2</x:v>
      </x:c>
      <x:c r="I986" s="26" t="n">
        <x:v>2033.4</x:v>
      </x:c>
      <x:c r="J986" s="26" t="n">
        <x:v>2394</x:v>
      </x:c>
      <x:c r="K986" s="28" t="n">
        <x:v>0.1278</x:v>
      </x:c>
      <x:c r="L986" s="26" t="n">
        <x:v>305.95</x:v>
      </x:c>
      <x:c r="M986" t="n">
        <x:v>0</x:v>
      </x:c>
      <x:c r="N986" s="26" t="n">
        <x:v>0</x:v>
      </x:c>
      <x:c r="O986" s="26" t="n">
        <x:v>44.29</x:v>
      </x:c>
      <x:c r="P986" s="26" t="n">
        <x:v>10.77</x:v>
      </x:c>
      <x:c r="Q986" s="26" t="n">
        <x:v>20.35</x:v>
      </x:c>
      <x:c r="R986" s="26" t="n">
        <x:v>25.14</x:v>
      </x:c>
      <x:c r="S986" s="26" t="n">
        <x:v>205.41</x:v>
      </x:c>
    </x:row>
    <x:row r="987">
      <x:c r="A987" t="n">
        <x:v>500984</x:v>
      </x:c>
      <x:c r="B987" s="24" t="n">
        <x:v>45839</x:v>
      </x:c>
      <x:c r="C987" t="n">
        <x:v>1052</x:v>
      </x:c>
      <x:c r="D987" t="str">
        <x:v>Seller 1052</x:v>
      </x:c>
      <x:c r="E987" t="str">
        <x:v>Silver</x:v>
      </x:c>
      <x:c r="F987" t="str">
        <x:v>Central</x:v>
      </x:c>
      <x:c r="G987" t="str">
        <x:v>Pet Supplies</x:v>
      </x:c>
      <x:c r="H987" t="n">
        <x:v>2</x:v>
      </x:c>
      <x:c r="I987" s="26" t="n">
        <x:v>1782.6000000000001</x:v>
      </x:c>
      <x:c r="J987" s="26" t="n">
        <x:v>2979.6</x:v>
      </x:c>
      <x:c r="K987" s="28" t="n">
        <x:v>0.1337</x:v>
      </x:c>
      <x:c r="L987" s="26" t="n">
        <x:v>398.37</x:v>
      </x:c>
      <x:c r="M987" t="n">
        <x:v>0</x:v>
      </x:c>
      <x:c r="N987" s="26" t="n">
        <x:v>0</x:v>
      </x:c>
      <x:c r="O987" s="26" t="n">
        <x:v>55.12</x:v>
      </x:c>
      <x:c r="P987" s="26" t="n">
        <x:v>13.41</x:v>
      </x:c>
      <x:c r="Q987" s="26" t="n">
        <x:v>25.33</x:v>
      </x:c>
      <x:c r="R987" s="26" t="n">
        <x:v>31.29</x:v>
      </x:c>
      <x:c r="S987" s="26" t="n">
        <x:v>273.23</x:v>
      </x:c>
    </x:row>
    <x:row r="988">
      <x:c r="A988" t="n">
        <x:v>500985</x:v>
      </x:c>
      <x:c r="B988" s="24" t="n">
        <x:v>45857</x:v>
      </x:c>
      <x:c r="C988" t="n">
        <x:v>1012</x:v>
      </x:c>
      <x:c r="D988" t="str">
        <x:v>Seller 1012</x:v>
      </x:c>
      <x:c r="E988" t="str">
        <x:v>Platinum</x:v>
      </x:c>
      <x:c r="F988" t="str">
        <x:v>East</x:v>
      </x:c>
      <x:c r="G988" t="str">
        <x:v>Beauty</x:v>
      </x:c>
      <x:c r="H988" t="n">
        <x:v>3</x:v>
      </x:c>
      <x:c r="I988" s="26" t="n">
        <x:v>721.1999999999999</x:v>
      </x:c>
      <x:c r="J988" s="26" t="n">
        <x:v>3185.4</x:v>
      </x:c>
      <x:c r="K988" s="28" t="n">
        <x:v>0.1498</x:v>
      </x:c>
      <x:c r="L988" s="26" t="n">
        <x:v>477.17</x:v>
      </x:c>
      <x:c r="M988" t="n">
        <x:v>0</x:v>
      </x:c>
      <x:c r="N988" s="26" t="n">
        <x:v>0</x:v>
      </x:c>
      <x:c r="O988" s="26" t="n">
        <x:v>58.93</x:v>
      </x:c>
      <x:c r="P988" s="26" t="n">
        <x:v>14.33</x:v>
      </x:c>
      <x:c r="Q988" s="26" t="n">
        <x:v>27.08</x:v>
      </x:c>
      <x:c r="R988" s="26" t="n">
        <x:v>33.45</x:v>
      </x:c>
      <x:c r="S988" s="26" t="n">
        <x:v>343.39</x:v>
      </x:c>
    </x:row>
    <x:row r="989">
      <x:c r="A989" t="n">
        <x:v>500986</x:v>
      </x:c>
      <x:c r="B989" s="24" t="n">
        <x:v>45860</x:v>
      </x:c>
      <x:c r="C989" t="n">
        <x:v>1023</x:v>
      </x:c>
      <x:c r="D989" t="str">
        <x:v>Seller 1023</x:v>
      </x:c>
      <x:c r="E989" t="str">
        <x:v>Gold</x:v>
      </x:c>
      <x:c r="F989" t="str">
        <x:v>Central</x:v>
      </x:c>
      <x:c r="G989" t="str">
        <x:v>Home &amp; Kitchen</x:v>
      </x:c>
      <x:c r="H989" t="n">
        <x:v>3</x:v>
      </x:c>
      <x:c r="I989" s="26" t="n">
        <x:v>2133</x:v>
      </x:c>
      <x:c r="J989" s="26" t="n">
        <x:v>6988.2</x:v>
      </x:c>
      <x:c r="K989" s="28" t="n">
        <x:v>0.1334</x:v>
      </x:c>
      <x:c r="L989" s="26" t="n">
        <x:v>932.23</x:v>
      </x:c>
      <x:c r="M989" t="n">
        <x:v>0</x:v>
      </x:c>
      <x:c r="N989" s="26" t="n">
        <x:v>0</x:v>
      </x:c>
      <x:c r="O989" s="26" t="n">
        <x:v>129.28</x:v>
      </x:c>
      <x:c r="P989" s="26" t="n">
        <x:v>31.45</x:v>
      </x:c>
      <x:c r="Q989" s="26" t="n">
        <x:v>59.4</x:v>
      </x:c>
      <x:c r="R989" s="26" t="n">
        <x:v>73.38</x:v>
      </x:c>
      <x:c r="S989" s="26" t="n">
        <x:v>638.72</x:v>
      </x:c>
    </x:row>
    <x:row r="990">
      <x:c r="A990" t="n">
        <x:v>500987</x:v>
      </x:c>
      <x:c r="B990" s="24" t="n">
        <x:v>45855</x:v>
      </x:c>
      <x:c r="C990" t="n">
        <x:v>1073</x:v>
      </x:c>
      <x:c r="D990" t="str">
        <x:v>Seller 1073</x:v>
      </x:c>
      <x:c r="E990" t="str">
        <x:v>Bronze</x:v>
      </x:c>
      <x:c r="F990" t="str">
        <x:v>Central</x:v>
      </x:c>
      <x:c r="G990" t="str">
        <x:v>Electronics</x:v>
      </x:c>
      <x:c r="H990" t="n">
        <x:v>2</x:v>
      </x:c>
      <x:c r="I990" s="26" t="n">
        <x:v>4152.599999999999</x:v>
      </x:c>
      <x:c r="J990" s="26" t="n">
        <x:v>4889.4</x:v>
      </x:c>
      <x:c r="K990" s="28" t="n">
        <x:v>0.1343</x:v>
      </x:c>
      <x:c r="L990" s="26" t="n">
        <x:v>656.65</x:v>
      </x:c>
      <x:c r="M990" t="n">
        <x:v>0</x:v>
      </x:c>
      <x:c r="N990" s="26" t="n">
        <x:v>0</x:v>
      </x:c>
      <x:c r="O990" s="26" t="n">
        <x:v>90.45</x:v>
      </x:c>
      <x:c r="P990" s="26" t="n">
        <x:v>22</x:v>
      </x:c>
      <x:c r="Q990" s="26" t="n">
        <x:v>41.56</x:v>
      </x:c>
      <x:c r="R990" s="26" t="n">
        <x:v>51.34</x:v>
      </x:c>
      <x:c r="S990" s="26" t="n">
        <x:v>451.29</x:v>
      </x:c>
    </x:row>
    <x:row r="991">
      <x:c r="A991" t="n">
        <x:v>500988</x:v>
      </x:c>
      <x:c r="B991" s="24" t="n">
        <x:v>45862</x:v>
      </x:c>
      <x:c r="C991" t="n">
        <x:v>1038</x:v>
      </x:c>
      <x:c r="D991" t="str">
        <x:v>Seller 1038</x:v>
      </x:c>
      <x:c r="E991" t="str">
        <x:v>Silver</x:v>
      </x:c>
      <x:c r="F991" t="str">
        <x:v>South</x:v>
      </x:c>
      <x:c r="G991" t="str">
        <x:v>Sports</x:v>
      </x:c>
      <x:c r="H991" t="n">
        <x:v>3</x:v>
      </x:c>
      <x:c r="I991" s="26" t="n">
        <x:v>1759.2</x:v>
      </x:c>
      <x:c r="J991" s="26" t="n">
        <x:v>4410</x:v>
      </x:c>
      <x:c r="K991" s="28" t="n">
        <x:v>0.1377</x:v>
      </x:c>
      <x:c r="L991" s="26" t="n">
        <x:v>607.26</x:v>
      </x:c>
      <x:c r="M991" t="n">
        <x:v>0</x:v>
      </x:c>
      <x:c r="N991" s="26" t="n">
        <x:v>0</x:v>
      </x:c>
      <x:c r="O991" s="26" t="n">
        <x:v>81.58</x:v>
      </x:c>
      <x:c r="P991" s="26" t="n">
        <x:v>19.84</x:v>
      </x:c>
      <x:c r="Q991" s="26" t="n">
        <x:v>37.48</x:v>
      </x:c>
      <x:c r="R991" s="26" t="n">
        <x:v>46.3</x:v>
      </x:c>
      <x:c r="S991" s="26" t="n">
        <x:v>422.04</x:v>
      </x:c>
    </x:row>
    <x:row r="992">
      <x:c r="A992" t="n">
        <x:v>500989</x:v>
      </x:c>
      <x:c r="B992" s="24" t="n">
        <x:v>45843</x:v>
      </x:c>
      <x:c r="C992" t="n">
        <x:v>1071</x:v>
      </x:c>
      <x:c r="D992" t="str">
        <x:v>Seller 1071</x:v>
      </x:c>
      <x:c r="E992" t="str">
        <x:v>Bronze</x:v>
      </x:c>
      <x:c r="F992" t="str">
        <x:v>Central</x:v>
      </x:c>
      <x:c r="G992" t="str">
        <x:v>Sports</x:v>
      </x:c>
      <x:c r="H992" t="n">
        <x:v>1</x:v>
      </x:c>
      <x:c r="I992" s="26" t="n">
        <x:v>5009.4</x:v>
      </x:c>
      <x:c r="J992" s="26" t="n">
        <x:v>2949</x:v>
      </x:c>
      <x:c r="K992" s="28" t="n">
        <x:v>0.1281</x:v>
      </x:c>
      <x:c r="L992" s="26" t="n">
        <x:v>377.77</x:v>
      </x:c>
      <x:c r="M992" t="n">
        <x:v>0</x:v>
      </x:c>
      <x:c r="N992" s="26" t="n">
        <x:v>0</x:v>
      </x:c>
      <x:c r="O992" s="26" t="n">
        <x:v>54.56</x:v>
      </x:c>
      <x:c r="P992" s="26" t="n">
        <x:v>13.27</x:v>
      </x:c>
      <x:c r="Q992" s="26" t="n">
        <x:v>25.07</x:v>
      </x:c>
      <x:c r="R992" s="26" t="n">
        <x:v>30.96</x:v>
      </x:c>
      <x:c r="S992" s="26" t="n">
        <x:v>253.91</x:v>
      </x:c>
    </x:row>
    <x:row r="993">
      <x:c r="A993" t="n">
        <x:v>500990</x:v>
      </x:c>
      <x:c r="B993" s="24" t="n">
        <x:v>45848</x:v>
      </x:c>
      <x:c r="C993" t="n">
        <x:v>1033</x:v>
      </x:c>
      <x:c r="D993" t="str">
        <x:v>Seller 1033</x:v>
      </x:c>
      <x:c r="E993" t="str">
        <x:v>Silver</x:v>
      </x:c>
      <x:c r="F993" t="str">
        <x:v>South</x:v>
      </x:c>
      <x:c r="G993" t="str">
        <x:v>Beauty</x:v>
      </x:c>
      <x:c r="H993" t="n">
        <x:v>2</x:v>
      </x:c>
      <x:c r="I993" s="26" t="n">
        <x:v>1333.8</x:v>
      </x:c>
      <x:c r="J993" s="26" t="n">
        <x:v>2228.4</x:v>
      </x:c>
      <x:c r="K993" s="28" t="n">
        <x:v>0.1483</x:v>
      </x:c>
      <x:c r="L993" s="26" t="n">
        <x:v>330.47</x:v>
      </x:c>
      <x:c r="M993" t="n">
        <x:v>0</x:v>
      </x:c>
      <x:c r="N993" s="26" t="n">
        <x:v>0</x:v>
      </x:c>
      <x:c r="O993" s="26" t="n">
        <x:v>41.23</x:v>
      </x:c>
      <x:c r="P993" s="26" t="n">
        <x:v>10.03</x:v>
      </x:c>
      <x:c r="Q993" s="26" t="n">
        <x:v>18.94</x:v>
      </x:c>
      <x:c r="R993" s="26" t="n">
        <x:v>23.4</x:v>
      </x:c>
      <x:c r="S993" s="26" t="n">
        <x:v>236.88</x:v>
      </x:c>
    </x:row>
    <x:row r="994">
      <x:c r="A994" t="n">
        <x:v>500991</x:v>
      </x:c>
      <x:c r="B994" s="24" t="n">
        <x:v>45852</x:v>
      </x:c>
      <x:c r="C994" t="n">
        <x:v>1052</x:v>
      </x:c>
      <x:c r="D994" t="str">
        <x:v>Seller 1052</x:v>
      </x:c>
      <x:c r="E994" t="str">
        <x:v>Silver</x:v>
      </x:c>
      <x:c r="F994" t="str">
        <x:v>Central</x:v>
      </x:c>
      <x:c r="G994" t="str">
        <x:v>Apparel</x:v>
      </x:c>
      <x:c r="H994" t="n">
        <x:v>3</x:v>
      </x:c>
      <x:c r="I994" s="26" t="n">
        <x:v>1335</x:v>
      </x:c>
      <x:c r="J994" s="26" t="n">
        <x:v>3346.2</x:v>
      </x:c>
      <x:c r="K994" s="28" t="n">
        <x:v>0.125</x:v>
      </x:c>
      <x:c r="L994" s="26" t="n">
        <x:v>418.28</x:v>
      </x:c>
      <x:c r="M994" t="n">
        <x:v>0</x:v>
      </x:c>
      <x:c r="N994" s="26" t="n">
        <x:v>0</x:v>
      </x:c>
      <x:c r="O994" s="26" t="n">
        <x:v>61.9</x:v>
      </x:c>
      <x:c r="P994" s="26" t="n">
        <x:v>15.06</x:v>
      </x:c>
      <x:c r="Q994" s="26" t="n">
        <x:v>28.44</x:v>
      </x:c>
      <x:c r="R994" s="26" t="n">
        <x:v>35.14</x:v>
      </x:c>
      <x:c r="S994" s="26" t="n">
        <x:v>277.73</x:v>
      </x:c>
    </x:row>
    <x:row r="995">
      <x:c r="A995" t="n">
        <x:v>500992</x:v>
      </x:c>
      <x:c r="B995" s="24" t="n">
        <x:v>45846</x:v>
      </x:c>
      <x:c r="C995" t="n">
        <x:v>1063</x:v>
      </x:c>
      <x:c r="D995" t="str">
        <x:v>Seller 1063</x:v>
      </x:c>
      <x:c r="E995" t="str">
        <x:v>Bronze</x:v>
      </x:c>
      <x:c r="F995" t="str">
        <x:v>West</x:v>
      </x:c>
      <x:c r="G995" t="str">
        <x:v>Pet Supplies</x:v>
      </x:c>
      <x:c r="H995" t="n">
        <x:v>3</x:v>
      </x:c>
      <x:c r="I995" s="26" t="n">
        <x:v>1221</x:v>
      </x:c>
      <x:c r="J995" s="26" t="n">
        <x:v>2156.4</x:v>
      </x:c>
      <x:c r="K995" s="28" t="n">
        <x:v>0.1371</x:v>
      </x:c>
      <x:c r="L995" s="26" t="n">
        <x:v>295.64</x:v>
      </x:c>
      <x:c r="M995" t="n">
        <x:v>0</x:v>
      </x:c>
      <x:c r="N995" s="26" t="n">
        <x:v>0</x:v>
      </x:c>
      <x:c r="O995" s="26" t="n">
        <x:v>39.89</x:v>
      </x:c>
      <x:c r="P995" s="26" t="n">
        <x:v>9.7</x:v>
      </x:c>
      <x:c r="Q995" s="26" t="n">
        <x:v>18.33</x:v>
      </x:c>
      <x:c r="R995" s="26" t="n">
        <x:v>22.64</x:v>
      </x:c>
      <x:c r="S995" s="26" t="n">
        <x:v>205.07</x:v>
      </x:c>
    </x:row>
    <x:row r="996">
      <x:c r="A996" t="n">
        <x:v>500993</x:v>
      </x:c>
      <x:c r="B996" s="24" t="n">
        <x:v>45840</x:v>
      </x:c>
      <x:c r="C996" t="n">
        <x:v>1021</x:v>
      </x:c>
      <x:c r="D996" t="str">
        <x:v>Seller 1021</x:v>
      </x:c>
      <x:c r="E996" t="str">
        <x:v>Gold</x:v>
      </x:c>
      <x:c r="F996" t="str">
        <x:v>Central</x:v>
      </x:c>
      <x:c r="G996" t="str">
        <x:v>Pet Supplies</x:v>
      </x:c>
      <x:c r="H996" t="n">
        <x:v>3</x:v>
      </x:c>
      <x:c r="I996" s="26" t="n">
        <x:v>1053</x:v>
      </x:c>
      <x:c r="J996" s="26" t="n">
        <x:v>3449.4</x:v>
      </x:c>
      <x:c r="K996" s="28" t="n">
        <x:v>0.1271</x:v>
      </x:c>
      <x:c r="L996" s="26" t="n">
        <x:v>438.42</x:v>
      </x:c>
      <x:c r="M996" t="n">
        <x:v>0</x:v>
      </x:c>
      <x:c r="N996" s="26" t="n">
        <x:v>0</x:v>
      </x:c>
      <x:c r="O996" s="26" t="n">
        <x:v>63.81</x:v>
      </x:c>
      <x:c r="P996" s="26" t="n">
        <x:v>15.52</x:v>
      </x:c>
      <x:c r="Q996" s="26" t="n">
        <x:v>29.32</x:v>
      </x:c>
      <x:c r="R996" s="26" t="n">
        <x:v>36.22</x:v>
      </x:c>
      <x:c r="S996" s="26" t="n">
        <x:v>293.54</x:v>
      </x:c>
    </x:row>
    <x:row r="997">
      <x:c r="A997" t="n">
        <x:v>500994</x:v>
      </x:c>
      <x:c r="B997" s="24" t="n">
        <x:v>45844</x:v>
      </x:c>
      <x:c r="C997" t="n">
        <x:v>1002</x:v>
      </x:c>
      <x:c r="D997" t="str">
        <x:v>Seller 1002</x:v>
      </x:c>
      <x:c r="E997" t="str">
        <x:v>Platinum</x:v>
      </x:c>
      <x:c r="F997" t="str">
        <x:v>Central</x:v>
      </x:c>
      <x:c r="G997" t="str">
        <x:v>Home &amp; Kitchen</x:v>
      </x:c>
      <x:c r="H997" t="n">
        <x:v>3</x:v>
      </x:c>
      <x:c r="I997" s="26" t="n">
        <x:v>1944.6</x:v>
      </x:c>
      <x:c r="J997" s="26" t="n">
        <x:v>8585.4</x:v>
      </x:c>
      <x:c r="K997" s="28" t="n">
        <x:v>0.1282</x:v>
      </x:c>
      <x:c r="L997" s="26" t="n">
        <x:v>1100.65</x:v>
      </x:c>
      <x:c r="M997" t="n">
        <x:v>0</x:v>
      </x:c>
      <x:c r="N997" s="26" t="n">
        <x:v>0</x:v>
      </x:c>
      <x:c r="O997" s="26" t="n">
        <x:v>158.83</x:v>
      </x:c>
      <x:c r="P997" s="26" t="n">
        <x:v>38.63</x:v>
      </x:c>
      <x:c r="Q997" s="26" t="n">
        <x:v>72.98</x:v>
      </x:c>
      <x:c r="R997" s="26" t="n">
        <x:v>90.15</x:v>
      </x:c>
      <x:c r="S997" s="26" t="n">
        <x:v>740.06</x:v>
      </x:c>
    </x:row>
    <x:row r="998">
      <x:c r="A998" t="n">
        <x:v>500995</x:v>
      </x:c>
      <x:c r="B998" s="24" t="n">
        <x:v>45850</x:v>
      </x:c>
      <x:c r="C998" t="n">
        <x:v>1057</x:v>
      </x:c>
      <x:c r="D998" t="str">
        <x:v>Seller 1057</x:v>
      </x:c>
      <x:c r="E998" t="str">
        <x:v>Bronze</x:v>
      </x:c>
      <x:c r="F998" t="str">
        <x:v>South</x:v>
      </x:c>
      <x:c r="G998" t="str">
        <x:v>Electronics</x:v>
      </x:c>
      <x:c r="H998" t="n">
        <x:v>3</x:v>
      </x:c>
      <x:c r="I998" s="26" t="n">
        <x:v>1812</x:v>
      </x:c>
      <x:c r="J998" s="26" t="n">
        <x:v>3199.8</x:v>
      </x:c>
      <x:c r="K998" s="28" t="n">
        <x:v>0.1284</x:v>
      </x:c>
      <x:c r="L998" s="26" t="n">
        <x:v>410.85</x:v>
      </x:c>
      <x:c r="M998" t="n">
        <x:v>0</x:v>
      </x:c>
      <x:c r="N998" s="26" t="n">
        <x:v>0</x:v>
      </x:c>
      <x:c r="O998" s="26" t="n">
        <x:v>59.2</x:v>
      </x:c>
      <x:c r="P998" s="26" t="n">
        <x:v>14.4</x:v>
      </x:c>
      <x:c r="Q998" s="26" t="n">
        <x:v>27.2</x:v>
      </x:c>
      <x:c r="R998" s="26" t="n">
        <x:v>33.6</x:v>
      </x:c>
      <x:c r="S998" s="26" t="n">
        <x:v>276.46</x:v>
      </x:c>
    </x:row>
    <x:row r="999">
      <x:c r="A999" t="n">
        <x:v>500996</x:v>
      </x:c>
      <x:c r="B999" s="24" t="n">
        <x:v>45867</x:v>
      </x:c>
      <x:c r="C999" t="n">
        <x:v>1040</x:v>
      </x:c>
      <x:c r="D999" t="str">
        <x:v>Seller 1040</x:v>
      </x:c>
      <x:c r="E999" t="str">
        <x:v>Silver</x:v>
      </x:c>
      <x:c r="F999" t="str">
        <x:v>West</x:v>
      </x:c>
      <x:c r="G999" t="str">
        <x:v>Pet Supplies</x:v>
      </x:c>
      <x:c r="H999" t="n">
        <x:v>2</x:v>
      </x:c>
      <x:c r="I999" s="26" t="n">
        <x:v>1514.3999999999999</x:v>
      </x:c>
      <x:c r="J999" s="26" t="n">
        <x:v>2530.8</x:v>
      </x:c>
      <x:c r="K999" s="28" t="n">
        <x:v>0.1291</x:v>
      </x:c>
      <x:c r="L999" s="26" t="n">
        <x:v>326.73</x:v>
      </x:c>
      <x:c r="M999" t="n">
        <x:v>0</x:v>
      </x:c>
      <x:c r="N999" s="26" t="n">
        <x:v>0</x:v>
      </x:c>
      <x:c r="O999" s="26" t="n">
        <x:v>46.82</x:v>
      </x:c>
      <x:c r="P999" s="26" t="n">
        <x:v>11.39</x:v>
      </x:c>
      <x:c r="Q999" s="26" t="n">
        <x:v>21.51</x:v>
      </x:c>
      <x:c r="R999" s="26" t="n">
        <x:v>26.57</x:v>
      </x:c>
      <x:c r="S999" s="26" t="n">
        <x:v>220.43</x:v>
      </x:c>
    </x:row>
    <x:row r="1000">
      <x:c r="A1000" t="n">
        <x:v>500997</x:v>
      </x:c>
      <x:c r="B1000" s="24" t="n">
        <x:v>45840</x:v>
      </x:c>
      <x:c r="C1000" t="n">
        <x:v>1031</x:v>
      </x:c>
      <x:c r="D1000" t="str">
        <x:v>Seller 1031</x:v>
      </x:c>
      <x:c r="E1000" t="str">
        <x:v>Silver</x:v>
      </x:c>
      <x:c r="F1000" t="str">
        <x:v>West</x:v>
      </x:c>
      <x:c r="G1000" t="str">
        <x:v>Home &amp; Kitchen</x:v>
      </x:c>
      <x:c r="H1000" t="n">
        <x:v>2</x:v>
      </x:c>
      <x:c r="I1000" s="26" t="n">
        <x:v>2469.6</x:v>
      </x:c>
      <x:c r="J1000" s="26" t="n">
        <x:v>4126.8</x:v>
      </x:c>
      <x:c r="K1000" s="28" t="n">
        <x:v>0.1233</x:v>
      </x:c>
      <x:c r="L1000" s="26" t="n">
        <x:v>508.83</x:v>
      </x:c>
      <x:c r="M1000" t="n">
        <x:v>0</x:v>
      </x:c>
      <x:c r="N1000" s="26" t="n">
        <x:v>0</x:v>
      </x:c>
      <x:c r="O1000" s="26" t="n">
        <x:v>76.35</x:v>
      </x:c>
      <x:c r="P1000" s="26" t="n">
        <x:v>18.57</x:v>
      </x:c>
      <x:c r="Q1000" s="26" t="n">
        <x:v>35.08</x:v>
      </x:c>
      <x:c r="R1000" s="26" t="n">
        <x:v>43.33</x:v>
      </x:c>
      <x:c r="S1000" s="26" t="n">
        <x:v>335.51</x:v>
      </x:c>
    </x:row>
    <x:row r="1001">
      <x:c r="A1001" t="n">
        <x:v>500998</x:v>
      </x:c>
      <x:c r="B1001" s="24" t="n">
        <x:v>45841</x:v>
      </x:c>
      <x:c r="C1001" t="n">
        <x:v>1029</x:v>
      </x:c>
      <x:c r="D1001" t="str">
        <x:v>Seller 1029</x:v>
      </x:c>
      <x:c r="E1001" t="str">
        <x:v>Gold</x:v>
      </x:c>
      <x:c r="F1001" t="str">
        <x:v>West</x:v>
      </x:c>
      <x:c r="G1001" t="str">
        <x:v>Electronics</x:v>
      </x:c>
      <x:c r="H1001" t="n">
        <x:v>3</x:v>
      </x:c>
      <x:c r="I1001" s="26" t="n">
        <x:v>1645.2</x:v>
      </x:c>
      <x:c r="J1001" s="26" t="n">
        <x:v>5389.8</x:v>
      </x:c>
      <x:c r="K1001" s="28" t="n">
        <x:v>0.117</x:v>
      </x:c>
      <x:c r="L1001" s="26" t="n">
        <x:v>630.61</x:v>
      </x:c>
      <x:c r="M1001" t="n">
        <x:v>0</x:v>
      </x:c>
      <x:c r="N1001" s="26" t="n">
        <x:v>0</x:v>
      </x:c>
      <x:c r="O1001" s="26" t="n">
        <x:v>99.71</x:v>
      </x:c>
      <x:c r="P1001" s="26" t="n">
        <x:v>24.25</x:v>
      </x:c>
      <x:c r="Q1001" s="26" t="n">
        <x:v>45.81</x:v>
      </x:c>
      <x:c r="R1001" s="26" t="n">
        <x:v>56.59</x:v>
      </x:c>
      <x:c r="S1001" s="26" t="n">
        <x:v>404.24</x:v>
      </x:c>
    </x:row>
    <x:row r="1002">
      <x:c r="A1002" t="n">
        <x:v>500999</x:v>
      </x:c>
      <x:c r="B1002" s="24" t="n">
        <x:v>45845</x:v>
      </x:c>
      <x:c r="C1002" t="n">
        <x:v>1042</x:v>
      </x:c>
      <x:c r="D1002" t="str">
        <x:v>Seller 1042</x:v>
      </x:c>
      <x:c r="E1002" t="str">
        <x:v>Silver</x:v>
      </x:c>
      <x:c r="F1002" t="str">
        <x:v>East</x:v>
      </x:c>
      <x:c r="G1002" t="str">
        <x:v>Pet Supplies</x:v>
      </x:c>
      <x:c r="H1002" t="n">
        <x:v>1</x:v>
      </x:c>
      <x:c r="I1002" s="26" t="n">
        <x:v>2870.4</x:v>
      </x:c>
      <x:c r="J1002" s="26" t="n">
        <x:v>2398.2</x:v>
      </x:c>
      <x:c r="K1002" s="28" t="n">
        <x:v>0.1424</x:v>
      </x:c>
      <x:c r="L1002" s="26" t="n">
        <x:v>341.5</x:v>
      </x:c>
      <x:c r="M1002" t="n">
        <x:v>0</x:v>
      </x:c>
      <x:c r="N1002" s="26" t="n">
        <x:v>0</x:v>
      </x:c>
      <x:c r="O1002" s="26" t="n">
        <x:v>44.37</x:v>
      </x:c>
      <x:c r="P1002" s="26" t="n">
        <x:v>10.79</x:v>
      </x:c>
      <x:c r="Q1002" s="26" t="n">
        <x:v>20.38</x:v>
      </x:c>
      <x:c r="R1002" s="26" t="n">
        <x:v>25.18</x:v>
      </x:c>
      <x:c r="S1002" s="26" t="n">
        <x:v>240.78</x:v>
      </x:c>
    </x:row>
    <x:row r="1003">
      <x:c r="A1003" t="n">
        <x:v>501000</x:v>
      </x:c>
      <x:c r="B1003" s="24" t="n">
        <x:v>45845</x:v>
      </x:c>
      <x:c r="C1003" t="n">
        <x:v>1028</x:v>
      </x:c>
      <x:c r="D1003" t="str">
        <x:v>Seller 1028</x:v>
      </x:c>
      <x:c r="E1003" t="str">
        <x:v>Gold</x:v>
      </x:c>
      <x:c r="F1003" t="str">
        <x:v>Central</x:v>
      </x:c>
      <x:c r="G1003" t="str">
        <x:v>Sports</x:v>
      </x:c>
      <x:c r="H1003" t="n">
        <x:v>2</x:v>
      </x:c>
      <x:c r="I1003" s="26" t="n">
        <x:v>2337</x:v>
      </x:c>
      <x:c r="J1003" s="26" t="n">
        <x:v>5103</x:v>
      </x:c>
      <x:c r="K1003" s="28" t="n">
        <x:v>0.1317</x:v>
      </x:c>
      <x:c r="L1003" s="26" t="n">
        <x:v>672.07</x:v>
      </x:c>
      <x:c r="M1003" t="n">
        <x:v>0</x:v>
      </x:c>
      <x:c r="N1003" s="26" t="n">
        <x:v>0</x:v>
      </x:c>
      <x:c r="O1003" s="26" t="n">
        <x:v>94.41</x:v>
      </x:c>
      <x:c r="P1003" s="26" t="n">
        <x:v>22.96</x:v>
      </x:c>
      <x:c r="Q1003" s="26" t="n">
        <x:v>43.38</x:v>
      </x:c>
      <x:c r="R1003" s="26" t="n">
        <x:v>53.58</x:v>
      </x:c>
      <x:c r="S1003" s="26" t="n">
        <x:v>457.74</x:v>
      </x:c>
    </x:row>
    <x:row r="1004">
      <x:c r="A1004" t="n">
        <x:v>501001</x:v>
      </x:c>
      <x:c r="B1004" s="24" t="n">
        <x:v>45862</x:v>
      </x:c>
      <x:c r="C1004" t="n">
        <x:v>1009</x:v>
      </x:c>
      <x:c r="D1004" t="str">
        <x:v>Seller 1009</x:v>
      </x:c>
      <x:c r="E1004" t="str">
        <x:v>Platinum</x:v>
      </x:c>
      <x:c r="F1004" t="str">
        <x:v>Central</x:v>
      </x:c>
      <x:c r="G1004" t="str">
        <x:v>Pet Supplies</x:v>
      </x:c>
      <x:c r="H1004" t="n">
        <x:v>2</x:v>
      </x:c>
      <x:c r="I1004" s="26" t="n">
        <x:v>1903.8</x:v>
      </x:c>
      <x:c r="J1004" s="26" t="n">
        <x:v>5602.8</x:v>
      </x:c>
      <x:c r="K1004" s="28" t="n">
        <x:v>0.1211</x:v>
      </x:c>
      <x:c r="L1004" s="26" t="n">
        <x:v>678.5</x:v>
      </x:c>
      <x:c r="M1004" t="n">
        <x:v>0</x:v>
      </x:c>
      <x:c r="N1004" s="26" t="n">
        <x:v>0</x:v>
      </x:c>
      <x:c r="O1004" s="26" t="n">
        <x:v>103.65</x:v>
      </x:c>
      <x:c r="P1004" s="26" t="n">
        <x:v>25.21</x:v>
      </x:c>
      <x:c r="Q1004" s="26" t="n">
        <x:v>47.62</x:v>
      </x:c>
      <x:c r="R1004" s="26" t="n">
        <x:v>58.83</x:v>
      </x:c>
      <x:c r="S1004" s="26" t="n">
        <x:v>443.18</x:v>
      </x:c>
    </x:row>
    <x:row r="1005">
      <x:c r="A1005" t="n">
        <x:v>501002</x:v>
      </x:c>
      <x:c r="B1005" s="24" t="n">
        <x:v>45846</x:v>
      </x:c>
      <x:c r="C1005" t="n">
        <x:v>1077</x:v>
      </x:c>
      <x:c r="D1005" t="str">
        <x:v>Seller 1077</x:v>
      </x:c>
      <x:c r="E1005" t="str">
        <x:v>Bronze</x:v>
      </x:c>
      <x:c r="F1005" t="str">
        <x:v>South</x:v>
      </x:c>
      <x:c r="G1005" t="str">
        <x:v>Home &amp; Kitchen</x:v>
      </x:c>
      <x:c r="H1005" t="n">
        <x:v>4</x:v>
      </x:c>
      <x:c r="I1005" s="26" t="n">
        <x:v>1192.8</x:v>
      </x:c>
      <x:c r="J1005" s="26" t="n">
        <x:v>2808.6</x:v>
      </x:c>
      <x:c r="K1005" s="28" t="n">
        <x:v>0.142</x:v>
      </x:c>
      <x:c r="L1005" s="26" t="n">
        <x:v>398.82</x:v>
      </x:c>
      <x:c r="M1005" t="n">
        <x:v>0</x:v>
      </x:c>
      <x:c r="N1005" s="26" t="n">
        <x:v>0</x:v>
      </x:c>
      <x:c r="O1005" s="26" t="n">
        <x:v>51.96</x:v>
      </x:c>
      <x:c r="P1005" s="26" t="n">
        <x:v>12.64</x:v>
      </x:c>
      <x:c r="Q1005" s="26" t="n">
        <x:v>23.87</x:v>
      </x:c>
      <x:c r="R1005" s="26" t="n">
        <x:v>29.49</x:v>
      </x:c>
      <x:c r="S1005" s="26" t="n">
        <x:v>280.86</x:v>
      </x:c>
    </x:row>
    <x:row r="1006">
      <x:c r="A1006" t="n">
        <x:v>501003</x:v>
      </x:c>
      <x:c r="B1006" s="24" t="n">
        <x:v>45848</x:v>
      </x:c>
      <x:c r="C1006" t="n">
        <x:v>1013</x:v>
      </x:c>
      <x:c r="D1006" t="str">
        <x:v>Seller 1013</x:v>
      </x:c>
      <x:c r="E1006" t="str">
        <x:v>Gold</x:v>
      </x:c>
      <x:c r="F1006" t="str">
        <x:v>West</x:v>
      </x:c>
      <x:c r="G1006" t="str">
        <x:v>Electronics</x:v>
      </x:c>
      <x:c r="H1006" t="n">
        <x:v>3</x:v>
      </x:c>
      <x:c r="I1006" s="26" t="n">
        <x:v>2775</x:v>
      </x:c>
      <x:c r="J1006" s="26" t="n">
        <x:v>9089.4</x:v>
      </x:c>
      <x:c r="K1006" s="28" t="n">
        <x:v>0.1293</x:v>
      </x:c>
      <x:c r="L1006" s="26" t="n">
        <x:v>1175.26</x:v>
      </x:c>
      <x:c r="M1006" t="n">
        <x:v>0</x:v>
      </x:c>
      <x:c r="N1006" s="26" t="n">
        <x:v>0</x:v>
      </x:c>
      <x:c r="O1006" s="26" t="n">
        <x:v>168.15</x:v>
      </x:c>
      <x:c r="P1006" s="26" t="n">
        <x:v>40.9</x:v>
      </x:c>
      <x:c r="Q1006" s="26" t="n">
        <x:v>77.26</x:v>
      </x:c>
      <x:c r="R1006" s="26" t="n">
        <x:v>95.44</x:v>
      </x:c>
      <x:c r="S1006" s="26" t="n">
        <x:v>793.5</x:v>
      </x:c>
    </x:row>
    <x:row r="1007">
      <x:c r="A1007" t="n">
        <x:v>501004</x:v>
      </x:c>
      <x:c r="B1007" s="24" t="n">
        <x:v>45857</x:v>
      </x:c>
      <x:c r="C1007" t="n">
        <x:v>1023</x:v>
      </x:c>
      <x:c r="D1007" t="str">
        <x:v>Seller 1023</x:v>
      </x:c>
      <x:c r="E1007" t="str">
        <x:v>Gold</x:v>
      </x:c>
      <x:c r="F1007" t="str">
        <x:v>Central</x:v>
      </x:c>
      <x:c r="G1007" t="str">
        <x:v>Home &amp; Kitchen</x:v>
      </x:c>
      <x:c r="H1007" t="n">
        <x:v>3</x:v>
      </x:c>
      <x:c r="I1007" s="26" t="n">
        <x:v>1410.6000000000001</x:v>
      </x:c>
      <x:c r="J1007" s="26" t="n">
        <x:v>4620.6</x:v>
      </x:c>
      <x:c r="K1007" s="28" t="n">
        <x:v>0.1434</x:v>
      </x:c>
      <x:c r="L1007" s="26" t="n">
        <x:v>662.59</x:v>
      </x:c>
      <x:c r="M1007" t="n">
        <x:v>0</x:v>
      </x:c>
      <x:c r="N1007" s="26" t="n">
        <x:v>0</x:v>
      </x:c>
      <x:c r="O1007" s="26" t="n">
        <x:v>85.48</x:v>
      </x:c>
      <x:c r="P1007" s="26" t="n">
        <x:v>20.79</x:v>
      </x:c>
      <x:c r="Q1007" s="26" t="n">
        <x:v>39.28</x:v>
      </x:c>
      <x:c r="R1007" s="26" t="n">
        <x:v>48.52</x:v>
      </x:c>
      <x:c r="S1007" s="26" t="n">
        <x:v>468.53</x:v>
      </x:c>
    </x:row>
    <x:row r="1008">
      <x:c r="A1008" t="n">
        <x:v>501005</x:v>
      </x:c>
      <x:c r="B1008" s="24" t="n">
        <x:v>45862</x:v>
      </x:c>
      <x:c r="C1008" t="n">
        <x:v>1075</x:v>
      </x:c>
      <x:c r="D1008" t="str">
        <x:v>Seller 1075</x:v>
      </x:c>
      <x:c r="E1008" t="str">
        <x:v>Bronze</x:v>
      </x:c>
      <x:c r="F1008" t="str">
        <x:v>East</x:v>
      </x:c>
      <x:c r="G1008" t="str">
        <x:v>Electronics</x:v>
      </x:c>
      <x:c r="H1008" t="n">
        <x:v>1</x:v>
      </x:c>
      <x:c r="I1008" s="26" t="n">
        <x:v>8620.800000000001</x:v>
      </x:c>
      <x:c r="J1008" s="26" t="n">
        <x:v>5074.8</x:v>
      </x:c>
      <x:c r="K1008" s="28" t="n">
        <x:v>0.1251</x:v>
      </x:c>
      <x:c r="L1008" s="26" t="n">
        <x:v>634.86</x:v>
      </x:c>
      <x:c r="M1008" t="n">
        <x:v>1</x:v>
      </x:c>
      <x:c r="N1008" s="26" t="n">
        <x:v>2839.8</x:v>
      </x:c>
      <x:c r="O1008" s="26" t="n">
        <x:v>93.88</x:v>
      </x:c>
      <x:c r="P1008" s="26" t="n">
        <x:v>22.84</x:v>
      </x:c>
      <x:c r="Q1008" s="26" t="n">
        <x:v>43.14</x:v>
      </x:c>
      <x:c r="R1008" s="26" t="n">
        <x:v>53.29</x:v>
      </x:c>
      <x:c r="S1008" s="26" t="n">
        <x:v>364.92</x:v>
      </x:c>
    </x:row>
    <x:row r="1009">
      <x:c r="A1009" t="n">
        <x:v>501006</x:v>
      </x:c>
      <x:c r="B1009" s="24" t="n">
        <x:v>45847</x:v>
      </x:c>
      <x:c r="C1009" t="n">
        <x:v>1016</x:v>
      </x:c>
      <x:c r="D1009" t="str">
        <x:v>Seller 1016</x:v>
      </x:c>
      <x:c r="E1009" t="str">
        <x:v>Gold</x:v>
      </x:c>
      <x:c r="F1009" t="str">
        <x:v>West</x:v>
      </x:c>
      <x:c r="G1009" t="str">
        <x:v>Sports</x:v>
      </x:c>
      <x:c r="H1009" t="n">
        <x:v>2</x:v>
      </x:c>
      <x:c r="I1009" s="26" t="n">
        <x:v>1668</x:v>
      </x:c>
      <x:c r="J1009" s="26" t="n">
        <x:v>3642.6</x:v>
      </x:c>
      <x:c r="K1009" s="28" t="n">
        <x:v>0.1309</x:v>
      </x:c>
      <x:c r="L1009" s="26" t="n">
        <x:v>476.82</x:v>
      </x:c>
      <x:c r="M1009" t="n">
        <x:v>0</x:v>
      </x:c>
      <x:c r="N1009" s="26" t="n">
        <x:v>0</x:v>
      </x:c>
      <x:c r="O1009" s="26" t="n">
        <x:v>67.39</x:v>
      </x:c>
      <x:c r="P1009" s="26" t="n">
        <x:v>16.39</x:v>
      </x:c>
      <x:c r="Q1009" s="26" t="n">
        <x:v>30.96</x:v>
      </x:c>
      <x:c r="R1009" s="26" t="n">
        <x:v>38.25</x:v>
      </x:c>
      <x:c r="S1009" s="26" t="n">
        <x:v>323.83</x:v>
      </x:c>
    </x:row>
    <x:row r="1010">
      <x:c r="A1010" t="n">
        <x:v>501007</x:v>
      </x:c>
      <x:c r="B1010" s="24" t="n">
        <x:v>45861</x:v>
      </x:c>
      <x:c r="C1010" t="n">
        <x:v>1026</x:v>
      </x:c>
      <x:c r="D1010" t="str">
        <x:v>Seller 1026</x:v>
      </x:c>
      <x:c r="E1010" t="str">
        <x:v>Gold</x:v>
      </x:c>
      <x:c r="F1010" t="str">
        <x:v>East</x:v>
      </x:c>
      <x:c r="G1010" t="str">
        <x:v>Home &amp; Kitchen</x:v>
      </x:c>
      <x:c r="H1010" t="n">
        <x:v>2</x:v>
      </x:c>
      <x:c r="I1010" s="26" t="n">
        <x:v>2565</x:v>
      </x:c>
      <x:c r="J1010" s="26" t="n">
        <x:v>5601.6</x:v>
      </x:c>
      <x:c r="K1010" s="28" t="n">
        <x:v>0.1452</x:v>
      </x:c>
      <x:c r="L1010" s="26" t="n">
        <x:v>813.35</x:v>
      </x:c>
      <x:c r="M1010" t="n">
        <x:v>0</x:v>
      </x:c>
      <x:c r="N1010" s="26" t="n">
        <x:v>0</x:v>
      </x:c>
      <x:c r="O1010" s="26" t="n">
        <x:v>103.63</x:v>
      </x:c>
      <x:c r="P1010" s="26" t="n">
        <x:v>25.21</x:v>
      </x:c>
      <x:c r="Q1010" s="26" t="n">
        <x:v>47.61</x:v>
      </x:c>
      <x:c r="R1010" s="26" t="n">
        <x:v>58.82</x:v>
      </x:c>
      <x:c r="S1010" s="26" t="n">
        <x:v>578.09</x:v>
      </x:c>
    </x:row>
    <x:row r="1011">
      <x:c r="A1011" t="n">
        <x:v>501008</x:v>
      </x:c>
      <x:c r="B1011" s="24" t="n">
        <x:v>45864</x:v>
      </x:c>
      <x:c r="C1011" t="n">
        <x:v>1043</x:v>
      </x:c>
      <x:c r="D1011" t="str">
        <x:v>Seller 1043</x:v>
      </x:c>
      <x:c r="E1011" t="str">
        <x:v>Silver</x:v>
      </x:c>
      <x:c r="F1011" t="str">
        <x:v>West</x:v>
      </x:c>
      <x:c r="G1011" t="str">
        <x:v>Sports</x:v>
      </x:c>
      <x:c r="H1011" t="n">
        <x:v>1</x:v>
      </x:c>
      <x:c r="I1011" s="26" t="n">
        <x:v>5144.4</x:v>
      </x:c>
      <x:c r="J1011" s="26" t="n">
        <x:v>4298.4</x:v>
      </x:c>
      <x:c r="K1011" s="28" t="n">
        <x:v>0.117</x:v>
      </x:c>
      <x:c r="L1011" s="26" t="n">
        <x:v>502.91</x:v>
      </x:c>
      <x:c r="M1011" t="n">
        <x:v>0</x:v>
      </x:c>
      <x:c r="N1011" s="26" t="n">
        <x:v>0</x:v>
      </x:c>
      <x:c r="O1011" s="26" t="n">
        <x:v>79.52</x:v>
      </x:c>
      <x:c r="P1011" s="26" t="n">
        <x:v>19.34</x:v>
      </x:c>
      <x:c r="Q1011" s="26" t="n">
        <x:v>36.54</x:v>
      </x:c>
      <x:c r="R1011" s="26" t="n">
        <x:v>45.13</x:v>
      </x:c>
      <x:c r="S1011" s="26" t="n">
        <x:v>322.38</x:v>
      </x:c>
    </x:row>
    <x:row r="1012">
      <x:c r="A1012" t="n">
        <x:v>501009</x:v>
      </x:c>
      <x:c r="B1012" s="24" t="n">
        <x:v>45859</x:v>
      </x:c>
      <x:c r="C1012" t="n">
        <x:v>1037</x:v>
      </x:c>
      <x:c r="D1012" t="str">
        <x:v>Seller 1037</x:v>
      </x:c>
      <x:c r="E1012" t="str">
        <x:v>Silver</x:v>
      </x:c>
      <x:c r="F1012" t="str">
        <x:v>East</x:v>
      </x:c>
      <x:c r="G1012" t="str">
        <x:v>Home &amp; Kitchen</x:v>
      </x:c>
      <x:c r="H1012" t="n">
        <x:v>3</x:v>
      </x:c>
      <x:c r="I1012" s="26" t="n">
        <x:v>1350.6000000000001</x:v>
      </x:c>
      <x:c r="J1012" s="26" t="n">
        <x:v>3385.2</x:v>
      </x:c>
      <x:c r="K1012" s="28" t="n">
        <x:v>0.1288</x:v>
      </x:c>
      <x:c r="L1012" s="26" t="n">
        <x:v>436.01</x:v>
      </x:c>
      <x:c r="M1012" t="n">
        <x:v>0</x:v>
      </x:c>
      <x:c r="N1012" s="26" t="n">
        <x:v>0</x:v>
      </x:c>
      <x:c r="O1012" s="26" t="n">
        <x:v>62.63</x:v>
      </x:c>
      <x:c r="P1012" s="26" t="n">
        <x:v>15.23</x:v>
      </x:c>
      <x:c r="Q1012" s="26" t="n">
        <x:v>28.77</x:v>
      </x:c>
      <x:c r="R1012" s="26" t="n">
        <x:v>35.54</x:v>
      </x:c>
      <x:c r="S1012" s="26" t="n">
        <x:v>293.84</x:v>
      </x:c>
    </x:row>
    <x:row r="1013">
      <x:c r="A1013" t="n">
        <x:v>501010</x:v>
      </x:c>
      <x:c r="B1013" s="24" t="n">
        <x:v>45838</x:v>
      </x:c>
      <x:c r="C1013" t="n">
        <x:v>1032</x:v>
      </x:c>
      <x:c r="D1013" t="str">
        <x:v>Seller 1032</x:v>
      </x:c>
      <x:c r="E1013" t="str">
        <x:v>Silver</x:v>
      </x:c>
      <x:c r="F1013" t="str">
        <x:v>West</x:v>
      </x:c>
      <x:c r="G1013" t="str">
        <x:v>Pet Supplies</x:v>
      </x:c>
      <x:c r="H1013" t="n">
        <x:v>2</x:v>
      </x:c>
      <x:c r="I1013" s="26" t="n">
        <x:v>1224.6</x:v>
      </x:c>
      <x:c r="J1013" s="26" t="n">
        <x:v>2046.6</x:v>
      </x:c>
      <x:c r="K1013" s="28" t="n">
        <x:v>0.1292</x:v>
      </x:c>
      <x:c r="L1013" s="26" t="n">
        <x:v>264.42</x:v>
      </x:c>
      <x:c r="M1013" t="n">
        <x:v>0</x:v>
      </x:c>
      <x:c r="N1013" s="26" t="n">
        <x:v>0</x:v>
      </x:c>
      <x:c r="O1013" s="26" t="n">
        <x:v>37.86</x:v>
      </x:c>
      <x:c r="P1013" s="26" t="n">
        <x:v>9.21</x:v>
      </x:c>
      <x:c r="Q1013" s="26" t="n">
        <x:v>17.4</x:v>
      </x:c>
      <x:c r="R1013" s="26" t="n">
        <x:v>21.49</x:v>
      </x:c>
      <x:c r="S1013" s="26" t="n">
        <x:v>178.46</x:v>
      </x:c>
    </x:row>
    <x:row r="1014">
      <x:c r="A1014" t="n">
        <x:v>501011</x:v>
      </x:c>
      <x:c r="B1014" s="24" t="n">
        <x:v>45843</x:v>
      </x:c>
      <x:c r="C1014" t="n">
        <x:v>1009</x:v>
      </x:c>
      <x:c r="D1014" t="str">
        <x:v>Seller 1009</x:v>
      </x:c>
      <x:c r="E1014" t="str">
        <x:v>Platinum</x:v>
      </x:c>
      <x:c r="F1014" t="str">
        <x:v>Central</x:v>
      </x:c>
      <x:c r="G1014" t="str">
        <x:v>Electronics</x:v>
      </x:c>
      <x:c r="H1014" t="n">
        <x:v>2</x:v>
      </x:c>
      <x:c r="I1014" s="26" t="n">
        <x:v>4284.599999999999</x:v>
      </x:c>
      <x:c r="J1014" s="26" t="n">
        <x:v>12611.4</x:v>
      </x:c>
      <x:c r="K1014" s="28" t="n">
        <x:v>0.1368</x:v>
      </x:c>
      <x:c r="L1014" s="26" t="n">
        <x:v>1725.24</x:v>
      </x:c>
      <x:c r="M1014" t="n">
        <x:v>0</x:v>
      </x:c>
      <x:c r="N1014" s="26" t="n">
        <x:v>0</x:v>
      </x:c>
      <x:c r="O1014" s="26" t="n">
        <x:v>233.31</x:v>
      </x:c>
      <x:c r="P1014" s="26" t="n">
        <x:v>56.75</x:v>
      </x:c>
      <x:c r="Q1014" s="26" t="n">
        <x:v>107.2</x:v>
      </x:c>
      <x:c r="R1014" s="26" t="n">
        <x:v>132.42</x:v>
      </x:c>
      <x:c r="S1014" s="26" t="n">
        <x:v>1195.56</x:v>
      </x:c>
    </x:row>
    <x:row r="1015">
      <x:c r="A1015" t="n">
        <x:v>501012</x:v>
      </x:c>
      <x:c r="B1015" s="24" t="n">
        <x:v>45843</x:v>
      </x:c>
      <x:c r="C1015" t="n">
        <x:v>1076</x:v>
      </x:c>
      <x:c r="D1015" t="str">
        <x:v>Seller 1076</x:v>
      </x:c>
      <x:c r="E1015" t="str">
        <x:v>Bronze</x:v>
      </x:c>
      <x:c r="F1015" t="str">
        <x:v>Central</x:v>
      </x:c>
      <x:c r="G1015" t="str">
        <x:v>Home &amp; Kitchen</x:v>
      </x:c>
      <x:c r="H1015" t="n">
        <x:v>2</x:v>
      </x:c>
      <x:c r="I1015" s="26" t="n">
        <x:v>2204.4</x:v>
      </x:c>
      <x:c r="J1015" s="26" t="n">
        <x:v>2595.6</x:v>
      </x:c>
      <x:c r="K1015" s="28" t="n">
        <x:v>0.1352</x:v>
      </x:c>
      <x:c r="L1015" s="26" t="n">
        <x:v>350.93</x:v>
      </x:c>
      <x:c r="M1015" t="n">
        <x:v>0</x:v>
      </x:c>
      <x:c r="N1015" s="26" t="n">
        <x:v>0</x:v>
      </x:c>
      <x:c r="O1015" s="26" t="n">
        <x:v>48.02</x:v>
      </x:c>
      <x:c r="P1015" s="26" t="n">
        <x:v>11.68</x:v>
      </x:c>
      <x:c r="Q1015" s="26" t="n">
        <x:v>22.06</x:v>
      </x:c>
      <x:c r="R1015" s="26" t="n">
        <x:v>27.25</x:v>
      </x:c>
      <x:c r="S1015" s="26" t="n">
        <x:v>241.91</x:v>
      </x:c>
    </x:row>
    <x:row r="1016">
      <x:c r="A1016" t="n">
        <x:v>501013</x:v>
      </x:c>
      <x:c r="B1016" s="24" t="n">
        <x:v>45846</x:v>
      </x:c>
      <x:c r="C1016" t="n">
        <x:v>1026</x:v>
      </x:c>
      <x:c r="D1016" t="str">
        <x:v>Seller 1026</x:v>
      </x:c>
      <x:c r="E1016" t="str">
        <x:v>Gold</x:v>
      </x:c>
      <x:c r="F1016" t="str">
        <x:v>East</x:v>
      </x:c>
      <x:c r="G1016" t="str">
        <x:v>Home &amp; Kitchen</x:v>
      </x:c>
      <x:c r="H1016" t="n">
        <x:v>2</x:v>
      </x:c>
      <x:c r="I1016" s="26" t="n">
        <x:v>2726.3999999999996</x:v>
      </x:c>
      <x:c r="J1016" s="26" t="n">
        <x:v>5954.4</x:v>
      </x:c>
      <x:c r="K1016" s="28" t="n">
        <x:v>0.1298</x:v>
      </x:c>
      <x:c r="L1016" s="26" t="n">
        <x:v>772.88</x:v>
      </x:c>
      <x:c r="M1016" t="n">
        <x:v>0</x:v>
      </x:c>
      <x:c r="N1016" s="26" t="n">
        <x:v>0</x:v>
      </x:c>
      <x:c r="O1016" s="26" t="n">
        <x:v>110.16</x:v>
      </x:c>
      <x:c r="P1016" s="26" t="n">
        <x:v>26.79</x:v>
      </x:c>
      <x:c r="Q1016" s="26" t="n">
        <x:v>50.61</x:v>
      </x:c>
      <x:c r="R1016" s="26" t="n">
        <x:v>62.52</x:v>
      </x:c>
      <x:c r="S1016" s="26" t="n">
        <x:v>522.8</x:v>
      </x:c>
    </x:row>
    <x:row r="1017">
      <x:c r="A1017" t="n">
        <x:v>501014</x:v>
      </x:c>
      <x:c r="B1017" s="24" t="n">
        <x:v>45861</x:v>
      </x:c>
      <x:c r="C1017" t="n">
        <x:v>1062</x:v>
      </x:c>
      <x:c r="D1017" t="str">
        <x:v>Seller 1062</x:v>
      </x:c>
      <x:c r="E1017" t="str">
        <x:v>Bronze</x:v>
      </x:c>
      <x:c r="F1017" t="str">
        <x:v>West</x:v>
      </x:c>
      <x:c r="G1017" t="str">
        <x:v>Electronics</x:v>
      </x:c>
      <x:c r="H1017" t="n">
        <x:v>3</x:v>
      </x:c>
      <x:c r="I1017" s="26" t="n">
        <x:v>2779.7999999999997</x:v>
      </x:c>
      <x:c r="J1017" s="26" t="n">
        <x:v>4909.2</x:v>
      </x:c>
      <x:c r="K1017" s="28" t="n">
        <x:v>0.117</x:v>
      </x:c>
      <x:c r="L1017" s="26" t="n">
        <x:v>574.38</x:v>
      </x:c>
      <x:c r="M1017" t="n">
        <x:v>0</x:v>
      </x:c>
      <x:c r="N1017" s="26" t="n">
        <x:v>0</x:v>
      </x:c>
      <x:c r="O1017" s="26" t="n">
        <x:v>90.82</x:v>
      </x:c>
      <x:c r="P1017" s="26" t="n">
        <x:v>22.09</x:v>
      </x:c>
      <x:c r="Q1017" s="26" t="n">
        <x:v>41.73</x:v>
      </x:c>
      <x:c r="R1017" s="26" t="n">
        <x:v>51.55</x:v>
      </x:c>
      <x:c r="S1017" s="26" t="n">
        <x:v>368.19</x:v>
      </x:c>
    </x:row>
    <x:row r="1018">
      <x:c r="A1018" t="n">
        <x:v>501015</x:v>
      </x:c>
      <x:c r="B1018" s="24" t="n">
        <x:v>45857</x:v>
      </x:c>
      <x:c r="C1018" t="n">
        <x:v>1056</x:v>
      </x:c>
      <x:c r="D1018" t="str">
        <x:v>Seller 1056</x:v>
      </x:c>
      <x:c r="E1018" t="str">
        <x:v>Bronze</x:v>
      </x:c>
      <x:c r="F1018" t="str">
        <x:v>West</x:v>
      </x:c>
      <x:c r="G1018" t="str">
        <x:v>Apparel</x:v>
      </x:c>
      <x:c r="H1018" t="n">
        <x:v>3</x:v>
      </x:c>
      <x:c r="I1018" s="26" t="n">
        <x:v>1317.6000000000001</x:v>
      </x:c>
      <x:c r="J1018" s="26" t="n">
        <x:v>2326.8</x:v>
      </x:c>
      <x:c r="K1018" s="28" t="n">
        <x:v>0.1285</x:v>
      </x:c>
      <x:c r="L1018" s="26" t="n">
        <x:v>298.99</x:v>
      </x:c>
      <x:c r="M1018" t="n">
        <x:v>0</x:v>
      </x:c>
      <x:c r="N1018" s="26" t="n">
        <x:v>0</x:v>
      </x:c>
      <x:c r="O1018" s="26" t="n">
        <x:v>43.05</x:v>
      </x:c>
      <x:c r="P1018" s="26" t="n">
        <x:v>10.47</x:v>
      </x:c>
      <x:c r="Q1018" s="26" t="n">
        <x:v>19.78</x:v>
      </x:c>
      <x:c r="R1018" s="26" t="n">
        <x:v>24.43</x:v>
      </x:c>
      <x:c r="S1018" s="26" t="n">
        <x:v>201.27</x:v>
      </x:c>
    </x:row>
    <x:row r="1019">
      <x:c r="A1019" t="n">
        <x:v>501016</x:v>
      </x:c>
      <x:c r="B1019" s="24" t="n">
        <x:v>45857</x:v>
      </x:c>
      <x:c r="C1019" t="n">
        <x:v>1069</x:v>
      </x:c>
      <x:c r="D1019" t="str">
        <x:v>Seller 1069</x:v>
      </x:c>
      <x:c r="E1019" t="str">
        <x:v>Bronze</x:v>
      </x:c>
      <x:c r="F1019" t="str">
        <x:v>East</x:v>
      </x:c>
      <x:c r="G1019" t="str">
        <x:v>Electronics</x:v>
      </x:c>
      <x:c r="H1019" t="n">
        <x:v>2</x:v>
      </x:c>
      <x:c r="I1019" s="26" t="n">
        <x:v>3819</x:v>
      </x:c>
      <x:c r="J1019" s="26" t="n">
        <x:v>4496.4</x:v>
      </x:c>
      <x:c r="K1019" s="28" t="n">
        <x:v>0.1241</x:v>
      </x:c>
      <x:c r="L1019" s="26" t="n">
        <x:v>558</x:v>
      </x:c>
      <x:c r="M1019" t="n">
        <x:v>0</x:v>
      </x:c>
      <x:c r="N1019" s="26" t="n">
        <x:v>0</x:v>
      </x:c>
      <x:c r="O1019" s="26" t="n">
        <x:v>83.18</x:v>
      </x:c>
      <x:c r="P1019" s="26" t="n">
        <x:v>20.23</x:v>
      </x:c>
      <x:c r="Q1019" s="26" t="n">
        <x:v>38.22</x:v>
      </x:c>
      <x:c r="R1019" s="26" t="n">
        <x:v>47.21</x:v>
      </x:c>
      <x:c r="S1019" s="26" t="n">
        <x:v>369.15</x:v>
      </x:c>
    </x:row>
    <x:row r="1020">
      <x:c r="A1020" t="n">
        <x:v>501017</x:v>
      </x:c>
      <x:c r="B1020" s="24" t="n">
        <x:v>45861</x:v>
      </x:c>
      <x:c r="C1020" t="n">
        <x:v>1062</x:v>
      </x:c>
      <x:c r="D1020" t="str">
        <x:v>Seller 1062</x:v>
      </x:c>
      <x:c r="E1020" t="str">
        <x:v>Bronze</x:v>
      </x:c>
      <x:c r="F1020" t="str">
        <x:v>West</x:v>
      </x:c>
      <x:c r="G1020" t="str">
        <x:v>Electronics</x:v>
      </x:c>
      <x:c r="H1020" t="n">
        <x:v>3</x:v>
      </x:c>
      <x:c r="I1020" s="26" t="n">
        <x:v>3493.2</x:v>
      </x:c>
      <x:c r="J1020" s="26" t="n">
        <x:v>6168.6</x:v>
      </x:c>
      <x:c r="K1020" s="28" t="n">
        <x:v>0.1167</x:v>
      </x:c>
      <x:c r="L1020" s="26" t="n">
        <x:v>719.88</x:v>
      </x:c>
      <x:c r="M1020" t="n">
        <x:v>1</x:v>
      </x:c>
      <x:c r="N1020" s="26" t="n">
        <x:v>4782.6</x:v>
      </x:c>
      <x:c r="O1020" s="26" t="n">
        <x:v>114.12</x:v>
      </x:c>
      <x:c r="P1020" s="26" t="n">
        <x:v>27.76</x:v>
      </x:c>
      <x:c r="Q1020" s="26" t="n">
        <x:v>52.43</x:v>
      </x:c>
      <x:c r="R1020" s="26" t="n">
        <x:v>64.77</x:v>
      </x:c>
      <x:c r="S1020" s="26" t="n">
        <x:v>365.14</x:v>
      </x:c>
    </x:row>
    <x:row r="1021">
      <x:c r="A1021" t="n">
        <x:v>501018</x:v>
      </x:c>
      <x:c r="B1021" s="24" t="n">
        <x:v>45858</x:v>
      </x:c>
      <x:c r="C1021" t="n">
        <x:v>1048</x:v>
      </x:c>
      <x:c r="D1021" t="str">
        <x:v>Seller 1048</x:v>
      </x:c>
      <x:c r="E1021" t="str">
        <x:v>Silver</x:v>
      </x:c>
      <x:c r="F1021" t="str">
        <x:v>East</x:v>
      </x:c>
      <x:c r="G1021" t="str">
        <x:v>Electronics</x:v>
      </x:c>
      <x:c r="H1021" t="n">
        <x:v>4</x:v>
      </x:c>
      <x:c r="I1021" s="26" t="n">
        <x:v>1431</x:v>
      </x:c>
      <x:c r="J1021" s="26" t="n">
        <x:v>4783.8</x:v>
      </x:c>
      <x:c r="K1021" s="28" t="n">
        <x:v>0.1363</x:v>
      </x:c>
      <x:c r="L1021" s="26" t="n">
        <x:v>652.03</x:v>
      </x:c>
      <x:c r="M1021" t="n">
        <x:v>0</x:v>
      </x:c>
      <x:c r="N1021" s="26" t="n">
        <x:v>0</x:v>
      </x:c>
      <x:c r="O1021" s="26" t="n">
        <x:v>88.5</x:v>
      </x:c>
      <x:c r="P1021" s="26" t="n">
        <x:v>21.53</x:v>
      </x:c>
      <x:c r="Q1021" s="26" t="n">
        <x:v>40.66</x:v>
      </x:c>
      <x:c r="R1021" s="26" t="n">
        <x:v>50.23</x:v>
      </x:c>
      <x:c r="S1021" s="26" t="n">
        <x:v>451.11</x:v>
      </x:c>
    </x:row>
    <x:row r="1022">
      <x:c r="A1022" t="n">
        <x:v>501019</x:v>
      </x:c>
      <x:c r="B1022" s="24" t="n">
        <x:v>45862</x:v>
      </x:c>
      <x:c r="C1022" t="n">
        <x:v>1076</x:v>
      </x:c>
      <x:c r="D1022" t="str">
        <x:v>Seller 1076</x:v>
      </x:c>
      <x:c r="E1022" t="str">
        <x:v>Bronze</x:v>
      </x:c>
      <x:c r="F1022" t="str">
        <x:v>Central</x:v>
      </x:c>
      <x:c r="G1022" t="str">
        <x:v>Home &amp; Kitchen</x:v>
      </x:c>
      <x:c r="H1022" t="n">
        <x:v>4</x:v>
      </x:c>
      <x:c r="I1022" s="26" t="n">
        <x:v>480</x:v>
      </x:c>
      <x:c r="J1022" s="26" t="n">
        <x:v>1130.4</x:v>
      </x:c>
      <x:c r="K1022" s="28" t="n">
        <x:v>0.126</x:v>
      </x:c>
      <x:c r="L1022" s="26" t="n">
        <x:v>142.43</x:v>
      </x:c>
      <x:c r="M1022" t="n">
        <x:v>0</x:v>
      </x:c>
      <x:c r="N1022" s="26" t="n">
        <x:v>0</x:v>
      </x:c>
      <x:c r="O1022" s="26" t="n">
        <x:v>20.91</x:v>
      </x:c>
      <x:c r="P1022" s="26" t="n">
        <x:v>5.09</x:v>
      </x:c>
      <x:c r="Q1022" s="26" t="n">
        <x:v>9.61</x:v>
      </x:c>
      <x:c r="R1022" s="26" t="n">
        <x:v>11.87</x:v>
      </x:c>
      <x:c r="S1022" s="26" t="n">
        <x:v>94.95</x:v>
      </x:c>
    </x:row>
    <x:row r="1023">
      <x:c r="A1023" t="n">
        <x:v>501020</x:v>
      </x:c>
      <x:c r="B1023" s="24" t="n">
        <x:v>45850</x:v>
      </x:c>
      <x:c r="C1023" t="n">
        <x:v>1056</x:v>
      </x:c>
      <x:c r="D1023" t="str">
        <x:v>Seller 1056</x:v>
      </x:c>
      <x:c r="E1023" t="str">
        <x:v>Bronze</x:v>
      </x:c>
      <x:c r="F1023" t="str">
        <x:v>West</x:v>
      </x:c>
      <x:c r="G1023" t="str">
        <x:v>Pet Supplies</x:v>
      </x:c>
      <x:c r="H1023" t="n">
        <x:v>1</x:v>
      </x:c>
      <x:c r="I1023" s="26" t="n">
        <x:v>3439.2</x:v>
      </x:c>
      <x:c r="J1023" s="26" t="n">
        <x:v>2025</x:v>
      </x:c>
      <x:c r="K1023" s="28" t="n">
        <x:v>0.1352</x:v>
      </x:c>
      <x:c r="L1023" s="26" t="n">
        <x:v>273.78</x:v>
      </x:c>
      <x:c r="M1023" t="n">
        <x:v>0</x:v>
      </x:c>
      <x:c r="N1023" s="26" t="n">
        <x:v>0</x:v>
      </x:c>
      <x:c r="O1023" s="26" t="n">
        <x:v>37.46</x:v>
      </x:c>
      <x:c r="P1023" s="26" t="n">
        <x:v>9.11</x:v>
      </x:c>
      <x:c r="Q1023" s="26" t="n">
        <x:v>17.21</x:v>
      </x:c>
      <x:c r="R1023" s="26" t="n">
        <x:v>21.26</x:v>
      </x:c>
      <x:c r="S1023" s="26" t="n">
        <x:v>188.73</x:v>
      </x:c>
    </x:row>
    <x:row r="1024">
      <x:c r="A1024" t="n">
        <x:v>501021</x:v>
      </x:c>
      <x:c r="B1024" s="24" t="n">
        <x:v>45860</x:v>
      </x:c>
      <x:c r="C1024" t="n">
        <x:v>1055</x:v>
      </x:c>
      <x:c r="D1024" t="str">
        <x:v>Seller 1055</x:v>
      </x:c>
      <x:c r="E1024" t="str">
        <x:v>Bronze</x:v>
      </x:c>
      <x:c r="F1024" t="str">
        <x:v>Central</x:v>
      </x:c>
      <x:c r="G1024" t="str">
        <x:v>Pet Supplies</x:v>
      </x:c>
      <x:c r="H1024" t="n">
        <x:v>2</x:v>
      </x:c>
      <x:c r="I1024" s="26" t="n">
        <x:v>1626</x:v>
      </x:c>
      <x:c r="J1024" s="26" t="n">
        <x:v>1914.6</x:v>
      </x:c>
      <x:c r="K1024" s="28" t="n">
        <x:v>0.1395</x:v>
      </x:c>
      <x:c r="L1024" s="26" t="n">
        <x:v>267.09</x:v>
      </x:c>
      <x:c r="M1024" t="n">
        <x:v>0</x:v>
      </x:c>
      <x:c r="N1024" s="26" t="n">
        <x:v>0</x:v>
      </x:c>
      <x:c r="O1024" s="26" t="n">
        <x:v>35.42</x:v>
      </x:c>
      <x:c r="P1024" s="26" t="n">
        <x:v>8.62</x:v>
      </x:c>
      <x:c r="Q1024" s="26" t="n">
        <x:v>16.27</x:v>
      </x:c>
      <x:c r="R1024" s="26" t="n">
        <x:v>20.1</x:v>
      </x:c>
      <x:c r="S1024" s="26" t="n">
        <x:v>186.67</x:v>
      </x:c>
    </x:row>
    <x:row r="1025">
      <x:c r="A1025" t="n">
        <x:v>501022</x:v>
      </x:c>
      <x:c r="B1025" s="24" t="n">
        <x:v>45864</x:v>
      </x:c>
      <x:c r="C1025" t="n">
        <x:v>1019</x:v>
      </x:c>
      <x:c r="D1025" t="str">
        <x:v>Seller 1019</x:v>
      </x:c>
      <x:c r="E1025" t="str">
        <x:v>Gold</x:v>
      </x:c>
      <x:c r="F1025" t="str">
        <x:v>East</x:v>
      </x:c>
      <x:c r="G1025" t="str">
        <x:v>Apparel</x:v>
      </x:c>
      <x:c r="H1025" t="n">
        <x:v>1</x:v>
      </x:c>
      <x:c r="I1025" s="26" t="n">
        <x:v>3968.4</x:v>
      </x:c>
      <x:c r="J1025" s="26" t="n">
        <x:v>4333.2</x:v>
      </x:c>
      <x:c r="K1025" s="28" t="n">
        <x:v>0.1141</x:v>
      </x:c>
      <x:c r="L1025" s="26" t="n">
        <x:v>494.42</x:v>
      </x:c>
      <x:c r="M1025" t="n">
        <x:v>0</x:v>
      </x:c>
      <x:c r="N1025" s="26" t="n">
        <x:v>0</x:v>
      </x:c>
      <x:c r="O1025" s="26" t="n">
        <x:v>80.16</x:v>
      </x:c>
      <x:c r="P1025" s="26" t="n">
        <x:v>19.5</x:v>
      </x:c>
      <x:c r="Q1025" s="26" t="n">
        <x:v>36.83</x:v>
      </x:c>
      <x:c r="R1025" s="26" t="n">
        <x:v>45.5</x:v>
      </x:c>
      <x:c r="S1025" s="26" t="n">
        <x:v>312.42</x:v>
      </x:c>
    </x:row>
    <x:row r="1026">
      <x:c r="A1026" t="n">
        <x:v>501023</x:v>
      </x:c>
      <x:c r="B1026" s="24" t="n">
        <x:v>45866</x:v>
      </x:c>
      <x:c r="C1026" t="n">
        <x:v>1021</x:v>
      </x:c>
      <x:c r="D1026" t="str">
        <x:v>Seller 1021</x:v>
      </x:c>
      <x:c r="E1026" t="str">
        <x:v>Gold</x:v>
      </x:c>
      <x:c r="F1026" t="str">
        <x:v>Central</x:v>
      </x:c>
      <x:c r="G1026" t="str">
        <x:v>Pet Supplies</x:v>
      </x:c>
      <x:c r="H1026" t="n">
        <x:v>2</x:v>
      </x:c>
      <x:c r="I1026" s="26" t="n">
        <x:v>1204.2</x:v>
      </x:c>
      <x:c r="J1026" s="26" t="n">
        <x:v>2629.8</x:v>
      </x:c>
      <x:c r="K1026" s="28" t="n">
        <x:v>0.142</x:v>
      </x:c>
      <x:c r="L1026" s="26" t="n">
        <x:v>373.43</x:v>
      </x:c>
      <x:c r="M1026" t="n">
        <x:v>0</x:v>
      </x:c>
      <x:c r="N1026" s="26" t="n">
        <x:v>0</x:v>
      </x:c>
      <x:c r="O1026" s="26" t="n">
        <x:v>48.65</x:v>
      </x:c>
      <x:c r="P1026" s="26" t="n">
        <x:v>11.83</x:v>
      </x:c>
      <x:c r="Q1026" s="26" t="n">
        <x:v>22.35</x:v>
      </x:c>
      <x:c r="R1026" s="26" t="n">
        <x:v>27.61</x:v>
      </x:c>
      <x:c r="S1026" s="26" t="n">
        <x:v>262.98</x:v>
      </x:c>
    </x:row>
    <x:row r="1027">
      <x:c r="A1027" t="n">
        <x:v>501024</x:v>
      </x:c>
      <x:c r="B1027" s="24" t="n">
        <x:v>45855</x:v>
      </x:c>
      <x:c r="C1027" t="n">
        <x:v>1011</x:v>
      </x:c>
      <x:c r="D1027" t="str">
        <x:v>Seller 1011</x:v>
      </x:c>
      <x:c r="E1027" t="str">
        <x:v>Platinum</x:v>
      </x:c>
      <x:c r="F1027" t="str">
        <x:v>West</x:v>
      </x:c>
      <x:c r="G1027" t="str">
        <x:v>Electronics</x:v>
      </x:c>
      <x:c r="H1027" t="n">
        <x:v>2</x:v>
      </x:c>
      <x:c r="I1027" s="26" t="n">
        <x:v>5026.8</x:v>
      </x:c>
      <x:c r="J1027" s="26" t="n">
        <x:v>14795.4</x:v>
      </x:c>
      <x:c r="K1027" s="28" t="n">
        <x:v>0.1329</x:v>
      </x:c>
      <x:c r="L1027" s="26" t="n">
        <x:v>1966.31</x:v>
      </x:c>
      <x:c r="M1027" t="n">
        <x:v>0</x:v>
      </x:c>
      <x:c r="N1027" s="26" t="n">
        <x:v>0</x:v>
      </x:c>
      <x:c r="O1027" s="26" t="n">
        <x:v>273.71</x:v>
      </x:c>
      <x:c r="P1027" s="26" t="n">
        <x:v>66.58</x:v>
      </x:c>
      <x:c r="Q1027" s="26" t="n">
        <x:v>125.76</x:v>
      </x:c>
      <x:c r="R1027" s="26" t="n">
        <x:v>155.35</x:v>
      </x:c>
      <x:c r="S1027" s="26" t="n">
        <x:v>1344.9</x:v>
      </x:c>
    </x:row>
    <x:row r="1028">
      <x:c r="A1028" t="n">
        <x:v>501025</x:v>
      </x:c>
      <x:c r="B1028" s="24" t="n">
        <x:v>45856</x:v>
      </x:c>
      <x:c r="C1028" t="n">
        <x:v>1049</x:v>
      </x:c>
      <x:c r="D1028" t="str">
        <x:v>Seller 1049</x:v>
      </x:c>
      <x:c r="E1028" t="str">
        <x:v>Silver</x:v>
      </x:c>
      <x:c r="F1028" t="str">
        <x:v>West</x:v>
      </x:c>
      <x:c r="G1028" t="str">
        <x:v>Home &amp; Kitchen</x:v>
      </x:c>
      <x:c r="H1028" t="n">
        <x:v>2</x:v>
      </x:c>
      <x:c r="I1028" s="26" t="n">
        <x:v>1805.4</x:v>
      </x:c>
      <x:c r="J1028" s="26" t="n">
        <x:v>3017.4</x:v>
      </x:c>
      <x:c r="K1028" s="28" t="n">
        <x:v>0.1452</x:v>
      </x:c>
      <x:c r="L1028" s="26" t="n">
        <x:v>438.13</x:v>
      </x:c>
      <x:c r="M1028" t="n">
        <x:v>0</x:v>
      </x:c>
      <x:c r="N1028" s="26" t="n">
        <x:v>0</x:v>
      </x:c>
      <x:c r="O1028" s="26" t="n">
        <x:v>55.82</x:v>
      </x:c>
      <x:c r="P1028" s="26" t="n">
        <x:v>13.58</x:v>
      </x:c>
      <x:c r="Q1028" s="26" t="n">
        <x:v>25.65</x:v>
      </x:c>
      <x:c r="R1028" s="26" t="n">
        <x:v>31.68</x:v>
      </x:c>
      <x:c r="S1028" s="26" t="n">
        <x:v>311.4</x:v>
      </x:c>
    </x:row>
    <x:row r="1029">
      <x:c r="A1029" t="n">
        <x:v>501026</x:v>
      </x:c>
      <x:c r="B1029" s="24" t="n">
        <x:v>45864</x:v>
      </x:c>
      <x:c r="C1029" t="n">
        <x:v>1045</x:v>
      </x:c>
      <x:c r="D1029" t="str">
        <x:v>Seller 1045</x:v>
      </x:c>
      <x:c r="E1029" t="str">
        <x:v>Silver</x:v>
      </x:c>
      <x:c r="F1029" t="str">
        <x:v>Central</x:v>
      </x:c>
      <x:c r="G1029" t="str">
        <x:v>Beauty</x:v>
      </x:c>
      <x:c r="H1029" t="n">
        <x:v>2</x:v>
      </x:c>
      <x:c r="I1029" s="26" t="n">
        <x:v>832.8000000000001</x:v>
      </x:c>
      <x:c r="J1029" s="26" t="n">
        <x:v>1392</x:v>
      </x:c>
      <x:c r="K1029" s="28" t="n">
        <x:v>0.1426</x:v>
      </x:c>
      <x:c r="L1029" s="26" t="n">
        <x:v>198.5</x:v>
      </x:c>
      <x:c r="M1029" t="n">
        <x:v>0</x:v>
      </x:c>
      <x:c r="N1029" s="26" t="n">
        <x:v>0</x:v>
      </x:c>
      <x:c r="O1029" s="26" t="n">
        <x:v>25.75</x:v>
      </x:c>
      <x:c r="P1029" s="26" t="n">
        <x:v>6.26</x:v>
      </x:c>
      <x:c r="Q1029" s="26" t="n">
        <x:v>11.83</x:v>
      </x:c>
      <x:c r="R1029" s="26" t="n">
        <x:v>14.62</x:v>
      </x:c>
      <x:c r="S1029" s="26" t="n">
        <x:v>140.04</x:v>
      </x:c>
    </x:row>
    <x:row r="1030">
      <x:c r="A1030" t="n">
        <x:v>501027</x:v>
      </x:c>
      <x:c r="B1030" s="24" t="n">
        <x:v>45843</x:v>
      </x:c>
      <x:c r="C1030" t="n">
        <x:v>1063</x:v>
      </x:c>
      <x:c r="D1030" t="str">
        <x:v>Seller 1063</x:v>
      </x:c>
      <x:c r="E1030" t="str">
        <x:v>Bronze</x:v>
      </x:c>
      <x:c r="F1030" t="str">
        <x:v>West</x:v>
      </x:c>
      <x:c r="G1030" t="str">
        <x:v>Pet Supplies</x:v>
      </x:c>
      <x:c r="H1030" t="n">
        <x:v>3</x:v>
      </x:c>
      <x:c r="I1030" s="26" t="n">
        <x:v>1203.6</x:v>
      </x:c>
      <x:c r="J1030" s="26" t="n">
        <x:v>2125.8</x:v>
      </x:c>
      <x:c r="K1030" s="28" t="n">
        <x:v>0.1326</x:v>
      </x:c>
      <x:c r="L1030" s="26" t="n">
        <x:v>281.88</x:v>
      </x:c>
      <x:c r="M1030" t="n">
        <x:v>0</x:v>
      </x:c>
      <x:c r="N1030" s="26" t="n">
        <x:v>0</x:v>
      </x:c>
      <x:c r="O1030" s="26" t="n">
        <x:v>39.33</x:v>
      </x:c>
      <x:c r="P1030" s="26" t="n">
        <x:v>9.57</x:v>
      </x:c>
      <x:c r="Q1030" s="26" t="n">
        <x:v>18.07</x:v>
      </x:c>
      <x:c r="R1030" s="26" t="n">
        <x:v>22.32</x:v>
      </x:c>
      <x:c r="S1030" s="26" t="n">
        <x:v>192.6</x:v>
      </x:c>
    </x:row>
    <x:row r="1031">
      <x:c r="A1031" t="n">
        <x:v>501028</x:v>
      </x:c>
      <x:c r="B1031" s="24" t="n">
        <x:v>45864</x:v>
      </x:c>
      <x:c r="C1031" t="n">
        <x:v>1023</x:v>
      </x:c>
      <x:c r="D1031" t="str">
        <x:v>Seller 1023</x:v>
      </x:c>
      <x:c r="E1031" t="str">
        <x:v>Gold</x:v>
      </x:c>
      <x:c r="F1031" t="str">
        <x:v>Central</x:v>
      </x:c>
      <x:c r="G1031" t="str">
        <x:v>Home &amp; Kitchen</x:v>
      </x:c>
      <x:c r="H1031" t="n">
        <x:v>2</x:v>
      </x:c>
      <x:c r="I1031" s="26" t="n">
        <x:v>2209.2</x:v>
      </x:c>
      <x:c r="J1031" s="26" t="n">
        <x:v>4824.6</x:v>
      </x:c>
      <x:c r="K1031" s="28" t="n">
        <x:v>0.1274</x:v>
      </x:c>
      <x:c r="L1031" s="26" t="n">
        <x:v>614.65</x:v>
      </x:c>
      <x:c r="M1031" t="n">
        <x:v>0</x:v>
      </x:c>
      <x:c r="N1031" s="26" t="n">
        <x:v>0</x:v>
      </x:c>
      <x:c r="O1031" s="26" t="n">
        <x:v>89.26</x:v>
      </x:c>
      <x:c r="P1031" s="26" t="n">
        <x:v>21.71</x:v>
      </x:c>
      <x:c r="Q1031" s="26" t="n">
        <x:v>41.01</x:v>
      </x:c>
      <x:c r="R1031" s="26" t="n">
        <x:v>50.66</x:v>
      </x:c>
      <x:c r="S1031" s="26" t="n">
        <x:v>412.02</x:v>
      </x:c>
    </x:row>
    <x:row r="1032">
      <x:c r="A1032" t="n">
        <x:v>501029</x:v>
      </x:c>
      <x:c r="B1032" s="24" t="n">
        <x:v>45851</x:v>
      </x:c>
      <x:c r="C1032" t="n">
        <x:v>1028</x:v>
      </x:c>
      <x:c r="D1032" t="str">
        <x:v>Seller 1028</x:v>
      </x:c>
      <x:c r="E1032" t="str">
        <x:v>Gold</x:v>
      </x:c>
      <x:c r="F1032" t="str">
        <x:v>Central</x:v>
      </x:c>
      <x:c r="G1032" t="str">
        <x:v>Sports</x:v>
      </x:c>
      <x:c r="H1032" t="n">
        <x:v>3</x:v>
      </x:c>
      <x:c r="I1032" s="26" t="n">
        <x:v>1603.8</x:v>
      </x:c>
      <x:c r="J1032" s="26" t="n">
        <x:v>5254.2</x:v>
      </x:c>
      <x:c r="K1032" s="28" t="n">
        <x:v>0.1342</x:v>
      </x:c>
      <x:c r="L1032" s="26" t="n">
        <x:v>705.11</x:v>
      </x:c>
      <x:c r="M1032" t="n">
        <x:v>0</x:v>
      </x:c>
      <x:c r="N1032" s="26" t="n">
        <x:v>0</x:v>
      </x:c>
      <x:c r="O1032" s="26" t="n">
        <x:v>97.2</x:v>
      </x:c>
      <x:c r="P1032" s="26" t="n">
        <x:v>23.64</x:v>
      </x:c>
      <x:c r="Q1032" s="26" t="n">
        <x:v>44.66</x:v>
      </x:c>
      <x:c r="R1032" s="26" t="n">
        <x:v>55.17</x:v>
      </x:c>
      <x:c r="S1032" s="26" t="n">
        <x:v>484.44</x:v>
      </x:c>
    </x:row>
    <x:row r="1033">
      <x:c r="A1033" t="n">
        <x:v>501030</x:v>
      </x:c>
      <x:c r="B1033" s="24" t="n">
        <x:v>45846</x:v>
      </x:c>
      <x:c r="C1033" t="n">
        <x:v>1057</x:v>
      </x:c>
      <x:c r="D1033" t="str">
        <x:v>Seller 1057</x:v>
      </x:c>
      <x:c r="E1033" t="str">
        <x:v>Bronze</x:v>
      </x:c>
      <x:c r="F1033" t="str">
        <x:v>South</x:v>
      </x:c>
      <x:c r="G1033" t="str">
        <x:v>Electronics</x:v>
      </x:c>
      <x:c r="H1033" t="n">
        <x:v>1</x:v>
      </x:c>
      <x:c r="I1033" s="26" t="n">
        <x:v>7712.4</x:v>
      </x:c>
      <x:c r="J1033" s="26" t="n">
        <x:v>4540.2</x:v>
      </x:c>
      <x:c r="K1033" s="28" t="n">
        <x:v>0.117</x:v>
      </x:c>
      <x:c r="L1033" s="26" t="n">
        <x:v>531.2</x:v>
      </x:c>
      <x:c r="M1033" t="n">
        <x:v>0</x:v>
      </x:c>
      <x:c r="N1033" s="26" t="n">
        <x:v>0</x:v>
      </x:c>
      <x:c r="O1033" s="26" t="n">
        <x:v>83.99</x:v>
      </x:c>
      <x:c r="P1033" s="26" t="n">
        <x:v>20.43</x:v>
      </x:c>
      <x:c r="Q1033" s="26" t="n">
        <x:v>38.59</x:v>
      </x:c>
      <x:c r="R1033" s="26" t="n">
        <x:v>47.67</x:v>
      </x:c>
      <x:c r="S1033" s="26" t="n">
        <x:v>340.51</x:v>
      </x:c>
    </x:row>
    <x:row r="1034">
      <x:c r="A1034" t="n">
        <x:v>501031</x:v>
      </x:c>
      <x:c r="B1034" s="24" t="n">
        <x:v>45862</x:v>
      </x:c>
      <x:c r="C1034" t="n">
        <x:v>1009</x:v>
      </x:c>
      <x:c r="D1034" t="str">
        <x:v>Seller 1009</x:v>
      </x:c>
      <x:c r="E1034" t="str">
        <x:v>Platinum</x:v>
      </x:c>
      <x:c r="F1034" t="str">
        <x:v>Central</x:v>
      </x:c>
      <x:c r="G1034" t="str">
        <x:v>Pet Supplies</x:v>
      </x:c>
      <x:c r="H1034" t="n">
        <x:v>1</x:v>
      </x:c>
      <x:c r="I1034" s="26" t="n">
        <x:v>2974.2</x:v>
      </x:c>
      <x:c r="J1034" s="26" t="n">
        <x:v>4377</x:v>
      </x:c>
      <x:c r="K1034" s="28" t="n">
        <x:v>0.1361</x:v>
      </x:c>
      <x:c r="L1034" s="26" t="n">
        <x:v>595.71</x:v>
      </x:c>
      <x:c r="M1034" t="n">
        <x:v>0</x:v>
      </x:c>
      <x:c r="N1034" s="26" t="n">
        <x:v>0</x:v>
      </x:c>
      <x:c r="O1034" s="26" t="n">
        <x:v>80.97</x:v>
      </x:c>
      <x:c r="P1034" s="26" t="n">
        <x:v>19.7</x:v>
      </x:c>
      <x:c r="Q1034" s="26" t="n">
        <x:v>37.2</x:v>
      </x:c>
      <x:c r="R1034" s="26" t="n">
        <x:v>45.96</x:v>
      </x:c>
      <x:c r="S1034" s="26" t="n">
        <x:v>411.88</x:v>
      </x:c>
    </x:row>
    <x:row r="1035">
      <x:c r="A1035" t="n">
        <x:v>501032</x:v>
      </x:c>
      <x:c r="B1035" s="24" t="n">
        <x:v>45854</x:v>
      </x:c>
      <x:c r="C1035" t="n">
        <x:v>1001</x:v>
      </x:c>
      <x:c r="D1035" t="str">
        <x:v>Seller 1001</x:v>
      </x:c>
      <x:c r="E1035" t="str">
        <x:v>Platinum</x:v>
      </x:c>
      <x:c r="F1035" t="str">
        <x:v>East</x:v>
      </x:c>
      <x:c r="G1035" t="str">
        <x:v>Electronics</x:v>
      </x:c>
      <x:c r="H1035" t="n">
        <x:v>2</x:v>
      </x:c>
      <x:c r="I1035" s="26" t="n">
        <x:v>4152.599999999999</x:v>
      </x:c>
      <x:c r="J1035" s="26" t="n">
        <x:v>12223.2</x:v>
      </x:c>
      <x:c r="K1035" s="28" t="n">
        <x:v>0.1181</x:v>
      </x:c>
      <x:c r="L1035" s="26" t="n">
        <x:v>1443.56</x:v>
      </x:c>
      <x:c r="M1035" t="n">
        <x:v>0</x:v>
      </x:c>
      <x:c r="N1035" s="26" t="n">
        <x:v>0</x:v>
      </x:c>
      <x:c r="O1035" s="26" t="n">
        <x:v>226.13</x:v>
      </x:c>
      <x:c r="P1035" s="26" t="n">
        <x:v>55</x:v>
      </x:c>
      <x:c r="Q1035" s="26" t="n">
        <x:v>103.9</x:v>
      </x:c>
      <x:c r="R1035" s="26" t="n">
        <x:v>128.34</x:v>
      </x:c>
      <x:c r="S1035" s="26" t="n">
        <x:v>930.19</x:v>
      </x:c>
    </x:row>
    <x:row r="1036">
      <x:c r="A1036" t="n">
        <x:v>501033</x:v>
      </x:c>
      <x:c r="B1036" s="24" t="n">
        <x:v>45848</x:v>
      </x:c>
      <x:c r="C1036" t="n">
        <x:v>1035</x:v>
      </x:c>
      <x:c r="D1036" t="str">
        <x:v>Seller 1035</x:v>
      </x:c>
      <x:c r="E1036" t="str">
        <x:v>Silver</x:v>
      </x:c>
      <x:c r="F1036" t="str">
        <x:v>East</x:v>
      </x:c>
      <x:c r="G1036" t="str">
        <x:v>Apparel</x:v>
      </x:c>
      <x:c r="H1036" t="n">
        <x:v>2</x:v>
      </x:c>
      <x:c r="I1036" s="26" t="n">
        <x:v>1501.8000000000002</x:v>
      </x:c>
      <x:c r="J1036" s="26" t="n">
        <x:v>2509.8</x:v>
      </x:c>
      <x:c r="K1036" s="28" t="n">
        <x:v>0.1161</x:v>
      </x:c>
      <x:c r="L1036" s="26" t="n">
        <x:v>291.39</x:v>
      </x:c>
      <x:c r="M1036" t="n">
        <x:v>0</x:v>
      </x:c>
      <x:c r="N1036" s="26" t="n">
        <x:v>0</x:v>
      </x:c>
      <x:c r="O1036" s="26" t="n">
        <x:v>46.43</x:v>
      </x:c>
      <x:c r="P1036" s="26" t="n">
        <x:v>11.29</x:v>
      </x:c>
      <x:c r="Q1036" s="26" t="n">
        <x:v>21.33</x:v>
      </x:c>
      <x:c r="R1036" s="26" t="n">
        <x:v>26.35</x:v>
      </x:c>
      <x:c r="S1036" s="26" t="n">
        <x:v>185.98</x:v>
      </x:c>
    </x:row>
    <x:row r="1037">
      <x:c r="A1037" t="n">
        <x:v>501034</x:v>
      </x:c>
      <x:c r="B1037" s="24" t="n">
        <x:v>45838</x:v>
      </x:c>
      <x:c r="C1037" t="n">
        <x:v>1031</x:v>
      </x:c>
      <x:c r="D1037" t="str">
        <x:v>Seller 1031</x:v>
      </x:c>
      <x:c r="E1037" t="str">
        <x:v>Silver</x:v>
      </x:c>
      <x:c r="F1037" t="str">
        <x:v>West</x:v>
      </x:c>
      <x:c r="G1037" t="str">
        <x:v>Pet Supplies</x:v>
      </x:c>
      <x:c r="H1037" t="n">
        <x:v>1</x:v>
      </x:c>
      <x:c r="I1037" s="26" t="n">
        <x:v>3324</x:v>
      </x:c>
      <x:c r="J1037" s="26" t="n">
        <x:v>2777.4</x:v>
      </x:c>
      <x:c r="K1037" s="28" t="n">
        <x:v>0.1434</x:v>
      </x:c>
      <x:c r="L1037" s="26" t="n">
        <x:v>398.28</x:v>
      </x:c>
      <x:c r="M1037" t="n">
        <x:v>0</x:v>
      </x:c>
      <x:c r="N1037" s="26" t="n">
        <x:v>0</x:v>
      </x:c>
      <x:c r="O1037" s="26" t="n">
        <x:v>51.38</x:v>
      </x:c>
      <x:c r="P1037" s="26" t="n">
        <x:v>12.5</x:v>
      </x:c>
      <x:c r="Q1037" s="26" t="n">
        <x:v>23.61</x:v>
      </x:c>
      <x:c r="R1037" s="26" t="n">
        <x:v>29.16</x:v>
      </x:c>
      <x:c r="S1037" s="26" t="n">
        <x:v>281.63</x:v>
      </x:c>
    </x:row>
    <x:row r="1038">
      <x:c r="A1038" t="n">
        <x:v>501035</x:v>
      </x:c>
      <x:c r="B1038" s="24" t="n">
        <x:v>45846</x:v>
      </x:c>
      <x:c r="C1038" t="n">
        <x:v>1059</x:v>
      </x:c>
      <x:c r="D1038" t="str">
        <x:v>Seller 1059</x:v>
      </x:c>
      <x:c r="E1038" t="str">
        <x:v>Bronze</x:v>
      </x:c>
      <x:c r="F1038" t="str">
        <x:v>Central</x:v>
      </x:c>
      <x:c r="G1038" t="str">
        <x:v>Apparel</x:v>
      </x:c>
      <x:c r="H1038" t="n">
        <x:v>2</x:v>
      </x:c>
      <x:c r="I1038" s="26" t="n">
        <x:v>1285.2</x:v>
      </x:c>
      <x:c r="J1038" s="26" t="n">
        <x:v>1513.2</x:v>
      </x:c>
      <x:c r="K1038" s="28" t="n">
        <x:v>0.1113</x:v>
      </x:c>
      <x:c r="L1038" s="26" t="n">
        <x:v>168.42</x:v>
      </x:c>
      <x:c r="M1038" t="n">
        <x:v>0</x:v>
      </x:c>
      <x:c r="N1038" s="26" t="n">
        <x:v>0</x:v>
      </x:c>
      <x:c r="O1038" s="26" t="n">
        <x:v>27.99</x:v>
      </x:c>
      <x:c r="P1038" s="26" t="n">
        <x:v>6.81</x:v>
      </x:c>
      <x:c r="Q1038" s="26" t="n">
        <x:v>12.86</x:v>
      </x:c>
      <x:c r="R1038" s="26" t="n">
        <x:v>15.89</x:v>
      </x:c>
      <x:c r="S1038" s="26" t="n">
        <x:v>104.86</x:v>
      </x:c>
    </x:row>
    <x:row r="1039">
      <x:c r="A1039" t="n">
        <x:v>501036</x:v>
      </x:c>
      <x:c r="B1039" s="24" t="n">
        <x:v>45858</x:v>
      </x:c>
      <x:c r="C1039" t="n">
        <x:v>1032</x:v>
      </x:c>
      <x:c r="D1039" t="str">
        <x:v>Seller 1032</x:v>
      </x:c>
      <x:c r="E1039" t="str">
        <x:v>Silver</x:v>
      </x:c>
      <x:c r="F1039" t="str">
        <x:v>West</x:v>
      </x:c>
      <x:c r="G1039" t="str">
        <x:v>Pet Supplies</x:v>
      </x:c>
      <x:c r="H1039" t="n">
        <x:v>1</x:v>
      </x:c>
      <x:c r="I1039" s="26" t="n">
        <x:v>2872.2</x:v>
      </x:c>
      <x:c r="J1039" s="26" t="n">
        <x:v>2400</x:v>
      </x:c>
      <x:c r="K1039" s="28" t="n">
        <x:v>0.1314</x:v>
      </x:c>
      <x:c r="L1039" s="26" t="n">
        <x:v>315.36</x:v>
      </x:c>
      <x:c r="M1039" t="n">
        <x:v>0</x:v>
      </x:c>
      <x:c r="N1039" s="26" t="n">
        <x:v>0</x:v>
      </x:c>
      <x:c r="O1039" s="26" t="n">
        <x:v>44.4</x:v>
      </x:c>
      <x:c r="P1039" s="26" t="n">
        <x:v>10.8</x:v>
      </x:c>
      <x:c r="Q1039" s="26" t="n">
        <x:v>20.4</x:v>
      </x:c>
      <x:c r="R1039" s="26" t="n">
        <x:v>25.2</x:v>
      </x:c>
      <x:c r="S1039" s="26" t="n">
        <x:v>214.56</x:v>
      </x:c>
    </x:row>
    <x:row r="1040">
      <x:c r="A1040" t="n">
        <x:v>501037</x:v>
      </x:c>
      <x:c r="B1040" s="24" t="n">
        <x:v>45857</x:v>
      </x:c>
      <x:c r="C1040" t="n">
        <x:v>1042</x:v>
      </x:c>
      <x:c r="D1040" t="str">
        <x:v>Seller 1042</x:v>
      </x:c>
      <x:c r="E1040" t="str">
        <x:v>Silver</x:v>
      </x:c>
      <x:c r="F1040" t="str">
        <x:v>East</x:v>
      </x:c>
      <x:c r="G1040" t="str">
        <x:v>Pet Supplies</x:v>
      </x:c>
      <x:c r="H1040" t="n">
        <x:v>2</x:v>
      </x:c>
      <x:c r="I1040" s="26" t="n">
        <x:v>1618.8</x:v>
      </x:c>
      <x:c r="J1040" s="26" t="n">
        <x:v>2705.4</x:v>
      </x:c>
      <x:c r="K1040" s="28" t="n">
        <x:v>0.1394</x:v>
      </x:c>
      <x:c r="L1040" s="26" t="n">
        <x:v>377.13</x:v>
      </x:c>
      <x:c r="M1040" t="n">
        <x:v>0</x:v>
      </x:c>
      <x:c r="N1040" s="26" t="n">
        <x:v>0</x:v>
      </x:c>
      <x:c r="O1040" s="26" t="n">
        <x:v>50.05</x:v>
      </x:c>
      <x:c r="P1040" s="26" t="n">
        <x:v>12.17</x:v>
      </x:c>
      <x:c r="Q1040" s="26" t="n">
        <x:v>23</x:v>
      </x:c>
      <x:c r="R1040" s="26" t="n">
        <x:v>28.41</x:v>
      </x:c>
      <x:c r="S1040" s="26" t="n">
        <x:v>263.51</x:v>
      </x:c>
    </x:row>
    <x:row r="1041">
      <x:c r="A1041" t="n">
        <x:v>501038</x:v>
      </x:c>
      <x:c r="B1041" s="24" t="n">
        <x:v>45859</x:v>
      </x:c>
      <x:c r="C1041" t="n">
        <x:v>1063</x:v>
      </x:c>
      <x:c r="D1041" t="str">
        <x:v>Seller 1063</x:v>
      </x:c>
      <x:c r="E1041" t="str">
        <x:v>Bronze</x:v>
      </x:c>
      <x:c r="F1041" t="str">
        <x:v>West</x:v>
      </x:c>
      <x:c r="G1041" t="str">
        <x:v>Pet Supplies</x:v>
      </x:c>
      <x:c r="H1041" t="n">
        <x:v>2</x:v>
      </x:c>
      <x:c r="I1041" s="26" t="n">
        <x:v>1493.4</x:v>
      </x:c>
      <x:c r="J1041" s="26" t="n">
        <x:v>1758</x:v>
      </x:c>
      <x:c r="K1041" s="28" t="n">
        <x:v>0.1303</x:v>
      </x:c>
      <x:c r="L1041" s="26" t="n">
        <x:v>229.07</x:v>
      </x:c>
      <x:c r="M1041" t="n">
        <x:v>0</x:v>
      </x:c>
      <x:c r="N1041" s="26" t="n">
        <x:v>0</x:v>
      </x:c>
      <x:c r="O1041" s="26" t="n">
        <x:v>32.52</x:v>
      </x:c>
      <x:c r="P1041" s="26" t="n">
        <x:v>7.91</x:v>
      </x:c>
      <x:c r="Q1041" s="26" t="n">
        <x:v>14.94</x:v>
      </x:c>
      <x:c r="R1041" s="26" t="n">
        <x:v>18.46</x:v>
      </x:c>
      <x:c r="S1041" s="26" t="n">
        <x:v>155.23</x:v>
      </x:c>
    </x:row>
    <x:row r="1042">
      <x:c r="A1042" t="n">
        <x:v>501039</x:v>
      </x:c>
      <x:c r="B1042" s="24" t="n">
        <x:v>45865</x:v>
      </x:c>
      <x:c r="C1042" t="n">
        <x:v>1013</x:v>
      </x:c>
      <x:c r="D1042" t="str">
        <x:v>Seller 1013</x:v>
      </x:c>
      <x:c r="E1042" t="str">
        <x:v>Gold</x:v>
      </x:c>
      <x:c r="F1042" t="str">
        <x:v>West</x:v>
      </x:c>
      <x:c r="G1042" t="str">
        <x:v>Electronics</x:v>
      </x:c>
      <x:c r="H1042" t="n">
        <x:v>2</x:v>
      </x:c>
      <x:c r="I1042" s="26" t="n">
        <x:v>4791</x:v>
      </x:c>
      <x:c r="J1042" s="26" t="n">
        <x:v>10463.4</x:v>
      </x:c>
      <x:c r="K1042" s="28" t="n">
        <x:v>0.1164</x:v>
      </x:c>
      <x:c r="L1042" s="26" t="n">
        <x:v>1217.94</x:v>
      </x:c>
      <x:c r="M1042" t="n">
        <x:v>0</x:v>
      </x:c>
      <x:c r="N1042" s="26" t="n">
        <x:v>0</x:v>
      </x:c>
      <x:c r="O1042" s="26" t="n">
        <x:v>193.57</x:v>
      </x:c>
      <x:c r="P1042" s="26" t="n">
        <x:v>47.09</x:v>
      </x:c>
      <x:c r="Q1042" s="26" t="n">
        <x:v>88.94</x:v>
      </x:c>
      <x:c r="R1042" s="26" t="n">
        <x:v>109.87</x:v>
      </x:c>
      <x:c r="S1042" s="26" t="n">
        <x:v>778.48</x:v>
      </x:c>
    </x:row>
    <x:row r="1043">
      <x:c r="A1043" t="n">
        <x:v>501040</x:v>
      </x:c>
      <x:c r="B1043" s="24" t="n">
        <x:v>45852</x:v>
      </x:c>
      <x:c r="C1043" t="n">
        <x:v>1065</x:v>
      </x:c>
      <x:c r="D1043" t="str">
        <x:v>Seller 1065</x:v>
      </x:c>
      <x:c r="E1043" t="str">
        <x:v>Bronze</x:v>
      </x:c>
      <x:c r="F1043" t="str">
        <x:v>South</x:v>
      </x:c>
      <x:c r="G1043" t="str">
        <x:v>Home &amp; Kitchen</x:v>
      </x:c>
      <x:c r="H1043" t="n">
        <x:v>2</x:v>
      </x:c>
      <x:c r="I1043" s="26" t="n">
        <x:v>2462.4</x:v>
      </x:c>
      <x:c r="J1043" s="26" t="n">
        <x:v>2899.2</x:v>
      </x:c>
      <x:c r="K1043" s="28" t="n">
        <x:v>0.143</x:v>
      </x:c>
      <x:c r="L1043" s="26" t="n">
        <x:v>414.59</x:v>
      </x:c>
      <x:c r="M1043" t="n">
        <x:v>0</x:v>
      </x:c>
      <x:c r="N1043" s="26" t="n">
        <x:v>0</x:v>
      </x:c>
      <x:c r="O1043" s="26" t="n">
        <x:v>53.64</x:v>
      </x:c>
      <x:c r="P1043" s="26" t="n">
        <x:v>13.05</x:v>
      </x:c>
      <x:c r="Q1043" s="26" t="n">
        <x:v>24.64</x:v>
      </x:c>
      <x:c r="R1043" s="26" t="n">
        <x:v>30.44</x:v>
      </x:c>
      <x:c r="S1043" s="26" t="n">
        <x:v>292.82</x:v>
      </x:c>
    </x:row>
    <x:row r="1044">
      <x:c r="A1044" t="n">
        <x:v>501041</x:v>
      </x:c>
      <x:c r="B1044" s="24" t="n">
        <x:v>45860</x:v>
      </x:c>
      <x:c r="C1044" t="n">
        <x:v>1022</x:v>
      </x:c>
      <x:c r="D1044" t="str">
        <x:v>Seller 1022</x:v>
      </x:c>
      <x:c r="E1044" t="str">
        <x:v>Gold</x:v>
      </x:c>
      <x:c r="F1044" t="str">
        <x:v>East</x:v>
      </x:c>
      <x:c r="G1044" t="str">
        <x:v>Electronics</x:v>
      </x:c>
      <x:c r="H1044" t="n">
        <x:v>1</x:v>
      </x:c>
      <x:c r="I1044" s="26" t="n">
        <x:v>8797.2</x:v>
      </x:c>
      <x:c r="J1044" s="26" t="n">
        <x:v>9606</x:v>
      </x:c>
      <x:c r="K1044" s="28" t="n">
        <x:v>0.1188</x:v>
      </x:c>
      <x:c r="L1044" s="26" t="n">
        <x:v>1141.19</x:v>
      </x:c>
      <x:c r="M1044" t="n">
        <x:v>0</x:v>
      </x:c>
      <x:c r="N1044" s="26" t="n">
        <x:v>0</x:v>
      </x:c>
      <x:c r="O1044" s="26" t="n">
        <x:v>177.71</x:v>
      </x:c>
      <x:c r="P1044" s="26" t="n">
        <x:v>43.23</x:v>
      </x:c>
      <x:c r="Q1044" s="26" t="n">
        <x:v>81.65</x:v>
      </x:c>
      <x:c r="R1044" s="26" t="n">
        <x:v>100.86</x:v>
      </x:c>
      <x:c r="S1044" s="26" t="n">
        <x:v>737.74</x:v>
      </x:c>
    </x:row>
    <x:row r="1045">
      <x:c r="A1045" t="n">
        <x:v>501042</x:v>
      </x:c>
      <x:c r="B1045" s="24" t="n">
        <x:v>45846</x:v>
      </x:c>
      <x:c r="C1045" t="n">
        <x:v>1012</x:v>
      </x:c>
      <x:c r="D1045" t="str">
        <x:v>Seller 1012</x:v>
      </x:c>
      <x:c r="E1045" t="str">
        <x:v>Platinum</x:v>
      </x:c>
      <x:c r="F1045" t="str">
        <x:v>East</x:v>
      </x:c>
      <x:c r="G1045" t="str">
        <x:v>Beauty</x:v>
      </x:c>
      <x:c r="H1045" t="n">
        <x:v>2</x:v>
      </x:c>
      <x:c r="I1045" s="26" t="n">
        <x:v>1317.6000000000001</x:v>
      </x:c>
      <x:c r="J1045" s="26" t="n">
        <x:v>3879</x:v>
      </x:c>
      <x:c r="K1045" s="28" t="n">
        <x:v>0.1553</x:v>
      </x:c>
      <x:c r="L1045" s="26" t="n">
        <x:v>602.41</x:v>
      </x:c>
      <x:c r="M1045" t="n">
        <x:v>0</x:v>
      </x:c>
      <x:c r="N1045" s="26" t="n">
        <x:v>0</x:v>
      </x:c>
      <x:c r="O1045" s="26" t="n">
        <x:v>71.76</x:v>
      </x:c>
      <x:c r="P1045" s="26" t="n">
        <x:v>17.46</x:v>
      </x:c>
      <x:c r="Q1045" s="26" t="n">
        <x:v>32.97</x:v>
      </x:c>
      <x:c r="R1045" s="26" t="n">
        <x:v>40.73</x:v>
      </x:c>
      <x:c r="S1045" s="26" t="n">
        <x:v>439.49</x:v>
      </x:c>
    </x:row>
    <x:row r="1046">
      <x:c r="A1046" t="n">
        <x:v>501043</x:v>
      </x:c>
      <x:c r="B1046" s="24" t="n">
        <x:v>45858</x:v>
      </x:c>
      <x:c r="C1046" t="n">
        <x:v>1029</x:v>
      </x:c>
      <x:c r="D1046" t="str">
        <x:v>Seller 1029</x:v>
      </x:c>
      <x:c r="E1046" t="str">
        <x:v>Gold</x:v>
      </x:c>
      <x:c r="F1046" t="str">
        <x:v>West</x:v>
      </x:c>
      <x:c r="G1046" t="str">
        <x:v>Home &amp; Kitchen</x:v>
      </x:c>
      <x:c r="H1046" t="n">
        <x:v>1</x:v>
      </x:c>
      <x:c r="I1046" s="26" t="n">
        <x:v>4083.6000000000004</x:v>
      </x:c>
      <x:c r="J1046" s="26" t="n">
        <x:v>4459.2</x:v>
      </x:c>
      <x:c r="K1046" s="28" t="n">
        <x:v>0.1391</x:v>
      </x:c>
      <x:c r="L1046" s="26" t="n">
        <x:v>620.27</x:v>
      </x:c>
      <x:c r="M1046" t="n">
        <x:v>0</x:v>
      </x:c>
      <x:c r="N1046" s="26" t="n">
        <x:v>0</x:v>
      </x:c>
      <x:c r="O1046" s="26" t="n">
        <x:v>82.5</x:v>
      </x:c>
      <x:c r="P1046" s="26" t="n">
        <x:v>20.07</x:v>
      </x:c>
      <x:c r="Q1046" s="26" t="n">
        <x:v>37.9</x:v>
      </x:c>
      <x:c r="R1046" s="26" t="n">
        <x:v>46.82</x:v>
      </x:c>
      <x:c r="S1046" s="26" t="n">
        <x:v>432.99</x:v>
      </x:c>
    </x:row>
    <x:row r="1047">
      <x:c r="A1047" t="n">
        <x:v>501044</x:v>
      </x:c>
      <x:c r="B1047" s="24" t="n">
        <x:v>45858</x:v>
      </x:c>
      <x:c r="C1047" t="n">
        <x:v>1063</x:v>
      </x:c>
      <x:c r="D1047" t="str">
        <x:v>Seller 1063</x:v>
      </x:c>
      <x:c r="E1047" t="str">
        <x:v>Bronze</x:v>
      </x:c>
      <x:c r="F1047" t="str">
        <x:v>West</x:v>
      </x:c>
      <x:c r="G1047" t="str">
        <x:v>Pet Supplies</x:v>
      </x:c>
      <x:c r="H1047" t="n">
        <x:v>1</x:v>
      </x:c>
      <x:c r="I1047" s="26" t="n">
        <x:v>2647.2</x:v>
      </x:c>
      <x:c r="J1047" s="26" t="n">
        <x:v>1558.8</x:v>
      </x:c>
      <x:c r="K1047" s="28" t="n">
        <x:v>0.1424</x:v>
      </x:c>
      <x:c r="L1047" s="26" t="n">
        <x:v>221.97</x:v>
      </x:c>
      <x:c r="M1047" t="n">
        <x:v>0</x:v>
      </x:c>
      <x:c r="N1047" s="26" t="n">
        <x:v>0</x:v>
      </x:c>
      <x:c r="O1047" s="26" t="n">
        <x:v>28.84</x:v>
      </x:c>
      <x:c r="P1047" s="26" t="n">
        <x:v>7.01</x:v>
      </x:c>
      <x:c r="Q1047" s="26" t="n">
        <x:v>13.25</x:v>
      </x:c>
      <x:c r="R1047" s="26" t="n">
        <x:v>16.37</x:v>
      </x:c>
      <x:c r="S1047" s="26" t="n">
        <x:v>156.5</x:v>
      </x:c>
    </x:row>
    <x:row r="1048">
      <x:c r="A1048" t="n">
        <x:v>501045</x:v>
      </x:c>
      <x:c r="B1048" s="24" t="n">
        <x:v>45865</x:v>
      </x:c>
      <x:c r="C1048" t="n">
        <x:v>1044</x:v>
      </x:c>
      <x:c r="D1048" t="str">
        <x:v>Seller 1044</x:v>
      </x:c>
      <x:c r="E1048" t="str">
        <x:v>Silver</x:v>
      </x:c>
      <x:c r="F1048" t="str">
        <x:v>East</x:v>
      </x:c>
      <x:c r="G1048" t="str">
        <x:v>Pet Supplies</x:v>
      </x:c>
      <x:c r="H1048" t="n">
        <x:v>2</x:v>
      </x:c>
      <x:c r="I1048" s="26" t="n">
        <x:v>1161</x:v>
      </x:c>
      <x:c r="J1048" s="26" t="n">
        <x:v>1940.4</x:v>
      </x:c>
      <x:c r="K1048" s="28" t="n">
        <x:v>0.1292</x:v>
      </x:c>
      <x:c r="L1048" s="26" t="n">
        <x:v>250.7</x:v>
      </x:c>
      <x:c r="M1048" t="n">
        <x:v>0</x:v>
      </x:c>
      <x:c r="N1048" s="26" t="n">
        <x:v>0</x:v>
      </x:c>
      <x:c r="O1048" s="26" t="n">
        <x:v>35.9</x:v>
      </x:c>
      <x:c r="P1048" s="26" t="n">
        <x:v>8.73</x:v>
      </x:c>
      <x:c r="Q1048" s="26" t="n">
        <x:v>16.49</x:v>
      </x:c>
      <x:c r="R1048" s="26" t="n">
        <x:v>20.37</x:v>
      </x:c>
      <x:c r="S1048" s="26" t="n">
        <x:v>169.2</x:v>
      </x:c>
    </x:row>
    <x:row r="1049">
      <x:c r="A1049" t="n">
        <x:v>501046</x:v>
      </x:c>
      <x:c r="B1049" s="24" t="n">
        <x:v>45844</x:v>
      </x:c>
      <x:c r="C1049" t="n">
        <x:v>1056</x:v>
      </x:c>
      <x:c r="D1049" t="str">
        <x:v>Seller 1056</x:v>
      </x:c>
      <x:c r="E1049" t="str">
        <x:v>Bronze</x:v>
      </x:c>
      <x:c r="F1049" t="str">
        <x:v>West</x:v>
      </x:c>
      <x:c r="G1049" t="str">
        <x:v>Home &amp; Kitchen</x:v>
      </x:c>
      <x:c r="H1049" t="n">
        <x:v>2</x:v>
      </x:c>
      <x:c r="I1049" s="26" t="n">
        <x:v>2785.8</x:v>
      </x:c>
      <x:c r="J1049" s="26" t="n">
        <x:v>3280.2</x:v>
      </x:c>
      <x:c r="K1049" s="28" t="n">
        <x:v>0.1257</x:v>
      </x:c>
      <x:c r="L1049" s="26" t="n">
        <x:v>412.32</x:v>
      </x:c>
      <x:c r="M1049" t="n">
        <x:v>0</x:v>
      </x:c>
      <x:c r="N1049" s="26" t="n">
        <x:v>0</x:v>
      </x:c>
      <x:c r="O1049" s="26" t="n">
        <x:v>60.68</x:v>
      </x:c>
      <x:c r="P1049" s="26" t="n">
        <x:v>14.76</x:v>
      </x:c>
      <x:c r="Q1049" s="26" t="n">
        <x:v>27.88</x:v>
      </x:c>
      <x:c r="R1049" s="26" t="n">
        <x:v>34.44</x:v>
      </x:c>
      <x:c r="S1049" s="26" t="n">
        <x:v>274.55</x:v>
      </x:c>
    </x:row>
    <x:row r="1050">
      <x:c r="A1050" t="n">
        <x:v>501047</x:v>
      </x:c>
      <x:c r="B1050" s="24" t="n">
        <x:v>45856</x:v>
      </x:c>
      <x:c r="C1050" t="n">
        <x:v>1015</x:v>
      </x:c>
      <x:c r="D1050" t="str">
        <x:v>Seller 1015</x:v>
      </x:c>
      <x:c r="E1050" t="str">
        <x:v>Gold</x:v>
      </x:c>
      <x:c r="F1050" t="str">
        <x:v>West</x:v>
      </x:c>
      <x:c r="G1050" t="str">
        <x:v>Pet Supplies</x:v>
      </x:c>
      <x:c r="H1050" t="n">
        <x:v>3</x:v>
      </x:c>
      <x:c r="I1050" s="26" t="n">
        <x:v>1195.2</x:v>
      </x:c>
      <x:c r="J1050" s="26" t="n">
        <x:v>3915.6</x:v>
      </x:c>
      <x:c r="K1050" s="28" t="n">
        <x:v>0.1291</x:v>
      </x:c>
      <x:c r="L1050" s="26" t="n">
        <x:v>505.5</x:v>
      </x:c>
      <x:c r="M1050" t="n">
        <x:v>0</x:v>
      </x:c>
      <x:c r="N1050" s="26" t="n">
        <x:v>0</x:v>
      </x:c>
      <x:c r="O1050" s="26" t="n">
        <x:v>72.44</x:v>
      </x:c>
      <x:c r="P1050" s="26" t="n">
        <x:v>17.62</x:v>
      </x:c>
      <x:c r="Q1050" s="26" t="n">
        <x:v>33.28</x:v>
      </x:c>
      <x:c r="R1050" s="26" t="n">
        <x:v>41.11</x:v>
      </x:c>
      <x:c r="S1050" s="26" t="n">
        <x:v>341.05</x:v>
      </x:c>
    </x:row>
    <x:row r="1051">
      <x:c r="A1051" t="n">
        <x:v>501048</x:v>
      </x:c>
      <x:c r="B1051" s="24" t="n">
        <x:v>45842</x:v>
      </x:c>
      <x:c r="C1051" t="n">
        <x:v>1069</x:v>
      </x:c>
      <x:c r="D1051" t="str">
        <x:v>Seller 1069</x:v>
      </x:c>
      <x:c r="E1051" t="str">
        <x:v>Bronze</x:v>
      </x:c>
      <x:c r="F1051" t="str">
        <x:v>East</x:v>
      </x:c>
      <x:c r="G1051" t="str">
        <x:v>Electronics</x:v>
      </x:c>
      <x:c r="H1051" t="n">
        <x:v>1</x:v>
      </x:c>
      <x:c r="I1051" s="26" t="n">
        <x:v>9172.2</x:v>
      </x:c>
      <x:c r="J1051" s="26" t="n">
        <x:v>5399.4</x:v>
      </x:c>
      <x:c r="K1051" s="28" t="n">
        <x:v>0.1315</x:v>
      </x:c>
      <x:c r="L1051" s="26" t="n">
        <x:v>710.02</x:v>
      </x:c>
      <x:c r="M1051" t="n">
        <x:v>0</x:v>
      </x:c>
      <x:c r="N1051" s="26" t="n">
        <x:v>0</x:v>
      </x:c>
      <x:c r="O1051" s="26" t="n">
        <x:v>99.89</x:v>
      </x:c>
      <x:c r="P1051" s="26" t="n">
        <x:v>24.3</x:v>
      </x:c>
      <x:c r="Q1051" s="26" t="n">
        <x:v>45.89</x:v>
      </x:c>
      <x:c r="R1051" s="26" t="n">
        <x:v>56.69</x:v>
      </x:c>
      <x:c r="S1051" s="26" t="n">
        <x:v>483.25</x:v>
      </x:c>
    </x:row>
    <x:row r="1052">
      <x:c r="A1052" t="n">
        <x:v>501049</x:v>
      </x:c>
      <x:c r="B1052" s="24" t="n">
        <x:v>45864</x:v>
      </x:c>
      <x:c r="C1052" t="n">
        <x:v>1067</x:v>
      </x:c>
      <x:c r="D1052" t="str">
        <x:v>Seller 1067</x:v>
      </x:c>
      <x:c r="E1052" t="str">
        <x:v>Bronze</x:v>
      </x:c>
      <x:c r="F1052" t="str">
        <x:v>South</x:v>
      </x:c>
      <x:c r="G1052" t="str">
        <x:v>Beauty</x:v>
      </x:c>
      <x:c r="H1052" t="n">
        <x:v>2</x:v>
      </x:c>
      <x:c r="I1052" s="26" t="n">
        <x:v>1266</x:v>
      </x:c>
      <x:c r="J1052" s="26" t="n">
        <x:v>1490.4</x:v>
      </x:c>
      <x:c r="K1052" s="28" t="n">
        <x:v>0.1332</x:v>
      </x:c>
      <x:c r="L1052" s="26" t="n">
        <x:v>198.52</x:v>
      </x:c>
      <x:c r="M1052" t="n">
        <x:v>0</x:v>
      </x:c>
      <x:c r="N1052" s="26" t="n">
        <x:v>0</x:v>
      </x:c>
      <x:c r="O1052" s="26" t="n">
        <x:v>27.57</x:v>
      </x:c>
      <x:c r="P1052" s="26" t="n">
        <x:v>6.71</x:v>
      </x:c>
      <x:c r="Q1052" s="26" t="n">
        <x:v>12.67</x:v>
      </x:c>
      <x:c r="R1052" s="26" t="n">
        <x:v>15.65</x:v>
      </x:c>
      <x:c r="S1052" s="26" t="n">
        <x:v>135.92</x:v>
      </x:c>
    </x:row>
    <x:row r="1053">
      <x:c r="A1053" t="n">
        <x:v>501050</x:v>
      </x:c>
      <x:c r="B1053" s="24" t="n">
        <x:v>45864</x:v>
      </x:c>
      <x:c r="C1053" t="n">
        <x:v>1038</x:v>
      </x:c>
      <x:c r="D1053" t="str">
        <x:v>Seller 1038</x:v>
      </x:c>
      <x:c r="E1053" t="str">
        <x:v>Silver</x:v>
      </x:c>
      <x:c r="F1053" t="str">
        <x:v>South</x:v>
      </x:c>
      <x:c r="G1053" t="str">
        <x:v>Apparel</x:v>
      </x:c>
      <x:c r="H1053" t="n">
        <x:v>2</x:v>
      </x:c>
      <x:c r="I1053" s="26" t="n">
        <x:v>1762.8</x:v>
      </x:c>
      <x:c r="J1053" s="26" t="n">
        <x:v>2946</x:v>
      </x:c>
      <x:c r="K1053" s="28" t="n">
        <x:v>0.1148</x:v>
      </x:c>
      <x:c r="L1053" s="26" t="n">
        <x:v>338.2</x:v>
      </x:c>
      <x:c r="M1053" t="n">
        <x:v>0</x:v>
      </x:c>
      <x:c r="N1053" s="26" t="n">
        <x:v>0</x:v>
      </x:c>
      <x:c r="O1053" s="26" t="n">
        <x:v>54.5</x:v>
      </x:c>
      <x:c r="P1053" s="26" t="n">
        <x:v>13.26</x:v>
      </x:c>
      <x:c r="Q1053" s="26" t="n">
        <x:v>25.04</x:v>
      </x:c>
      <x:c r="R1053" s="26" t="n">
        <x:v>30.93</x:v>
      </x:c>
      <x:c r="S1053" s="26" t="n">
        <x:v>214.47</x:v>
      </x:c>
    </x:row>
    <x:row r="1054">
      <x:c r="A1054" t="n">
        <x:v>501051</x:v>
      </x:c>
      <x:c r="B1054" s="24" t="n">
        <x:v>45853</x:v>
      </x:c>
      <x:c r="C1054" t="n">
        <x:v>1005</x:v>
      </x:c>
      <x:c r="D1054" t="str">
        <x:v>Seller 1005</x:v>
      </x:c>
      <x:c r="E1054" t="str">
        <x:v>Platinum</x:v>
      </x:c>
      <x:c r="F1054" t="str">
        <x:v>East</x:v>
      </x:c>
      <x:c r="G1054" t="str">
        <x:v>Electronics</x:v>
      </x:c>
      <x:c r="H1054" t="n">
        <x:v>1</x:v>
      </x:c>
      <x:c r="I1054" s="26" t="n">
        <x:v>10676.4</x:v>
      </x:c>
      <x:c r="J1054" s="26" t="n">
        <x:v>15712.8</x:v>
      </x:c>
      <x:c r="K1054" s="28" t="n">
        <x:v>0.116</x:v>
      </x:c>
      <x:c r="L1054" s="26" t="n">
        <x:v>1822.68</x:v>
      </x:c>
      <x:c r="M1054" t="n">
        <x:v>0</x:v>
      </x:c>
      <x:c r="N1054" s="26" t="n">
        <x:v>0</x:v>
      </x:c>
      <x:c r="O1054" s="26" t="n">
        <x:v>290.69</x:v>
      </x:c>
      <x:c r="P1054" s="26" t="n">
        <x:v>70.71</x:v>
      </x:c>
      <x:c r="Q1054" s="26" t="n">
        <x:v>133.56</x:v>
      </x:c>
      <x:c r="R1054" s="26" t="n">
        <x:v>164.98</x:v>
      </x:c>
      <x:c r="S1054" s="26" t="n">
        <x:v>1162.75</x:v>
      </x:c>
    </x:row>
    <x:row r="1055">
      <x:c r="A1055" t="n">
        <x:v>501052</x:v>
      </x:c>
      <x:c r="B1055" s="24" t="n">
        <x:v>45844</x:v>
      </x:c>
      <x:c r="C1055" t="n">
        <x:v>1028</x:v>
      </x:c>
      <x:c r="D1055" t="str">
        <x:v>Seller 1028</x:v>
      </x:c>
      <x:c r="E1055" t="str">
        <x:v>Gold</x:v>
      </x:c>
      <x:c r="F1055" t="str">
        <x:v>Central</x:v>
      </x:c>
      <x:c r="G1055" t="str">
        <x:v>Sports</x:v>
      </x:c>
      <x:c r="H1055" t="n">
        <x:v>2</x:v>
      </x:c>
      <x:c r="I1055" s="26" t="n">
        <x:v>1939.8</x:v>
      </x:c>
      <x:c r="J1055" s="26" t="n">
        <x:v>4236.6</x:v>
      </x:c>
      <x:c r="K1055" s="28" t="n">
        <x:v>0.1395</x:v>
      </x:c>
      <x:c r="L1055" s="26" t="n">
        <x:v>591.01</x:v>
      </x:c>
      <x:c r="M1055" t="n">
        <x:v>0</x:v>
      </x:c>
      <x:c r="N1055" s="26" t="n">
        <x:v>0</x:v>
      </x:c>
      <x:c r="O1055" s="26" t="n">
        <x:v>78.38</x:v>
      </x:c>
      <x:c r="P1055" s="26" t="n">
        <x:v>19.06</x:v>
      </x:c>
      <x:c r="Q1055" s="26" t="n">
        <x:v>36.01</x:v>
      </x:c>
      <x:c r="R1055" s="26" t="n">
        <x:v>44.48</x:v>
      </x:c>
      <x:c r="S1055" s="26" t="n">
        <x:v>413.07</x:v>
      </x:c>
    </x:row>
    <x:row r="1056">
      <x:c r="A1056" t="n">
        <x:v>501053</x:v>
      </x:c>
      <x:c r="B1056" s="24" t="n">
        <x:v>45864</x:v>
      </x:c>
      <x:c r="C1056" t="n">
        <x:v>1029</x:v>
      </x:c>
      <x:c r="D1056" t="str">
        <x:v>Seller 1029</x:v>
      </x:c>
      <x:c r="E1056" t="str">
        <x:v>Gold</x:v>
      </x:c>
      <x:c r="F1056" t="str">
        <x:v>West</x:v>
      </x:c>
      <x:c r="G1056" t="str">
        <x:v>Home &amp; Kitchen</x:v>
      </x:c>
      <x:c r="H1056" t="n">
        <x:v>4</x:v>
      </x:c>
      <x:c r="I1056" s="26" t="n">
        <x:v>1485.6000000000001</x:v>
      </x:c>
      <x:c r="J1056" s="26" t="n">
        <x:v>6489</x:v>
      </x:c>
      <x:c r="K1056" s="28" t="n">
        <x:v>0.1273</x:v>
      </x:c>
      <x:c r="L1056" s="26" t="n">
        <x:v>826.05</x:v>
      </x:c>
      <x:c r="M1056" t="n">
        <x:v>0</x:v>
      </x:c>
      <x:c r="N1056" s="26" t="n">
        <x:v>0</x:v>
      </x:c>
      <x:c r="O1056" s="26" t="n">
        <x:v>120.05</x:v>
      </x:c>
      <x:c r="P1056" s="26" t="n">
        <x:v>29.2</x:v>
      </x:c>
      <x:c r="Q1056" s="26" t="n">
        <x:v>55.16</x:v>
      </x:c>
      <x:c r="R1056" s="26" t="n">
        <x:v>68.13</x:v>
      </x:c>
      <x:c r="S1056" s="26" t="n">
        <x:v>553.51</x:v>
      </x:c>
    </x:row>
    <x:row r="1057">
      <x:c r="A1057" t="n">
        <x:v>501054</x:v>
      </x:c>
      <x:c r="B1057" s="24" t="n">
        <x:v>45840</x:v>
      </x:c>
      <x:c r="C1057" t="n">
        <x:v>1021</x:v>
      </x:c>
      <x:c r="D1057" t="str">
        <x:v>Seller 1021</x:v>
      </x:c>
      <x:c r="E1057" t="str">
        <x:v>Gold</x:v>
      </x:c>
      <x:c r="F1057" t="str">
        <x:v>Central</x:v>
      </x:c>
      <x:c r="G1057" t="str">
        <x:v>Sports</x:v>
      </x:c>
      <x:c r="H1057" t="n">
        <x:v>1</x:v>
      </x:c>
      <x:c r="I1057" s="26" t="n">
        <x:v>4799.4</x:v>
      </x:c>
      <x:c r="J1057" s="26" t="n">
        <x:v>5240.4</x:v>
      </x:c>
      <x:c r="K1057" s="28" t="n">
        <x:v>0.1274</x:v>
      </x:c>
      <x:c r="L1057" s="26" t="n">
        <x:v>667.63</x:v>
      </x:c>
      <x:c r="M1057" t="n">
        <x:v>0</x:v>
      </x:c>
      <x:c r="N1057" s="26" t="n">
        <x:v>0</x:v>
      </x:c>
      <x:c r="O1057" s="26" t="n">
        <x:v>96.95</x:v>
      </x:c>
      <x:c r="P1057" s="26" t="n">
        <x:v>23.58</x:v>
      </x:c>
      <x:c r="Q1057" s="26" t="n">
        <x:v>44.54</x:v>
      </x:c>
      <x:c r="R1057" s="26" t="n">
        <x:v>55.02</x:v>
      </x:c>
      <x:c r="S1057" s="26" t="n">
        <x:v>447.53</x:v>
      </x:c>
    </x:row>
    <x:row r="1058">
      <x:c r="A1058" t="n">
        <x:v>501055</x:v>
      </x:c>
      <x:c r="B1058" s="24" t="n">
        <x:v>45848</x:v>
      </x:c>
      <x:c r="C1058" t="n">
        <x:v>1068</x:v>
      </x:c>
      <x:c r="D1058" t="str">
        <x:v>Seller 1068</x:v>
      </x:c>
      <x:c r="E1058" t="str">
        <x:v>Bronze</x:v>
      </x:c>
      <x:c r="F1058" t="str">
        <x:v>South</x:v>
      </x:c>
      <x:c r="G1058" t="str">
        <x:v>Pet Supplies</x:v>
      </x:c>
      <x:c r="H1058" t="n">
        <x:v>2</x:v>
      </x:c>
      <x:c r="I1058" s="26" t="n">
        <x:v>2113.7999999999997</x:v>
      </x:c>
      <x:c r="J1058" s="26" t="n">
        <x:v>2488.8</x:v>
      </x:c>
      <x:c r="K1058" s="28" t="n">
        <x:v>0.1368</x:v>
      </x:c>
      <x:c r="L1058" s="26" t="n">
        <x:v>340.47</x:v>
      </x:c>
      <x:c r="M1058" t="n">
        <x:v>0</x:v>
      </x:c>
      <x:c r="N1058" s="26" t="n">
        <x:v>0</x:v>
      </x:c>
      <x:c r="O1058" s="26" t="n">
        <x:v>46.04</x:v>
      </x:c>
      <x:c r="P1058" s="26" t="n">
        <x:v>11.2</x:v>
      </x:c>
      <x:c r="Q1058" s="26" t="n">
        <x:v>21.15</x:v>
      </x:c>
      <x:c r="R1058" s="26" t="n">
        <x:v>26.13</x:v>
      </x:c>
      <x:c r="S1058" s="26" t="n">
        <x:v>235.94</x:v>
      </x:c>
    </x:row>
    <x:row r="1059">
      <x:c r="A1059" t="n">
        <x:v>501056</x:v>
      </x:c>
      <x:c r="B1059" s="24" t="n">
        <x:v>45860</x:v>
      </x:c>
      <x:c r="C1059" t="n">
        <x:v>1075</x:v>
      </x:c>
      <x:c r="D1059" t="str">
        <x:v>Seller 1075</x:v>
      </x:c>
      <x:c r="E1059" t="str">
        <x:v>Bronze</x:v>
      </x:c>
      <x:c r="F1059" t="str">
        <x:v>East</x:v>
      </x:c>
      <x:c r="G1059" t="str">
        <x:v>Electronics</x:v>
      </x:c>
      <x:c r="H1059" t="n">
        <x:v>3</x:v>
      </x:c>
      <x:c r="I1059" s="26" t="n">
        <x:v>2013.6000000000001</x:v>
      </x:c>
      <x:c r="J1059" s="26" t="n">
        <x:v>3556.2</x:v>
      </x:c>
      <x:c r="K1059" s="28" t="n">
        <x:v>0.124</x:v>
      </x:c>
      <x:c r="L1059" s="26" t="n">
        <x:v>440.97</x:v>
      </x:c>
      <x:c r="M1059" t="n">
        <x:v>0</x:v>
      </x:c>
      <x:c r="N1059" s="26" t="n">
        <x:v>0</x:v>
      </x:c>
      <x:c r="O1059" s="26" t="n">
        <x:v>65.79</x:v>
      </x:c>
      <x:c r="P1059" s="26" t="n">
        <x:v>16</x:v>
      </x:c>
      <x:c r="Q1059" s="26" t="n">
        <x:v>30.23</x:v>
      </x:c>
      <x:c r="R1059" s="26" t="n">
        <x:v>37.34</x:v>
      </x:c>
      <x:c r="S1059" s="26" t="n">
        <x:v>291.61</x:v>
      </x:c>
    </x:row>
    <x:row r="1060">
      <x:c r="A1060" t="n">
        <x:v>501057</x:v>
      </x:c>
      <x:c r="B1060" s="24" t="n">
        <x:v>45856</x:v>
      </x:c>
      <x:c r="C1060" t="n">
        <x:v>1062</x:v>
      </x:c>
      <x:c r="D1060" t="str">
        <x:v>Seller 1062</x:v>
      </x:c>
      <x:c r="E1060" t="str">
        <x:v>Bronze</x:v>
      </x:c>
      <x:c r="F1060" t="str">
        <x:v>West</x:v>
      </x:c>
      <x:c r="G1060" t="str">
        <x:v>Electronics</x:v>
      </x:c>
      <x:c r="H1060" t="n">
        <x:v>2</x:v>
      </x:c>
      <x:c r="I1060" s="26" t="n">
        <x:v>4735.2</x:v>
      </x:c>
      <x:c r="J1060" s="26" t="n">
        <x:v>5575.2</x:v>
      </x:c>
      <x:c r="K1060" s="28" t="n">
        <x:v>0.131</x:v>
      </x:c>
      <x:c r="L1060" s="26" t="n">
        <x:v>730.35</x:v>
      </x:c>
      <x:c r="M1060" t="n">
        <x:v>1</x:v>
      </x:c>
      <x:c r="N1060" s="26" t="n">
        <x:v>4887.6</x:v>
      </x:c>
      <x:c r="O1060" s="26" t="n">
        <x:v>103.14</x:v>
      </x:c>
      <x:c r="P1060" s="26" t="n">
        <x:v>25.09</x:v>
      </x:c>
      <x:c r="Q1060" s="26" t="n">
        <x:v>47.39</x:v>
      </x:c>
      <x:c r="R1060" s="26" t="n">
        <x:v>58.54</x:v>
      </x:c>
      <x:c r="S1060" s="26" t="n">
        <x:v>398.44</x:v>
      </x:c>
    </x:row>
    <x:row r="1061">
      <x:c r="A1061" t="n">
        <x:v>501058</x:v>
      </x:c>
      <x:c r="B1061" s="24" t="n">
        <x:v>45867</x:v>
      </x:c>
      <x:c r="C1061" t="n">
        <x:v>1014</x:v>
      </x:c>
      <x:c r="D1061" t="str">
        <x:v>Seller 1014</x:v>
      </x:c>
      <x:c r="E1061" t="str">
        <x:v>Gold</x:v>
      </x:c>
      <x:c r="F1061" t="str">
        <x:v>East</x:v>
      </x:c>
      <x:c r="G1061" t="str">
        <x:v>Apparel</x:v>
      </x:c>
      <x:c r="H1061" t="n">
        <x:v>3</x:v>
      </x:c>
      <x:c r="I1061" s="26" t="n">
        <x:v>1267.2</x:v>
      </x:c>
      <x:c r="J1061" s="26" t="n">
        <x:v>4152</x:v>
      </x:c>
      <x:c r="K1061" s="28" t="n">
        <x:v>0.1308</x:v>
      </x:c>
      <x:c r="L1061" s="26" t="n">
        <x:v>543.08</x:v>
      </x:c>
      <x:c r="M1061" t="n">
        <x:v>0</x:v>
      </x:c>
      <x:c r="N1061" s="26" t="n">
        <x:v>0</x:v>
      </x:c>
      <x:c r="O1061" s="26" t="n">
        <x:v>76.81</x:v>
      </x:c>
      <x:c r="P1061" s="26" t="n">
        <x:v>18.68</x:v>
      </x:c>
      <x:c r="Q1061" s="26" t="n">
        <x:v>35.29</x:v>
      </x:c>
      <x:c r="R1061" s="26" t="n">
        <x:v>43.6</x:v>
      </x:c>
      <x:c r="S1061" s="26" t="n">
        <x:v>368.7</x:v>
      </x:c>
    </x:row>
    <x:row r="1062">
      <x:c r="A1062" t="n">
        <x:v>501059</x:v>
      </x:c>
      <x:c r="B1062" s="24" t="n">
        <x:v>45856</x:v>
      </x:c>
      <x:c r="C1062" t="n">
        <x:v>1008</x:v>
      </x:c>
      <x:c r="D1062" t="str">
        <x:v>Seller 1008</x:v>
      </x:c>
      <x:c r="E1062" t="str">
        <x:v>Platinum</x:v>
      </x:c>
      <x:c r="F1062" t="str">
        <x:v>West</x:v>
      </x:c>
      <x:c r="G1062" t="str">
        <x:v>Electronics</x:v>
      </x:c>
      <x:c r="H1062" t="n">
        <x:v>3</x:v>
      </x:c>
      <x:c r="I1062" s="26" t="n">
        <x:v>2829</x:v>
      </x:c>
      <x:c r="J1062" s="26" t="n">
        <x:v>12491.4</x:v>
      </x:c>
      <x:c r="K1062" s="28" t="n">
        <x:v>0.1143</x:v>
      </x:c>
      <x:c r="L1062" s="26" t="n">
        <x:v>1427.77</x:v>
      </x:c>
      <x:c r="M1062" t="n">
        <x:v>0</x:v>
      </x:c>
      <x:c r="N1062" s="26" t="n">
        <x:v>0</x:v>
      </x:c>
      <x:c r="O1062" s="26" t="n">
        <x:v>231.09</x:v>
      </x:c>
      <x:c r="P1062" s="26" t="n">
        <x:v>56.21</x:v>
      </x:c>
      <x:c r="Q1062" s="26" t="n">
        <x:v>106.18</x:v>
      </x:c>
      <x:c r="R1062" s="26" t="n">
        <x:v>131.16</x:v>
      </x:c>
      <x:c r="S1062" s="26" t="n">
        <x:v>903.13</x:v>
      </x:c>
    </x:row>
    <x:row r="1063">
      <x:c r="A1063" t="n">
        <x:v>501060</x:v>
      </x:c>
      <x:c r="B1063" s="24" t="n">
        <x:v>45857</x:v>
      </x:c>
      <x:c r="C1063" t="n">
        <x:v>1056</x:v>
      </x:c>
      <x:c r="D1063" t="str">
        <x:v>Seller 1056</x:v>
      </x:c>
      <x:c r="E1063" t="str">
        <x:v>Bronze</x:v>
      </x:c>
      <x:c r="F1063" t="str">
        <x:v>West</x:v>
      </x:c>
      <x:c r="G1063" t="str">
        <x:v>Pet Supplies</x:v>
      </x:c>
      <x:c r="H1063" t="n">
        <x:v>2</x:v>
      </x:c>
      <x:c r="I1063" s="26" t="n">
        <x:v>1375.8</x:v>
      </x:c>
      <x:c r="J1063" s="26" t="n">
        <x:v>1619.4</x:v>
      </x:c>
      <x:c r="K1063" s="28" t="n">
        <x:v>0.1229</x:v>
      </x:c>
      <x:c r="L1063" s="26" t="n">
        <x:v>199.02</x:v>
      </x:c>
      <x:c r="M1063" t="n">
        <x:v>0</x:v>
      </x:c>
      <x:c r="N1063" s="26" t="n">
        <x:v>0</x:v>
      </x:c>
      <x:c r="O1063" s="26" t="n">
        <x:v>29.96</x:v>
      </x:c>
      <x:c r="P1063" s="26" t="n">
        <x:v>7.29</x:v>
      </x:c>
      <x:c r="Q1063" s="26" t="n">
        <x:v>13.76</x:v>
      </x:c>
      <x:c r="R1063" s="26" t="n">
        <x:v>17</x:v>
      </x:c>
      <x:c r="S1063" s="26" t="n">
        <x:v>131.01</x:v>
      </x:c>
    </x:row>
    <x:row r="1064">
      <x:c r="A1064" t="n">
        <x:v>501061</x:v>
      </x:c>
      <x:c r="B1064" s="24" t="n">
        <x:v>45865</x:v>
      </x:c>
      <x:c r="C1064" t="n">
        <x:v>1023</x:v>
      </x:c>
      <x:c r="D1064" t="str">
        <x:v>Seller 1023</x:v>
      </x:c>
      <x:c r="E1064" t="str">
        <x:v>Gold</x:v>
      </x:c>
      <x:c r="F1064" t="str">
        <x:v>Central</x:v>
      </x:c>
      <x:c r="G1064" t="str">
        <x:v>Home &amp; Kitchen</x:v>
      </x:c>
      <x:c r="H1064" t="n">
        <x:v>1</x:v>
      </x:c>
      <x:c r="I1064" s="26" t="n">
        <x:v>5346</x:v>
      </x:c>
      <x:c r="J1064" s="26" t="n">
        <x:v>5837.4</x:v>
      </x:c>
      <x:c r="K1064" s="28" t="n">
        <x:v>0.1421</x:v>
      </x:c>
      <x:c r="L1064" s="26" t="n">
        <x:v>829.49</x:v>
      </x:c>
      <x:c r="M1064" t="n">
        <x:v>0</x:v>
      </x:c>
      <x:c r="N1064" s="26" t="n">
        <x:v>0</x:v>
      </x:c>
      <x:c r="O1064" s="26" t="n">
        <x:v>107.99</x:v>
      </x:c>
      <x:c r="P1064" s="26" t="n">
        <x:v>26.27</x:v>
      </x:c>
      <x:c r="Q1064" s="26" t="n">
        <x:v>49.62</x:v>
      </x:c>
      <x:c r="R1064" s="26" t="n">
        <x:v>61.29</x:v>
      </x:c>
      <x:c r="S1064" s="26" t="n">
        <x:v>584.32</x:v>
      </x:c>
    </x:row>
    <x:row r="1065">
      <x:c r="A1065" t="n">
        <x:v>501062</x:v>
      </x:c>
      <x:c r="B1065" s="24" t="n">
        <x:v>45859</x:v>
      </x:c>
      <x:c r="C1065" t="n">
        <x:v>1049</x:v>
      </x:c>
      <x:c r="D1065" t="str">
        <x:v>Seller 1049</x:v>
      </x:c>
      <x:c r="E1065" t="str">
        <x:v>Silver</x:v>
      </x:c>
      <x:c r="F1065" t="str">
        <x:v>West</x:v>
      </x:c>
      <x:c r="G1065" t="str">
        <x:v>Home &amp; Kitchen</x:v>
      </x:c>
      <x:c r="H1065" t="n">
        <x:v>2</x:v>
      </x:c>
      <x:c r="I1065" s="26" t="n">
        <x:v>2151</x:v>
      </x:c>
      <x:c r="J1065" s="26" t="n">
        <x:v>3594.6</x:v>
      </x:c>
      <x:c r="K1065" s="28" t="n">
        <x:v>0.1259</x:v>
      </x:c>
      <x:c r="L1065" s="26" t="n">
        <x:v>452.56</x:v>
      </x:c>
      <x:c r="M1065" t="n">
        <x:v>0</x:v>
      </x:c>
      <x:c r="N1065" s="26" t="n">
        <x:v>0</x:v>
      </x:c>
      <x:c r="O1065" s="26" t="n">
        <x:v>66.5</x:v>
      </x:c>
      <x:c r="P1065" s="26" t="n">
        <x:v>16.18</x:v>
      </x:c>
      <x:c r="Q1065" s="26" t="n">
        <x:v>30.55</x:v>
      </x:c>
      <x:c r="R1065" s="26" t="n">
        <x:v>37.74</x:v>
      </x:c>
      <x:c r="S1065" s="26" t="n">
        <x:v>301.59</x:v>
      </x:c>
    </x:row>
    <x:row r="1066">
      <x:c r="A1066" t="n">
        <x:v>501063</x:v>
      </x:c>
      <x:c r="B1066" s="24" t="n">
        <x:v>45856</x:v>
      </x:c>
      <x:c r="C1066" t="n">
        <x:v>1066</x:v>
      </x:c>
      <x:c r="D1066" t="str">
        <x:v>Seller 1066</x:v>
      </x:c>
      <x:c r="E1066" t="str">
        <x:v>Bronze</x:v>
      </x:c>
      <x:c r="F1066" t="str">
        <x:v>South</x:v>
      </x:c>
      <x:c r="G1066" t="str">
        <x:v>Home &amp; Kitchen</x:v>
      </x:c>
      <x:c r="H1066" t="n">
        <x:v>1</x:v>
      </x:c>
      <x:c r="I1066" s="26" t="n">
        <x:v>4315.8</x:v>
      </x:c>
      <x:c r="J1066" s="26" t="n">
        <x:v>2541</x:v>
      </x:c>
      <x:c r="K1066" s="28" t="n">
        <x:v>0.1345</x:v>
      </x:c>
      <x:c r="L1066" s="26" t="n">
        <x:v>341.76</x:v>
      </x:c>
      <x:c r="M1066" t="n">
        <x:v>0</x:v>
      </x:c>
      <x:c r="N1066" s="26" t="n">
        <x:v>0</x:v>
      </x:c>
      <x:c r="O1066" s="26" t="n">
        <x:v>47.01</x:v>
      </x:c>
      <x:c r="P1066" s="26" t="n">
        <x:v>11.43</x:v>
      </x:c>
      <x:c r="Q1066" s="26" t="n">
        <x:v>21.6</x:v>
      </x:c>
      <x:c r="R1066" s="26" t="n">
        <x:v>26.68</x:v>
      </x:c>
      <x:c r="S1066" s="26" t="n">
        <x:v>235.04</x:v>
      </x:c>
    </x:row>
    <x:row r="1067">
      <x:c r="A1067" t="n">
        <x:v>501064</x:v>
      </x:c>
      <x:c r="B1067" s="24" t="n">
        <x:v>45860</x:v>
      </x:c>
      <x:c r="C1067" t="n">
        <x:v>1024</x:v>
      </x:c>
      <x:c r="D1067" t="str">
        <x:v>Seller 1024</x:v>
      </x:c>
      <x:c r="E1067" t="str">
        <x:v>Gold</x:v>
      </x:c>
      <x:c r="F1067" t="str">
        <x:v>West</x:v>
      </x:c>
      <x:c r="G1067" t="str">
        <x:v>Pet Supplies</x:v>
      </x:c>
      <x:c r="H1067" t="n">
        <x:v>4</x:v>
      </x:c>
      <x:c r="I1067" s="26" t="n">
        <x:v>780</x:v>
      </x:c>
      <x:c r="J1067" s="26" t="n">
        <x:v>3406.2</x:v>
      </x:c>
      <x:c r="K1067" s="28" t="n">
        <x:v>0.1272</x:v>
      </x:c>
      <x:c r="L1067" s="26" t="n">
        <x:v>433.27</x:v>
      </x:c>
      <x:c r="M1067" t="n">
        <x:v>0</x:v>
      </x:c>
      <x:c r="N1067" s="26" t="n">
        <x:v>0</x:v>
      </x:c>
      <x:c r="O1067" s="26" t="n">
        <x:v>63.01</x:v>
      </x:c>
      <x:c r="P1067" s="26" t="n">
        <x:v>15.33</x:v>
      </x:c>
      <x:c r="Q1067" s="26" t="n">
        <x:v>28.95</x:v>
      </x:c>
      <x:c r="R1067" s="26" t="n">
        <x:v>35.77</x:v>
      </x:c>
      <x:c r="S1067" s="26" t="n">
        <x:v>290.21</x:v>
      </x:c>
    </x:row>
    <x:row r="1068">
      <x:c r="A1068" t="n">
        <x:v>501065</x:v>
      </x:c>
      <x:c r="B1068" s="24" t="n">
        <x:v>45853</x:v>
      </x:c>
      <x:c r="C1068" t="n">
        <x:v>1069</x:v>
      </x:c>
      <x:c r="D1068" t="str">
        <x:v>Seller 1069</x:v>
      </x:c>
      <x:c r="E1068" t="str">
        <x:v>Bronze</x:v>
      </x:c>
      <x:c r="F1068" t="str">
        <x:v>East</x:v>
      </x:c>
      <x:c r="G1068" t="str">
        <x:v>Electronics</x:v>
      </x:c>
      <x:c r="H1068" t="n">
        <x:v>2</x:v>
      </x:c>
      <x:c r="I1068" s="26" t="n">
        <x:v>4221.6</x:v>
      </x:c>
      <x:c r="J1068" s="26" t="n">
        <x:v>4970.4</x:v>
      </x:c>
      <x:c r="K1068" s="28" t="n">
        <x:v>0.1263</x:v>
      </x:c>
      <x:c r="L1068" s="26" t="n">
        <x:v>627.76</x:v>
      </x:c>
      <x:c r="M1068" t="n">
        <x:v>0</x:v>
      </x:c>
      <x:c r="N1068" s="26" t="n">
        <x:v>0</x:v>
      </x:c>
      <x:c r="O1068" s="26" t="n">
        <x:v>91.95</x:v>
      </x:c>
      <x:c r="P1068" s="26" t="n">
        <x:v>22.37</x:v>
      </x:c>
      <x:c r="Q1068" s="26" t="n">
        <x:v>42.25</x:v>
      </x:c>
      <x:c r="R1068" s="26" t="n">
        <x:v>52.19</x:v>
      </x:c>
      <x:c r="S1068" s="26" t="n">
        <x:v>419</x:v>
      </x:c>
    </x:row>
    <x:row r="1069">
      <x:c r="A1069" t="n">
        <x:v>501066</x:v>
      </x:c>
      <x:c r="B1069" s="24" t="n">
        <x:v>45859</x:v>
      </x:c>
      <x:c r="C1069" t="n">
        <x:v>1009</x:v>
      </x:c>
      <x:c r="D1069" t="str">
        <x:v>Seller 1009</x:v>
      </x:c>
      <x:c r="E1069" t="str">
        <x:v>Platinum</x:v>
      </x:c>
      <x:c r="F1069" t="str">
        <x:v>Central</x:v>
      </x:c>
      <x:c r="G1069" t="str">
        <x:v>Pet Supplies</x:v>
      </x:c>
      <x:c r="H1069" t="n">
        <x:v>1</x:v>
      </x:c>
      <x:c r="I1069" s="26" t="n">
        <x:v>2919.6</x:v>
      </x:c>
      <x:c r="J1069" s="26" t="n">
        <x:v>4296.6</x:v>
      </x:c>
      <x:c r="K1069" s="28" t="n">
        <x:v>0.139</x:v>
      </x:c>
      <x:c r="L1069" s="26" t="n">
        <x:v>597.23</x:v>
      </x:c>
      <x:c r="M1069" t="n">
        <x:v>0</x:v>
      </x:c>
      <x:c r="N1069" s="26" t="n">
        <x:v>0</x:v>
      </x:c>
      <x:c r="O1069" s="26" t="n">
        <x:v>79.49</x:v>
      </x:c>
      <x:c r="P1069" s="26" t="n">
        <x:v>19.33</x:v>
      </x:c>
      <x:c r="Q1069" s="26" t="n">
        <x:v>36.52</x:v>
      </x:c>
      <x:c r="R1069" s="26" t="n">
        <x:v>45.11</x:v>
      </x:c>
      <x:c r="S1069" s="26" t="n">
        <x:v>416.77</x:v>
      </x:c>
    </x:row>
    <x:row r="1070">
      <x:c r="A1070" t="n">
        <x:v>501067</x:v>
      </x:c>
      <x:c r="B1070" s="24" t="n">
        <x:v>45842</x:v>
      </x:c>
      <x:c r="C1070" t="n">
        <x:v>1016</x:v>
      </x:c>
      <x:c r="D1070" t="str">
        <x:v>Seller 1016</x:v>
      </x:c>
      <x:c r="E1070" t="str">
        <x:v>Gold</x:v>
      </x:c>
      <x:c r="F1070" t="str">
        <x:v>West</x:v>
      </x:c>
      <x:c r="G1070" t="str">
        <x:v>Sports</x:v>
      </x:c>
      <x:c r="H1070" t="n">
        <x:v>2</x:v>
      </x:c>
      <x:c r="I1070" s="26" t="n">
        <x:v>2146.2000000000003</x:v>
      </x:c>
      <x:c r="J1070" s="26" t="n">
        <x:v>4686.6</x:v>
      </x:c>
      <x:c r="K1070" s="28" t="n">
        <x:v>0.1293</x:v>
      </x:c>
      <x:c r="L1070" s="26" t="n">
        <x:v>605.98</x:v>
      </x:c>
      <x:c r="M1070" t="n">
        <x:v>0</x:v>
      </x:c>
      <x:c r="N1070" s="26" t="n">
        <x:v>0</x:v>
      </x:c>
      <x:c r="O1070" s="26" t="n">
        <x:v>86.7</x:v>
      </x:c>
      <x:c r="P1070" s="26" t="n">
        <x:v>21.09</x:v>
      </x:c>
      <x:c r="Q1070" s="26" t="n">
        <x:v>39.84</x:v>
      </x:c>
      <x:c r="R1070" s="26" t="n">
        <x:v>49.21</x:v>
      </x:c>
      <x:c r="S1070" s="26" t="n">
        <x:v>409.14</x:v>
      </x:c>
    </x:row>
    <x:row r="1071">
      <x:c r="A1071" t="n">
        <x:v>501068</x:v>
      </x:c>
      <x:c r="B1071" s="24" t="n">
        <x:v>45854</x:v>
      </x:c>
      <x:c r="C1071" t="n">
        <x:v>1074</x:v>
      </x:c>
      <x:c r="D1071" t="str">
        <x:v>Seller 1074</x:v>
      </x:c>
      <x:c r="E1071" t="str">
        <x:v>Bronze</x:v>
      </x:c>
      <x:c r="F1071" t="str">
        <x:v>East</x:v>
      </x:c>
      <x:c r="G1071" t="str">
        <x:v>Electronics</x:v>
      </x:c>
      <x:c r="H1071" t="n">
        <x:v>3</x:v>
      </x:c>
      <x:c r="I1071" s="26" t="n">
        <x:v>3659.4</x:v>
      </x:c>
      <x:c r="J1071" s="26" t="n">
        <x:v>6462.6</x:v>
      </x:c>
      <x:c r="K1071" s="28" t="n">
        <x:v>0.1334</x:v>
      </x:c>
      <x:c r="L1071" s="26" t="n">
        <x:v>862.11</x:v>
      </x:c>
      <x:c r="M1071" t="n">
        <x:v>0</x:v>
      </x:c>
      <x:c r="N1071" s="26" t="n">
        <x:v>0</x:v>
      </x:c>
      <x:c r="O1071" s="26" t="n">
        <x:v>119.56</x:v>
      </x:c>
      <x:c r="P1071" s="26" t="n">
        <x:v>29.08</x:v>
      </x:c>
      <x:c r="Q1071" s="26" t="n">
        <x:v>54.93</x:v>
      </x:c>
      <x:c r="R1071" s="26" t="n">
        <x:v>67.86</x:v>
      </x:c>
      <x:c r="S1071" s="26" t="n">
        <x:v>590.68</x:v>
      </x:c>
    </x:row>
    <x:row r="1072">
      <x:c r="A1072" t="n">
        <x:v>501069</x:v>
      </x:c>
      <x:c r="B1072" s="24" t="n">
        <x:v>45854</x:v>
      </x:c>
      <x:c r="C1072" t="n">
        <x:v>1039</x:v>
      </x:c>
      <x:c r="D1072" t="str">
        <x:v>Seller 1039</x:v>
      </x:c>
      <x:c r="E1072" t="str">
        <x:v>Silver</x:v>
      </x:c>
      <x:c r="F1072" t="str">
        <x:v>East</x:v>
      </x:c>
      <x:c r="G1072" t="str">
        <x:v>Pet Supplies</x:v>
      </x:c>
      <x:c r="H1072" t="n">
        <x:v>1</x:v>
      </x:c>
      <x:c r="I1072" s="26" t="n">
        <x:v>3048</x:v>
      </x:c>
      <x:c r="J1072" s="26" t="n">
        <x:v>2546.4</x:v>
      </x:c>
      <x:c r="K1072" s="28" t="n">
        <x:v>0.1427</x:v>
      </x:c>
      <x:c r="L1072" s="26" t="n">
        <x:v>363.37</x:v>
      </x:c>
      <x:c r="M1072" t="n">
        <x:v>0</x:v>
      </x:c>
      <x:c r="N1072" s="26" t="n">
        <x:v>0</x:v>
      </x:c>
      <x:c r="O1072" s="26" t="n">
        <x:v>47.11</x:v>
      </x:c>
      <x:c r="P1072" s="26" t="n">
        <x:v>11.46</x:v>
      </x:c>
      <x:c r="Q1072" s="26" t="n">
        <x:v>21.64</x:v>
      </x:c>
      <x:c r="R1072" s="26" t="n">
        <x:v>26.74</x:v>
      </x:c>
      <x:c r="S1072" s="26" t="n">
        <x:v>256.42</x:v>
      </x:c>
    </x:row>
    <x:row r="1073">
      <x:c r="A1073" t="n">
        <x:v>501070</x:v>
      </x:c>
      <x:c r="B1073" s="24" t="n">
        <x:v>45849</x:v>
      </x:c>
      <x:c r="C1073" t="n">
        <x:v>1038</x:v>
      </x:c>
      <x:c r="D1073" t="str">
        <x:v>Seller 1038</x:v>
      </x:c>
      <x:c r="E1073" t="str">
        <x:v>Silver</x:v>
      </x:c>
      <x:c r="F1073" t="str">
        <x:v>South</x:v>
      </x:c>
      <x:c r="G1073" t="str">
        <x:v>Sports</x:v>
      </x:c>
      <x:c r="H1073" t="n">
        <x:v>1</x:v>
      </x:c>
      <x:c r="I1073" s="26" t="n">
        <x:v>4722.599999999999</x:v>
      </x:c>
      <x:c r="J1073" s="26" t="n">
        <x:v>3945.6</x:v>
      </x:c>
      <x:c r="K1073" s="28" t="n">
        <x:v>0.1327</x:v>
      </x:c>
      <x:c r="L1073" s="26" t="n">
        <x:v>523.58</x:v>
      </x:c>
      <x:c r="M1073" t="n">
        <x:v>0</x:v>
      </x:c>
      <x:c r="N1073" s="26" t="n">
        <x:v>0</x:v>
      </x:c>
      <x:c r="O1073" s="26" t="n">
        <x:v>72.99</x:v>
      </x:c>
      <x:c r="P1073" s="26" t="n">
        <x:v>17.76</x:v>
      </x:c>
      <x:c r="Q1073" s="26" t="n">
        <x:v>33.54</x:v>
      </x:c>
      <x:c r="R1073" s="26" t="n">
        <x:v>41.43</x:v>
      </x:c>
      <x:c r="S1073" s="26" t="n">
        <x:v>357.87</x:v>
      </x:c>
    </x:row>
    <x:row r="1074">
      <x:c r="A1074" t="n">
        <x:v>501071</x:v>
      </x:c>
      <x:c r="B1074" s="24" t="n">
        <x:v>45847</x:v>
      </x:c>
      <x:c r="C1074" t="n">
        <x:v>1078</x:v>
      </x:c>
      <x:c r="D1074" t="str">
        <x:v>Seller 1078</x:v>
      </x:c>
      <x:c r="E1074" t="str">
        <x:v>Bronze</x:v>
      </x:c>
      <x:c r="F1074" t="str">
        <x:v>East</x:v>
      </x:c>
      <x:c r="G1074" t="str">
        <x:v>Home &amp; Kitchen</x:v>
      </x:c>
      <x:c r="H1074" t="n">
        <x:v>2</x:v>
      </x:c>
      <x:c r="I1074" s="26" t="n">
        <x:v>2634</x:v>
      </x:c>
      <x:c r="J1074" s="26" t="n">
        <x:v>3101.4</x:v>
      </x:c>
      <x:c r="K1074" s="28" t="n">
        <x:v>0.1427</x:v>
      </x:c>
      <x:c r="L1074" s="26" t="n">
        <x:v>442.57</x:v>
      </x:c>
      <x:c r="M1074" t="n">
        <x:v>0</x:v>
      </x:c>
      <x:c r="N1074" s="26" t="n">
        <x:v>0</x:v>
      </x:c>
      <x:c r="O1074" s="26" t="n">
        <x:v>57.38</x:v>
      </x:c>
      <x:c r="P1074" s="26" t="n">
        <x:v>13.96</x:v>
      </x:c>
      <x:c r="Q1074" s="26" t="n">
        <x:v>26.36</x:v>
      </x:c>
      <x:c r="R1074" s="26" t="n">
        <x:v>32.56</x:v>
      </x:c>
      <x:c r="S1074" s="26" t="n">
        <x:v>312.31</x:v>
      </x:c>
    </x:row>
    <x:row r="1075">
      <x:c r="A1075" t="n">
        <x:v>501072</x:v>
      </x:c>
      <x:c r="B1075" s="24" t="n">
        <x:v>45855</x:v>
      </x:c>
      <x:c r="C1075" t="n">
        <x:v>1028</x:v>
      </x:c>
      <x:c r="D1075" t="str">
        <x:v>Seller 1028</x:v>
      </x:c>
      <x:c r="E1075" t="str">
        <x:v>Gold</x:v>
      </x:c>
      <x:c r="F1075" t="str">
        <x:v>Central</x:v>
      </x:c>
      <x:c r="G1075" t="str">
        <x:v>Sports</x:v>
      </x:c>
      <x:c r="H1075" t="n">
        <x:v>1</x:v>
      </x:c>
      <x:c r="I1075" s="26" t="n">
        <x:v>4402.799999999999</x:v>
      </x:c>
      <x:c r="J1075" s="26" t="n">
        <x:v>4807.8</x:v>
      </x:c>
      <x:c r="K1075" s="28" t="n">
        <x:v>0.1227</x:v>
      </x:c>
      <x:c r="L1075" s="26" t="n">
        <x:v>589.92</x:v>
      </x:c>
      <x:c r="M1075" t="n">
        <x:v>0</x:v>
      </x:c>
      <x:c r="N1075" s="26" t="n">
        <x:v>0</x:v>
      </x:c>
      <x:c r="O1075" s="26" t="n">
        <x:v>88.94</x:v>
      </x:c>
      <x:c r="P1075" s="26" t="n">
        <x:v>21.64</x:v>
      </x:c>
      <x:c r="Q1075" s="26" t="n">
        <x:v>40.87</x:v>
      </x:c>
      <x:c r="R1075" s="26" t="n">
        <x:v>50.48</x:v>
      </x:c>
      <x:c r="S1075" s="26" t="n">
        <x:v>387.99</x:v>
      </x:c>
    </x:row>
    <x:row r="1076">
      <x:c r="A1076" t="n">
        <x:v>501073</x:v>
      </x:c>
      <x:c r="B1076" s="24" t="n">
        <x:v>45860</x:v>
      </x:c>
      <x:c r="C1076" t="n">
        <x:v>1033</x:v>
      </x:c>
      <x:c r="D1076" t="str">
        <x:v>Seller 1033</x:v>
      </x:c>
      <x:c r="E1076" t="str">
        <x:v>Silver</x:v>
      </x:c>
      <x:c r="F1076" t="str">
        <x:v>South</x:v>
      </x:c>
      <x:c r="G1076" t="str">
        <x:v>Beauty</x:v>
      </x:c>
      <x:c r="H1076" t="n">
        <x:v>2</x:v>
      </x:c>
      <x:c r="I1076" s="26" t="n">
        <x:v>1218</x:v>
      </x:c>
      <x:c r="J1076" s="26" t="n">
        <x:v>2035.8</x:v>
      </x:c>
      <x:c r="K1076" s="28" t="n">
        <x:v>0.1439</x:v>
      </x:c>
      <x:c r="L1076" s="26" t="n">
        <x:v>292.95</x:v>
      </x:c>
      <x:c r="M1076" t="n">
        <x:v>0</x:v>
      </x:c>
      <x:c r="N1076" s="26" t="n">
        <x:v>0</x:v>
      </x:c>
      <x:c r="O1076" s="26" t="n">
        <x:v>37.66</x:v>
      </x:c>
      <x:c r="P1076" s="26" t="n">
        <x:v>9.16</x:v>
      </x:c>
      <x:c r="Q1076" s="26" t="n">
        <x:v>17.3</x:v>
      </x:c>
      <x:c r="R1076" s="26" t="n">
        <x:v>21.38</x:v>
      </x:c>
      <x:c r="S1076" s="26" t="n">
        <x:v>207.45</x:v>
      </x:c>
    </x:row>
    <x:row r="1077">
      <x:c r="A1077" t="n">
        <x:v>501074</x:v>
      </x:c>
      <x:c r="B1077" s="24" t="n">
        <x:v>45849</x:v>
      </x:c>
      <x:c r="C1077" t="n">
        <x:v>1019</x:v>
      </x:c>
      <x:c r="D1077" t="str">
        <x:v>Seller 1019</x:v>
      </x:c>
      <x:c r="E1077" t="str">
        <x:v>Gold</x:v>
      </x:c>
      <x:c r="F1077" t="str">
        <x:v>East</x:v>
      </x:c>
      <x:c r="G1077" t="str">
        <x:v>Apparel</x:v>
      </x:c>
      <x:c r="H1077" t="n">
        <x:v>3</x:v>
      </x:c>
      <x:c r="I1077" s="26" t="n">
        <x:v>1494</x:v>
      </x:c>
      <x:c r="J1077" s="26" t="n">
        <x:v>4894.2</x:v>
      </x:c>
      <x:c r="K1077" s="28" t="n">
        <x:v>0.1319</x:v>
      </x:c>
      <x:c r="L1077" s="26" t="n">
        <x:v>645.54</x:v>
      </x:c>
      <x:c r="M1077" t="n">
        <x:v>0</x:v>
      </x:c>
      <x:c r="N1077" s="26" t="n">
        <x:v>0</x:v>
      </x:c>
      <x:c r="O1077" s="26" t="n">
        <x:v>90.54</x:v>
      </x:c>
      <x:c r="P1077" s="26" t="n">
        <x:v>22.02</x:v>
      </x:c>
      <x:c r="Q1077" s="26" t="n">
        <x:v>41.6</x:v>
      </x:c>
      <x:c r="R1077" s="26" t="n">
        <x:v>51.39</x:v>
      </x:c>
      <x:c r="S1077" s="26" t="n">
        <x:v>439.99</x:v>
      </x:c>
    </x:row>
    <x:row r="1078">
      <x:c r="A1078" t="n">
        <x:v>501075</x:v>
      </x:c>
      <x:c r="B1078" s="24" t="n">
        <x:v>45851</x:v>
      </x:c>
      <x:c r="C1078" t="n">
        <x:v>1073</x:v>
      </x:c>
      <x:c r="D1078" t="str">
        <x:v>Seller 1073</x:v>
      </x:c>
      <x:c r="E1078" t="str">
        <x:v>Bronze</x:v>
      </x:c>
      <x:c r="F1078" t="str">
        <x:v>Central</x:v>
      </x:c>
      <x:c r="G1078" t="str">
        <x:v>Electronics</x:v>
      </x:c>
      <x:c r="H1078" t="n">
        <x:v>3</x:v>
      </x:c>
      <x:c r="I1078" s="26" t="n">
        <x:v>2042.9999999999998</x:v>
      </x:c>
      <x:c r="J1078" s="26" t="n">
        <x:v>3607.8</x:v>
      </x:c>
      <x:c r="K1078" s="28" t="n">
        <x:v>0.1231</x:v>
      </x:c>
      <x:c r="L1078" s="26" t="n">
        <x:v>444.12</x:v>
      </x:c>
      <x:c r="M1078" t="n">
        <x:v>0</x:v>
      </x:c>
      <x:c r="N1078" s="26" t="n">
        <x:v>0</x:v>
      </x:c>
      <x:c r="O1078" s="26" t="n">
        <x:v>66.74</x:v>
      </x:c>
      <x:c r="P1078" s="26" t="n">
        <x:v>16.24</x:v>
      </x:c>
      <x:c r="Q1078" s="26" t="n">
        <x:v>30.67</x:v>
      </x:c>
      <x:c r="R1078" s="26" t="n">
        <x:v>37.88</x:v>
      </x:c>
      <x:c r="S1078" s="26" t="n">
        <x:v>292.59</x:v>
      </x:c>
    </x:row>
    <x:row r="1079">
      <x:c r="A1079" t="n">
        <x:v>501076</x:v>
      </x:c>
      <x:c r="B1079" s="24" t="n">
        <x:v>45840</x:v>
      </x:c>
      <x:c r="C1079" t="n">
        <x:v>1049</x:v>
      </x:c>
      <x:c r="D1079" t="str">
        <x:v>Seller 1049</x:v>
      </x:c>
      <x:c r="E1079" t="str">
        <x:v>Silver</x:v>
      </x:c>
      <x:c r="F1079" t="str">
        <x:v>West</x:v>
      </x:c>
      <x:c r="G1079" t="str">
        <x:v>Home &amp; Kitchen</x:v>
      </x:c>
      <x:c r="H1079" t="n">
        <x:v>2</x:v>
      </x:c>
      <x:c r="I1079" s="26" t="n">
        <x:v>2364</x:v>
      </x:c>
      <x:c r="J1079" s="26" t="n">
        <x:v>3951</x:v>
      </x:c>
      <x:c r="K1079" s="28" t="n">
        <x:v>0.126</x:v>
      </x:c>
      <x:c r="L1079" s="26" t="n">
        <x:v>497.83</x:v>
      </x:c>
      <x:c r="M1079" t="n">
        <x:v>0</x:v>
      </x:c>
      <x:c r="N1079" s="26" t="n">
        <x:v>0</x:v>
      </x:c>
      <x:c r="O1079" s="26" t="n">
        <x:v>73.09</x:v>
      </x:c>
      <x:c r="P1079" s="26" t="n">
        <x:v>17.78</x:v>
      </x:c>
      <x:c r="Q1079" s="26" t="n">
        <x:v>33.58</x:v>
      </x:c>
      <x:c r="R1079" s="26" t="n">
        <x:v>41.49</x:v>
      </x:c>
      <x:c r="S1079" s="26" t="n">
        <x:v>331.88</x:v>
      </x:c>
    </x:row>
    <x:row r="1080">
      <x:c r="A1080" t="n">
        <x:v>501077</x:v>
      </x:c>
      <x:c r="B1080" s="24" t="n">
        <x:v>45838</x:v>
      </x:c>
      <x:c r="C1080" t="n">
        <x:v>1043</x:v>
      </x:c>
      <x:c r="D1080" t="str">
        <x:v>Seller 1043</x:v>
      </x:c>
      <x:c r="E1080" t="str">
        <x:v>Silver</x:v>
      </x:c>
      <x:c r="F1080" t="str">
        <x:v>West</x:v>
      </x:c>
      <x:c r="G1080" t="str">
        <x:v>Sports</x:v>
      </x:c>
      <x:c r="H1080" t="n">
        <x:v>2</x:v>
      </x:c>
      <x:c r="I1080" s="26" t="n">
        <x:v>2529.6</x:v>
      </x:c>
      <x:c r="J1080" s="26" t="n">
        <x:v>4227</x:v>
      </x:c>
      <x:c r="K1080" s="28" t="n">
        <x:v>0.1226</x:v>
      </x:c>
      <x:c r="L1080" s="26" t="n">
        <x:v>518.23</x:v>
      </x:c>
      <x:c r="M1080" t="n">
        <x:v>0</x:v>
      </x:c>
      <x:c r="N1080" s="26" t="n">
        <x:v>0</x:v>
      </x:c>
      <x:c r="O1080" s="26" t="n">
        <x:v>78.2</x:v>
      </x:c>
      <x:c r="P1080" s="26" t="n">
        <x:v>19.02</x:v>
      </x:c>
      <x:c r="Q1080" s="26" t="n">
        <x:v>35.93</x:v>
      </x:c>
      <x:c r="R1080" s="26" t="n">
        <x:v>44.38</x:v>
      </x:c>
      <x:c r="S1080" s="26" t="n">
        <x:v>340.7</x:v>
      </x:c>
    </x:row>
    <x:row r="1081">
      <x:c r="A1081" t="n">
        <x:v>501078</x:v>
      </x:c>
      <x:c r="B1081" s="24" t="n">
        <x:v>45861</x:v>
      </x:c>
      <x:c r="C1081" t="n">
        <x:v>1013</x:v>
      </x:c>
      <x:c r="D1081" t="str">
        <x:v>Seller 1013</x:v>
      </x:c>
      <x:c r="E1081" t="str">
        <x:v>Gold</x:v>
      </x:c>
      <x:c r="F1081" t="str">
        <x:v>West</x:v>
      </x:c>
      <x:c r="G1081" t="str">
        <x:v>Electronics</x:v>
      </x:c>
      <x:c r="H1081" t="n">
        <x:v>3</x:v>
      </x:c>
      <x:c r="I1081" s="26" t="n">
        <x:v>2767.8</x:v>
      </x:c>
      <x:c r="J1081" s="26" t="n">
        <x:v>9066</x:v>
      </x:c>
      <x:c r="K1081" s="28" t="n">
        <x:v>0.1155</x:v>
      </x:c>
      <x:c r="L1081" s="26" t="n">
        <x:v>1047.12</x:v>
      </x:c>
      <x:c r="M1081" t="n">
        <x:v>0</x:v>
      </x:c>
      <x:c r="N1081" s="26" t="n">
        <x:v>0</x:v>
      </x:c>
      <x:c r="O1081" s="26" t="n">
        <x:v>167.72</x:v>
      </x:c>
      <x:c r="P1081" s="26" t="n">
        <x:v>40.8</x:v>
      </x:c>
      <x:c r="Q1081" s="26" t="n">
        <x:v>77.06</x:v>
      </x:c>
      <x:c r="R1081" s="26" t="n">
        <x:v>95.19</x:v>
      </x:c>
      <x:c r="S1081" s="26" t="n">
        <x:v>666.35</x:v>
      </x:c>
    </x:row>
    <x:row r="1082">
      <x:c r="A1082" t="n">
        <x:v>501079</x:v>
      </x:c>
      <x:c r="B1082" s="24" t="n">
        <x:v>45846</x:v>
      </x:c>
      <x:c r="C1082" t="n">
        <x:v>1040</x:v>
      </x:c>
      <x:c r="D1082" t="str">
        <x:v>Seller 1040</x:v>
      </x:c>
      <x:c r="E1082" t="str">
        <x:v>Silver</x:v>
      </x:c>
      <x:c r="F1082" t="str">
        <x:v>West</x:v>
      </x:c>
      <x:c r="G1082" t="str">
        <x:v>Pet Supplies</x:v>
      </x:c>
      <x:c r="H1082" t="n">
        <x:v>2</x:v>
      </x:c>
      <x:c r="I1082" s="26" t="n">
        <x:v>1455</x:v>
      </x:c>
      <x:c r="J1082" s="26" t="n">
        <x:v>2431.8</x:v>
      </x:c>
      <x:c r="K1082" s="28" t="n">
        <x:v>0.1284</x:v>
      </x:c>
      <x:c r="L1082" s="26" t="n">
        <x:v>312.24</x:v>
      </x:c>
      <x:c r="M1082" t="n">
        <x:v>0</x:v>
      </x:c>
      <x:c r="N1082" s="26" t="n">
        <x:v>0</x:v>
      </x:c>
      <x:c r="O1082" s="26" t="n">
        <x:v>44.99</x:v>
      </x:c>
      <x:c r="P1082" s="26" t="n">
        <x:v>10.94</x:v>
      </x:c>
      <x:c r="Q1082" s="26" t="n">
        <x:v>20.67</x:v>
      </x:c>
      <x:c r="R1082" s="26" t="n">
        <x:v>25.53</x:v>
      </x:c>
      <x:c r="S1082" s="26" t="n">
        <x:v>210.11</x:v>
      </x:c>
    </x:row>
    <x:row r="1083">
      <x:c r="A1083" t="n">
        <x:v>501080</x:v>
      </x:c>
      <x:c r="B1083" s="24" t="n">
        <x:v>45859</x:v>
      </x:c>
      <x:c r="C1083" t="n">
        <x:v>1078</x:v>
      </x:c>
      <x:c r="D1083" t="str">
        <x:v>Seller 1078</x:v>
      </x:c>
      <x:c r="E1083" t="str">
        <x:v>Bronze</x:v>
      </x:c>
      <x:c r="F1083" t="str">
        <x:v>East</x:v>
      </x:c>
      <x:c r="G1083" t="str">
        <x:v>Home &amp; Kitchen</x:v>
      </x:c>
      <x:c r="H1083" t="n">
        <x:v>3</x:v>
      </x:c>
      <x:c r="I1083" s="26" t="n">
        <x:v>1742.3999999999999</x:v>
      </x:c>
      <x:c r="J1083" s="26" t="n">
        <x:v>3076.8</x:v>
      </x:c>
      <x:c r="K1083" s="28" t="n">
        <x:v>0.141</x:v>
      </x:c>
      <x:c r="L1083" s="26" t="n">
        <x:v>433.83</x:v>
      </x:c>
      <x:c r="M1083" t="n">
        <x:v>0</x:v>
      </x:c>
      <x:c r="N1083" s="26" t="n">
        <x:v>0</x:v>
      </x:c>
      <x:c r="O1083" s="26" t="n">
        <x:v>56.92</x:v>
      </x:c>
      <x:c r="P1083" s="26" t="n">
        <x:v>13.85</x:v>
      </x:c>
      <x:c r="Q1083" s="26" t="n">
        <x:v>26.15</x:v>
      </x:c>
      <x:c r="R1083" s="26" t="n">
        <x:v>32.31</x:v>
      </x:c>
      <x:c r="S1083" s="26" t="n">
        <x:v>304.6</x:v>
      </x:c>
    </x:row>
    <x:row r="1084">
      <x:c r="A1084" t="n">
        <x:v>501081</x:v>
      </x:c>
      <x:c r="B1084" s="24" t="n">
        <x:v>45860</x:v>
      </x:c>
      <x:c r="C1084" t="n">
        <x:v>1069</x:v>
      </x:c>
      <x:c r="D1084" t="str">
        <x:v>Seller 1069</x:v>
      </x:c>
      <x:c r="E1084" t="str">
        <x:v>Bronze</x:v>
      </x:c>
      <x:c r="F1084" t="str">
        <x:v>East</x:v>
      </x:c>
      <x:c r="G1084" t="str">
        <x:v>Electronics</x:v>
      </x:c>
      <x:c r="H1084" t="n">
        <x:v>3</x:v>
      </x:c>
      <x:c r="I1084" s="26" t="n">
        <x:v>2422.8</x:v>
      </x:c>
      <x:c r="J1084" s="26" t="n">
        <x:v>4279.2</x:v>
      </x:c>
      <x:c r="K1084" s="28" t="n">
        <x:v>0.1272</x:v>
      </x:c>
      <x:c r="L1084" s="26" t="n">
        <x:v>544.31</x:v>
      </x:c>
      <x:c r="M1084" t="n">
        <x:v>0</x:v>
      </x:c>
      <x:c r="N1084" s="26" t="n">
        <x:v>0</x:v>
      </x:c>
      <x:c r="O1084" s="26" t="n">
        <x:v>79.17</x:v>
      </x:c>
      <x:c r="P1084" s="26" t="n">
        <x:v>19.26</x:v>
      </x:c>
      <x:c r="Q1084" s="26" t="n">
        <x:v>36.37</x:v>
      </x:c>
      <x:c r="R1084" s="26" t="n">
        <x:v>44.93</x:v>
      </x:c>
      <x:c r="S1084" s="26" t="n">
        <x:v>364.59</x:v>
      </x:c>
    </x:row>
    <x:row r="1085">
      <x:c r="A1085" t="n">
        <x:v>501082</x:v>
      </x:c>
      <x:c r="B1085" s="24" t="n">
        <x:v>45849</x:v>
      </x:c>
      <x:c r="C1085" t="n">
        <x:v>1020</x:v>
      </x:c>
      <x:c r="D1085" t="str">
        <x:v>Seller 1020</x:v>
      </x:c>
      <x:c r="E1085" t="str">
        <x:v>Gold</x:v>
      </x:c>
      <x:c r="F1085" t="str">
        <x:v>West</x:v>
      </x:c>
      <x:c r="G1085" t="str">
        <x:v>Home &amp; Kitchen</x:v>
      </x:c>
      <x:c r="H1085" t="n">
        <x:v>3</x:v>
      </x:c>
      <x:c r="I1085" s="26" t="n">
        <x:v>2038.1999999999998</x:v>
      </x:c>
      <x:c r="J1085" s="26" t="n">
        <x:v>6676.2</x:v>
      </x:c>
      <x:c r="K1085" s="28" t="n">
        <x:v>0.1294</x:v>
      </x:c>
      <x:c r="L1085" s="26" t="n">
        <x:v>863.9</x:v>
      </x:c>
      <x:c r="M1085" t="n">
        <x:v>0</x:v>
      </x:c>
      <x:c r="N1085" s="26" t="n">
        <x:v>0</x:v>
      </x:c>
      <x:c r="O1085" s="26" t="n">
        <x:v>123.51</x:v>
      </x:c>
      <x:c r="P1085" s="26" t="n">
        <x:v>30.04</x:v>
      </x:c>
      <x:c r="Q1085" s="26" t="n">
        <x:v>56.75</x:v>
      </x:c>
      <x:c r="R1085" s="26" t="n">
        <x:v>70.1</x:v>
      </x:c>
      <x:c r="S1085" s="26" t="n">
        <x:v>583.5</x:v>
      </x:c>
    </x:row>
    <x:row r="1086">
      <x:c r="A1086" t="n">
        <x:v>501083</x:v>
      </x:c>
      <x:c r="B1086" s="24" t="n">
        <x:v>45847</x:v>
      </x:c>
      <x:c r="C1086" t="n">
        <x:v>1032</x:v>
      </x:c>
      <x:c r="D1086" t="str">
        <x:v>Seller 1032</x:v>
      </x:c>
      <x:c r="E1086" t="str">
        <x:v>Silver</x:v>
      </x:c>
      <x:c r="F1086" t="str">
        <x:v>West</x:v>
      </x:c>
      <x:c r="G1086" t="str">
        <x:v>Pet Supplies</x:v>
      </x:c>
      <x:c r="H1086" t="n">
        <x:v>1</x:v>
      </x:c>
      <x:c r="I1086" s="26" t="n">
        <x:v>3255.6</x:v>
      </x:c>
      <x:c r="J1086" s="26" t="n">
        <x:v>2720.4</x:v>
      </x:c>
      <x:c r="K1086" s="28" t="n">
        <x:v>0.1305</x:v>
      </x:c>
      <x:c r="L1086" s="26" t="n">
        <x:v>355.01</x:v>
      </x:c>
      <x:c r="M1086" t="n">
        <x:v>0</x:v>
      </x:c>
      <x:c r="N1086" s="26" t="n">
        <x:v>0</x:v>
      </x:c>
      <x:c r="O1086" s="26" t="n">
        <x:v>50.33</x:v>
      </x:c>
      <x:c r="P1086" s="26" t="n">
        <x:v>12.24</x:v>
      </x:c>
      <x:c r="Q1086" s="26" t="n">
        <x:v>23.12</x:v>
      </x:c>
      <x:c r="R1086" s="26" t="n">
        <x:v>28.56</x:v>
      </x:c>
      <x:c r="S1086" s="26" t="n">
        <x:v>240.76</x:v>
      </x:c>
    </x:row>
    <x:row r="1087">
      <x:c r="A1087" t="n">
        <x:v>501084</x:v>
      </x:c>
      <x:c r="B1087" s="24" t="n">
        <x:v>45847</x:v>
      </x:c>
      <x:c r="C1087" t="n">
        <x:v>1036</x:v>
      </x:c>
      <x:c r="D1087" t="str">
        <x:v>Seller 1036</x:v>
      </x:c>
      <x:c r="E1087" t="str">
        <x:v>Silver</x:v>
      </x:c>
      <x:c r="F1087" t="str">
        <x:v>Central</x:v>
      </x:c>
      <x:c r="G1087" t="str">
        <x:v>Sports</x:v>
      </x:c>
      <x:c r="H1087" t="n">
        <x:v>4</x:v>
      </x:c>
      <x:c r="I1087" s="26" t="n">
        <x:v>870</x:v>
      </x:c>
      <x:c r="J1087" s="26" t="n">
        <x:v>2908.2</x:v>
      </x:c>
      <x:c r="K1087" s="28" t="n">
        <x:v>0.1355</x:v>
      </x:c>
      <x:c r="L1087" s="26" t="n">
        <x:v>394.06</x:v>
      </x:c>
      <x:c r="M1087" t="n">
        <x:v>0</x:v>
      </x:c>
      <x:c r="N1087" s="26" t="n">
        <x:v>0</x:v>
      </x:c>
      <x:c r="O1087" s="26" t="n">
        <x:v>53.8</x:v>
      </x:c>
      <x:c r="P1087" s="26" t="n">
        <x:v>13.09</x:v>
      </x:c>
      <x:c r="Q1087" s="26" t="n">
        <x:v>24.72</x:v>
      </x:c>
      <x:c r="R1087" s="26" t="n">
        <x:v>30.54</x:v>
      </x:c>
      <x:c r="S1087" s="26" t="n">
        <x:v>271.92</x:v>
      </x:c>
    </x:row>
    <x:row r="1088">
      <x:c r="A1088" t="n">
        <x:v>501085</x:v>
      </x:c>
      <x:c r="B1088" s="24" t="n">
        <x:v>45840</x:v>
      </x:c>
      <x:c r="C1088" t="n">
        <x:v>1053</x:v>
      </x:c>
      <x:c r="D1088" t="str">
        <x:v>Seller 1053</x:v>
      </x:c>
      <x:c r="E1088" t="str">
        <x:v>Silver</x:v>
      </x:c>
      <x:c r="F1088" t="str">
        <x:v>Central</x:v>
      </x:c>
      <x:c r="G1088" t="str">
        <x:v>Electronics</x:v>
      </x:c>
      <x:c r="H1088" t="n">
        <x:v>2</x:v>
      </x:c>
      <x:c r="I1088" s="26" t="n">
        <x:v>4141.8</x:v>
      </x:c>
      <x:c r="J1088" s="26" t="n">
        <x:v>6921.6</x:v>
      </x:c>
      <x:c r="K1088" s="28" t="n">
        <x:v>0.1188</x:v>
      </x:c>
      <x:c r="L1088" s="26" t="n">
        <x:v>822.29</x:v>
      </x:c>
      <x:c r="M1088" t="n">
        <x:v>0</x:v>
      </x:c>
      <x:c r="N1088" s="26" t="n">
        <x:v>0</x:v>
      </x:c>
      <x:c r="O1088" s="26" t="n">
        <x:v>128.05</x:v>
      </x:c>
      <x:c r="P1088" s="26" t="n">
        <x:v>31.15</x:v>
      </x:c>
      <x:c r="Q1088" s="26" t="n">
        <x:v>58.83</x:v>
      </x:c>
      <x:c r="R1088" s="26" t="n">
        <x:v>72.68</x:v>
      </x:c>
      <x:c r="S1088" s="26" t="n">
        <x:v>531.58</x:v>
      </x:c>
    </x:row>
    <x:row r="1089">
      <x:c r="A1089" t="n">
        <x:v>501086</x:v>
      </x:c>
      <x:c r="B1089" s="24" t="n">
        <x:v>45891</x:v>
      </x:c>
      <x:c r="C1089" t="n">
        <x:v>1037</x:v>
      </x:c>
      <x:c r="D1089" t="str">
        <x:v>Seller 1037</x:v>
      </x:c>
      <x:c r="E1089" t="str">
        <x:v>Silver</x:v>
      </x:c>
      <x:c r="F1089" t="str">
        <x:v>East</x:v>
      </x:c>
      <x:c r="G1089" t="str">
        <x:v>Apparel</x:v>
      </x:c>
      <x:c r="H1089" t="n">
        <x:v>1</x:v>
      </x:c>
      <x:c r="I1089" s="26" t="n">
        <x:v>3868.2</x:v>
      </x:c>
      <x:c r="J1089" s="26" t="n">
        <x:v>3435.6</x:v>
      </x:c>
      <x:c r="K1089" s="28" t="n">
        <x:v>0.1311</x:v>
      </x:c>
      <x:c r="L1089" s="26" t="n">
        <x:v>450.41</x:v>
      </x:c>
      <x:c r="M1089" t="n">
        <x:v>0</x:v>
      </x:c>
      <x:c r="N1089" s="26" t="n">
        <x:v>0</x:v>
      </x:c>
      <x:c r="O1089" s="26" t="n">
        <x:v>63.56</x:v>
      </x:c>
      <x:c r="P1089" s="26" t="n">
        <x:v>15.46</x:v>
      </x:c>
      <x:c r="Q1089" s="26" t="n">
        <x:v>29.2</x:v>
      </x:c>
      <x:c r="R1089" s="26" t="n">
        <x:v>36.07</x:v>
      </x:c>
      <x:c r="S1089" s="26" t="n">
        <x:v>306.11</x:v>
      </x:c>
    </x:row>
    <x:row r="1090">
      <x:c r="A1090" t="n">
        <x:v>501087</x:v>
      </x:c>
      <x:c r="B1090" s="24" t="n">
        <x:v>45887</x:v>
      </x:c>
      <x:c r="C1090" t="n">
        <x:v>1018</x:v>
      </x:c>
      <x:c r="D1090" t="str">
        <x:v>Seller 1018</x:v>
      </x:c>
      <x:c r="E1090" t="str">
        <x:v>Gold</x:v>
      </x:c>
      <x:c r="F1090" t="str">
        <x:v>West</x:v>
      </x:c>
      <x:c r="G1090" t="str">
        <x:v>Electronics</x:v>
      </x:c>
      <x:c r="H1090" t="n">
        <x:v>1</x:v>
      </x:c>
      <x:c r="I1090" s="26" t="n">
        <x:v>8469.6</x:v>
      </x:c>
      <x:c r="J1090" s="26" t="n">
        <x:v>9830.4</x:v>
      </x:c>
      <x:c r="K1090" s="28" t="n">
        <x:v>0.1343</x:v>
      </x:c>
      <x:c r="L1090" s="26" t="n">
        <x:v>1320.22</x:v>
      </x:c>
      <x:c r="M1090" t="n">
        <x:v>0</x:v>
      </x:c>
      <x:c r="N1090" s="26" t="n">
        <x:v>0</x:v>
      </x:c>
      <x:c r="O1090" s="26" t="n">
        <x:v>181.86</x:v>
      </x:c>
      <x:c r="P1090" s="26" t="n">
        <x:v>44.24</x:v>
      </x:c>
      <x:c r="Q1090" s="26" t="n">
        <x:v>83.56</x:v>
      </x:c>
      <x:c r="R1090" s="26" t="n">
        <x:v>103.22</x:v>
      </x:c>
      <x:c r="S1090" s="26" t="n">
        <x:v>907.35</x:v>
      </x:c>
    </x:row>
    <x:row r="1091">
      <x:c r="A1091" t="n">
        <x:v>501088</x:v>
      </x:c>
      <x:c r="B1091" s="24" t="n">
        <x:v>45889</x:v>
      </x:c>
      <x:c r="C1091" t="n">
        <x:v>1025</x:v>
      </x:c>
      <x:c r="D1091" t="str">
        <x:v>Seller 1025</x:v>
      </x:c>
      <x:c r="E1091" t="str">
        <x:v>Gold</x:v>
      </x:c>
      <x:c r="F1091" t="str">
        <x:v>Central</x:v>
      </x:c>
      <x:c r="G1091" t="str">
        <x:v>Pet Supplies</x:v>
      </x:c>
      <x:c r="H1091" t="n">
        <x:v>3</x:v>
      </x:c>
      <x:c r="I1091" s="26" t="n">
        <x:v>1051.8000000000002</x:v>
      </x:c>
      <x:c r="J1091" s="26" t="n">
        <x:v>3663.6</x:v>
      </x:c>
      <x:c r="K1091" s="28" t="n">
        <x:v>0.1328</x:v>
      </x:c>
      <x:c r="L1091" s="26" t="n">
        <x:v>486.53</x:v>
      </x:c>
      <x:c r="M1091" t="n">
        <x:v>0</x:v>
      </x:c>
      <x:c r="N1091" s="26" t="n">
        <x:v>0</x:v>
      </x:c>
      <x:c r="O1091" s="26" t="n">
        <x:v>67.78</x:v>
      </x:c>
      <x:c r="P1091" s="26" t="n">
        <x:v>16.49</x:v>
      </x:c>
      <x:c r="Q1091" s="26" t="n">
        <x:v>31.14</x:v>
      </x:c>
      <x:c r="R1091" s="26" t="n">
        <x:v>38.47</x:v>
      </x:c>
      <x:c r="S1091" s="26" t="n">
        <x:v>332.65</x:v>
      </x:c>
    </x:row>
    <x:row r="1092">
      <x:c r="A1092" t="n">
        <x:v>501089</x:v>
      </x:c>
      <x:c r="B1092" s="24" t="n">
        <x:v>45896</x:v>
      </x:c>
      <x:c r="C1092" t="n">
        <x:v>1068</x:v>
      </x:c>
      <x:c r="D1092" t="str">
        <x:v>Seller 1068</x:v>
      </x:c>
      <x:c r="E1092" t="str">
        <x:v>Bronze</x:v>
      </x:c>
      <x:c r="F1092" t="str">
        <x:v>South</x:v>
      </x:c>
      <x:c r="G1092" t="str">
        <x:v>Pet Supplies</x:v>
      </x:c>
      <x:c r="H1092" t="n">
        <x:v>3</x:v>
      </x:c>
      <x:c r="I1092" s="26" t="n">
        <x:v>1111.8000000000002</x:v>
      </x:c>
      <x:c r="J1092" s="26" t="n">
        <x:v>2086.8</x:v>
      </x:c>
      <x:c r="K1092" s="28" t="n">
        <x:v>0.124</x:v>
      </x:c>
      <x:c r="L1092" s="26" t="n">
        <x:v>258.76</x:v>
      </x:c>
      <x:c r="M1092" t="n">
        <x:v>0</x:v>
      </x:c>
      <x:c r="N1092" s="26" t="n">
        <x:v>0</x:v>
      </x:c>
      <x:c r="O1092" s="26" t="n">
        <x:v>38.61</x:v>
      </x:c>
      <x:c r="P1092" s="26" t="n">
        <x:v>9.39</x:v>
      </x:c>
      <x:c r="Q1092" s="26" t="n">
        <x:v>17.74</x:v>
      </x:c>
      <x:c r="R1092" s="26" t="n">
        <x:v>21.91</x:v>
      </x:c>
      <x:c r="S1092" s="26" t="n">
        <x:v>171.12</x:v>
      </x:c>
    </x:row>
    <x:row r="1093">
      <x:c r="A1093" t="n">
        <x:v>501090</x:v>
      </x:c>
      <x:c r="B1093" s="24" t="n">
        <x:v>45873</x:v>
      </x:c>
      <x:c r="C1093" t="n">
        <x:v>1029</x:v>
      </x:c>
      <x:c r="D1093" t="str">
        <x:v>Seller 1029</x:v>
      </x:c>
      <x:c r="E1093" t="str">
        <x:v>Gold</x:v>
      </x:c>
      <x:c r="F1093" t="str">
        <x:v>West</x:v>
      </x:c>
      <x:c r="G1093" t="str">
        <x:v>Home &amp; Kitchen</x:v>
      </x:c>
      <x:c r="H1093" t="n">
        <x:v>2</x:v>
      </x:c>
      <x:c r="I1093" s="26" t="n">
        <x:v>2616</x:v>
      </x:c>
      <x:c r="J1093" s="26" t="n">
        <x:v>6073.2</x:v>
      </x:c>
      <x:c r="K1093" s="28" t="n">
        <x:v>0.1315</x:v>
      </x:c>
      <x:c r="L1093" s="26" t="n">
        <x:v>798.63</x:v>
      </x:c>
      <x:c r="M1093" t="n">
        <x:v>0</x:v>
      </x:c>
      <x:c r="N1093" s="26" t="n">
        <x:v>0</x:v>
      </x:c>
      <x:c r="O1093" s="26" t="n">
        <x:v>112.35</x:v>
      </x:c>
      <x:c r="P1093" s="26" t="n">
        <x:v>27.33</x:v>
      </x:c>
      <x:c r="Q1093" s="26" t="n">
        <x:v>51.62</x:v>
      </x:c>
      <x:c r="R1093" s="26" t="n">
        <x:v>63.77</x:v>
      </x:c>
      <x:c r="S1093" s="26" t="n">
        <x:v>543.55</x:v>
      </x:c>
    </x:row>
    <x:row r="1094">
      <x:c r="A1094" t="n">
        <x:v>501091</x:v>
      </x:c>
      <x:c r="B1094" s="24" t="n">
        <x:v>45877</x:v>
      </x:c>
      <x:c r="C1094" t="n">
        <x:v>1048</x:v>
      </x:c>
      <x:c r="D1094" t="str">
        <x:v>Seller 1048</x:v>
      </x:c>
      <x:c r="E1094" t="str">
        <x:v>Silver</x:v>
      </x:c>
      <x:c r="F1094" t="str">
        <x:v>East</x:v>
      </x:c>
      <x:c r="G1094" t="str">
        <x:v>Beauty</x:v>
      </x:c>
      <x:c r="H1094" t="n">
        <x:v>3</x:v>
      </x:c>
      <x:c r="I1094" s="26" t="n">
        <x:v>797.4</x:v>
      </x:c>
      <x:c r="J1094" s="26" t="n">
        <x:v>2125.2</x:v>
      </x:c>
      <x:c r="K1094" s="28" t="n">
        <x:v>0.1459</x:v>
      </x:c>
      <x:c r="L1094" s="26" t="n">
        <x:v>310.07</x:v>
      </x:c>
      <x:c r="M1094" t="n">
        <x:v>0</x:v>
      </x:c>
      <x:c r="N1094" s="26" t="n">
        <x:v>0</x:v>
      </x:c>
      <x:c r="O1094" s="26" t="n">
        <x:v>39.32</x:v>
      </x:c>
      <x:c r="P1094" s="26" t="n">
        <x:v>9.56</x:v>
      </x:c>
      <x:c r="Q1094" s="26" t="n">
        <x:v>18.06</x:v>
      </x:c>
      <x:c r="R1094" s="26" t="n">
        <x:v>22.31</x:v>
      </x:c>
      <x:c r="S1094" s="26" t="n">
        <x:v>220.81</x:v>
      </x:c>
    </x:row>
    <x:row r="1095">
      <x:c r="A1095" t="n">
        <x:v>501092</x:v>
      </x:c>
      <x:c r="B1095" s="24" t="n">
        <x:v>45897</x:v>
      </x:c>
      <x:c r="C1095" t="n">
        <x:v>1062</x:v>
      </x:c>
      <x:c r="D1095" t="str">
        <x:v>Seller 1062</x:v>
      </x:c>
      <x:c r="E1095" t="str">
        <x:v>Bronze</x:v>
      </x:c>
      <x:c r="F1095" t="str">
        <x:v>West</x:v>
      </x:c>
      <x:c r="G1095" t="str">
        <x:v>Electronics</x:v>
      </x:c>
      <x:c r="H1095" t="n">
        <x:v>2</x:v>
      </x:c>
      <x:c r="I1095" s="26" t="n">
        <x:v>5458.8</x:v>
      </x:c>
      <x:c r="J1095" s="26" t="n">
        <x:v>6831.6</x:v>
      </x:c>
      <x:c r="K1095" s="28" t="n">
        <x:v>0.1267</x:v>
      </x:c>
      <x:c r="L1095" s="26" t="n">
        <x:v>865.56</x:v>
      </x:c>
      <x:c r="M1095" t="n">
        <x:v>0</x:v>
      </x:c>
      <x:c r="N1095" s="26" t="n">
        <x:v>0</x:v>
      </x:c>
      <x:c r="O1095" s="26" t="n">
        <x:v>126.38</x:v>
      </x:c>
      <x:c r="P1095" s="26" t="n">
        <x:v>30.74</x:v>
      </x:c>
      <x:c r="Q1095" s="26" t="n">
        <x:v>58.07</x:v>
      </x:c>
      <x:c r="R1095" s="26" t="n">
        <x:v>71.73</x:v>
      </x:c>
      <x:c r="S1095" s="26" t="n">
        <x:v>578.64</x:v>
      </x:c>
    </x:row>
    <x:row r="1096">
      <x:c r="A1096" t="n">
        <x:v>501093</x:v>
      </x:c>
      <x:c r="B1096" s="24" t="n">
        <x:v>45877</x:v>
      </x:c>
      <x:c r="C1096" t="n">
        <x:v>1066</x:v>
      </x:c>
      <x:c r="D1096" t="str">
        <x:v>Seller 1066</x:v>
      </x:c>
      <x:c r="E1096" t="str">
        <x:v>Bronze</x:v>
      </x:c>
      <x:c r="F1096" t="str">
        <x:v>South</x:v>
      </x:c>
      <x:c r="G1096" t="str">
        <x:v>Electronics</x:v>
      </x:c>
      <x:c r="H1096" t="n">
        <x:v>4</x:v>
      </x:c>
      <x:c r="I1096" s="26" t="n">
        <x:v>1594.8</x:v>
      </x:c>
      <x:c r="J1096" s="26" t="n">
        <x:v>3991.8</x:v>
      </x:c>
      <x:c r="K1096" s="28" t="n">
        <x:v>0.1334</x:v>
      </x:c>
      <x:c r="L1096" s="26" t="n">
        <x:v>532.51</x:v>
      </x:c>
      <x:c r="M1096" t="n">
        <x:v>1</x:v>
      </x:c>
      <x:c r="N1096" s="26" t="n">
        <x:v>3022.2</x:v>
      </x:c>
      <x:c r="O1096" s="26" t="n">
        <x:v>73.85</x:v>
      </x:c>
      <x:c r="P1096" s="26" t="n">
        <x:v>17.96</x:v>
      </x:c>
      <x:c r="Q1096" s="26" t="n">
        <x:v>33.93</x:v>
      </x:c>
      <x:c r="R1096" s="26" t="n">
        <x:v>41.91</x:v>
      </x:c>
      <x:c r="S1096" s="26" t="n">
        <x:v>304.41</x:v>
      </x:c>
    </x:row>
    <x:row r="1097">
      <x:c r="A1097" t="n">
        <x:v>501094</x:v>
      </x:c>
      <x:c r="B1097" s="24" t="n">
        <x:v>45874</x:v>
      </x:c>
      <x:c r="C1097" t="n">
        <x:v>1046</x:v>
      </x:c>
      <x:c r="D1097" t="str">
        <x:v>Seller 1046</x:v>
      </x:c>
      <x:c r="E1097" t="str">
        <x:v>Silver</x:v>
      </x:c>
      <x:c r="F1097" t="str">
        <x:v>Central</x:v>
      </x:c>
      <x:c r="G1097" t="str">
        <x:v>Sports</x:v>
      </x:c>
      <x:c r="H1097" t="n">
        <x:v>1</x:v>
      </x:c>
      <x:c r="I1097" s="26" t="n">
        <x:v>5033.4</x:v>
      </x:c>
      <x:c r="J1097" s="26" t="n">
        <x:v>4470.6</x:v>
      </x:c>
      <x:c r="K1097" s="28" t="n">
        <x:v>0.1256</x:v>
      </x:c>
      <x:c r="L1097" s="26" t="n">
        <x:v>561.51</x:v>
      </x:c>
      <x:c r="M1097" t="n">
        <x:v>0</x:v>
      </x:c>
      <x:c r="N1097" s="26" t="n">
        <x:v>0</x:v>
      </x:c>
      <x:c r="O1097" s="26" t="n">
        <x:v>82.71</x:v>
      </x:c>
      <x:c r="P1097" s="26" t="n">
        <x:v>20.12</x:v>
      </x:c>
      <x:c r="Q1097" s="26" t="n">
        <x:v>38</x:v>
      </x:c>
      <x:c r="R1097" s="26" t="n">
        <x:v>46.94</x:v>
      </x:c>
      <x:c r="S1097" s="26" t="n">
        <x:v>373.74</x:v>
      </x:c>
    </x:row>
    <x:row r="1098">
      <x:c r="A1098" t="n">
        <x:v>501095</x:v>
      </x:c>
      <x:c r="B1098" s="24" t="n">
        <x:v>45876</x:v>
      </x:c>
      <x:c r="C1098" t="n">
        <x:v>1011</x:v>
      </x:c>
      <x:c r="D1098" t="str">
        <x:v>Seller 1011</x:v>
      </x:c>
      <x:c r="E1098" t="str">
        <x:v>Platinum</x:v>
      </x:c>
      <x:c r="F1098" t="str">
        <x:v>West</x:v>
      </x:c>
      <x:c r="G1098" t="str">
        <x:v>Electronics</x:v>
      </x:c>
      <x:c r="H1098" t="n">
        <x:v>3</x:v>
      </x:c>
      <x:c r="I1098" s="26" t="n">
        <x:v>2473.7999999999997</x:v>
      </x:c>
      <x:c r="J1098" s="26" t="n">
        <x:v>11610.6</x:v>
      </x:c>
      <x:c r="K1098" s="28" t="n">
        <x:v>0.1349</x:v>
      </x:c>
      <x:c r="L1098" s="26" t="n">
        <x:v>1566.27</x:v>
      </x:c>
      <x:c r="M1098" t="n">
        <x:v>0</x:v>
      </x:c>
      <x:c r="N1098" s="26" t="n">
        <x:v>0</x:v>
      </x:c>
      <x:c r="O1098" s="26" t="n">
        <x:v>214.8</x:v>
      </x:c>
      <x:c r="P1098" s="26" t="n">
        <x:v>52.25</x:v>
      </x:c>
      <x:c r="Q1098" s="26" t="n">
        <x:v>98.69</x:v>
      </x:c>
      <x:c r="R1098" s="26" t="n">
        <x:v>121.91</x:v>
      </x:c>
      <x:c r="S1098" s="26" t="n">
        <x:v>1078.62</x:v>
      </x:c>
    </x:row>
    <x:row r="1099">
      <x:c r="A1099" t="n">
        <x:v>501096</x:v>
      </x:c>
      <x:c r="B1099" s="24" t="n">
        <x:v>45882</x:v>
      </x:c>
      <x:c r="C1099" t="n">
        <x:v>1029</x:v>
      </x:c>
      <x:c r="D1099" t="str">
        <x:v>Seller 1029</x:v>
      </x:c>
      <x:c r="E1099" t="str">
        <x:v>Gold</x:v>
      </x:c>
      <x:c r="F1099" t="str">
        <x:v>West</x:v>
      </x:c>
      <x:c r="G1099" t="str">
        <x:v>Home &amp; Kitchen</x:v>
      </x:c>
      <x:c r="H1099" t="n">
        <x:v>1</x:v>
      </x:c>
      <x:c r="I1099" s="26" t="n">
        <x:v>5186.4</x:v>
      </x:c>
      <x:c r="J1099" s="26" t="n">
        <x:v>6019.8</x:v>
      </x:c>
      <x:c r="K1099" s="28" t="n">
        <x:v>0.1444</x:v>
      </x:c>
      <x:c r="L1099" s="26" t="n">
        <x:v>869.26</x:v>
      </x:c>
      <x:c r="M1099" t="n">
        <x:v>0</x:v>
      </x:c>
      <x:c r="N1099" s="26" t="n">
        <x:v>0</x:v>
      </x:c>
      <x:c r="O1099" s="26" t="n">
        <x:v>111.37</x:v>
      </x:c>
      <x:c r="P1099" s="26" t="n">
        <x:v>27.09</x:v>
      </x:c>
      <x:c r="Q1099" s="26" t="n">
        <x:v>51.17</x:v>
      </x:c>
      <x:c r="R1099" s="26" t="n">
        <x:v>63.21</x:v>
      </x:c>
      <x:c r="S1099" s="26" t="n">
        <x:v>616.43</x:v>
      </x:c>
    </x:row>
    <x:row r="1100">
      <x:c r="A1100" t="n">
        <x:v>501097</x:v>
      </x:c>
      <x:c r="B1100" s="24" t="n">
        <x:v>45874</x:v>
      </x:c>
      <x:c r="C1100" t="n">
        <x:v>1057</x:v>
      </x:c>
      <x:c r="D1100" t="str">
        <x:v>Seller 1057</x:v>
      </x:c>
      <x:c r="E1100" t="str">
        <x:v>Bronze</x:v>
      </x:c>
      <x:c r="F1100" t="str">
        <x:v>South</x:v>
      </x:c>
      <x:c r="G1100" t="str">
        <x:v>Electronics</x:v>
      </x:c>
      <x:c r="H1100" t="n">
        <x:v>2</x:v>
      </x:c>
      <x:c r="I1100" s="26" t="n">
        <x:v>4940.400000000001</x:v>
      </x:c>
      <x:c r="J1100" s="26" t="n">
        <x:v>6183</x:v>
      </x:c>
      <x:c r="K1100" s="28" t="n">
        <x:v>0.1216</x:v>
      </x:c>
      <x:c r="L1100" s="26" t="n">
        <x:v>751.85</x:v>
      </x:c>
      <x:c r="M1100" t="n">
        <x:v>0</x:v>
      </x:c>
      <x:c r="N1100" s="26" t="n">
        <x:v>0</x:v>
      </x:c>
      <x:c r="O1100" s="26" t="n">
        <x:v>114.39</x:v>
      </x:c>
      <x:c r="P1100" s="26" t="n">
        <x:v>27.82</x:v>
      </x:c>
      <x:c r="Q1100" s="26" t="n">
        <x:v>52.56</x:v>
      </x:c>
      <x:c r="R1100" s="26" t="n">
        <x:v>64.92</x:v>
      </x:c>
      <x:c r="S1100" s="26" t="n">
        <x:v>492.17</x:v>
      </x:c>
    </x:row>
    <x:row r="1101">
      <x:c r="A1101" t="n">
        <x:v>501098</x:v>
      </x:c>
      <x:c r="B1101" s="24" t="n">
        <x:v>45883</x:v>
      </x:c>
      <x:c r="C1101" t="n">
        <x:v>1037</x:v>
      </x:c>
      <x:c r="D1101" t="str">
        <x:v>Seller 1037</x:v>
      </x:c>
      <x:c r="E1101" t="str">
        <x:v>Silver</x:v>
      </x:c>
      <x:c r="F1101" t="str">
        <x:v>East</x:v>
      </x:c>
      <x:c r="G1101" t="str">
        <x:v>Apparel</x:v>
      </x:c>
      <x:c r="H1101" t="n">
        <x:v>1</x:v>
      </x:c>
      <x:c r="I1101" s="26" t="n">
        <x:v>4152</x:v>
      </x:c>
      <x:c r="J1101" s="26" t="n">
        <x:v>3687.6</x:v>
      </x:c>
      <x:c r="K1101" s="28" t="n">
        <x:v>0.1296</x:v>
      </x:c>
      <x:c r="L1101" s="26" t="n">
        <x:v>477.91</x:v>
      </x:c>
      <x:c r="M1101" t="n">
        <x:v>0</x:v>
      </x:c>
      <x:c r="N1101" s="26" t="n">
        <x:v>0</x:v>
      </x:c>
      <x:c r="O1101" s="26" t="n">
        <x:v>68.22</x:v>
      </x:c>
      <x:c r="P1101" s="26" t="n">
        <x:v>16.59</x:v>
      </x:c>
      <x:c r="Q1101" s="26" t="n">
        <x:v>31.34</x:v>
      </x:c>
      <x:c r="R1101" s="26" t="n">
        <x:v>38.72</x:v>
      </x:c>
      <x:c r="S1101" s="26" t="n">
        <x:v>323.03</x:v>
      </x:c>
    </x:row>
    <x:row r="1102">
      <x:c r="A1102" t="n">
        <x:v>501099</x:v>
      </x:c>
      <x:c r="B1102" s="24" t="n">
        <x:v>45892</x:v>
      </x:c>
      <x:c r="C1102" t="n">
        <x:v>1035</x:v>
      </x:c>
      <x:c r="D1102" t="str">
        <x:v>Seller 1035</x:v>
      </x:c>
      <x:c r="E1102" t="str">
        <x:v>Silver</x:v>
      </x:c>
      <x:c r="F1102" t="str">
        <x:v>East</x:v>
      </x:c>
      <x:c r="G1102" t="str">
        <x:v>Electronics</x:v>
      </x:c>
      <x:c r="H1102" t="n">
        <x:v>1</x:v>
      </x:c>
      <x:c r="I1102" s="26" t="n">
        <x:v>8755.800000000001</x:v>
      </x:c>
      <x:c r="J1102" s="26" t="n">
        <x:v>7777.2</x:v>
      </x:c>
      <x:c r="K1102" s="28" t="n">
        <x:v>0.1294</x:v>
      </x:c>
      <x:c r="L1102" s="26" t="n">
        <x:v>1006.37</x:v>
      </x:c>
      <x:c r="M1102" t="n">
        <x:v>0</x:v>
      </x:c>
      <x:c r="N1102" s="26" t="n">
        <x:v>0</x:v>
      </x:c>
      <x:c r="O1102" s="26" t="n">
        <x:v>143.88</x:v>
      </x:c>
      <x:c r="P1102" s="26" t="n">
        <x:v>35</x:v>
      </x:c>
      <x:c r="Q1102" s="26" t="n">
        <x:v>66.11</x:v>
      </x:c>
      <x:c r="R1102" s="26" t="n">
        <x:v>81.66</x:v>
      </x:c>
      <x:c r="S1102" s="26" t="n">
        <x:v>679.73</x:v>
      </x:c>
    </x:row>
    <x:row r="1103">
      <x:c r="A1103" t="n">
        <x:v>501100</x:v>
      </x:c>
      <x:c r="B1103" s="24" t="n">
        <x:v>45868</x:v>
      </x:c>
      <x:c r="C1103" t="n">
        <x:v>1052</x:v>
      </x:c>
      <x:c r="D1103" t="str">
        <x:v>Seller 1052</x:v>
      </x:c>
      <x:c r="E1103" t="str">
        <x:v>Silver</x:v>
      </x:c>
      <x:c r="F1103" t="str">
        <x:v>Central</x:v>
      </x:c>
      <x:c r="G1103" t="str">
        <x:v>Pet Supplies</x:v>
      </x:c>
      <x:c r="H1103" t="n">
        <x:v>4</x:v>
      </x:c>
      <x:c r="I1103" s="26" t="n">
        <x:v>558</x:v>
      </x:c>
      <x:c r="J1103" s="26" t="n">
        <x:v>1982.4</x:v>
      </x:c>
      <x:c r="K1103" s="28" t="n">
        <x:v>0.1293</x:v>
      </x:c>
      <x:c r="L1103" s="26" t="n">
        <x:v>256.32</x:v>
      </x:c>
      <x:c r="M1103" t="n">
        <x:v>0</x:v>
      </x:c>
      <x:c r="N1103" s="26" t="n">
        <x:v>0</x:v>
      </x:c>
      <x:c r="O1103" s="26" t="n">
        <x:v>36.67</x:v>
      </x:c>
      <x:c r="P1103" s="26" t="n">
        <x:v>8.92</x:v>
      </x:c>
      <x:c r="Q1103" s="26" t="n">
        <x:v>16.85</x:v>
      </x:c>
      <x:c r="R1103" s="26" t="n">
        <x:v>20.82</x:v>
      </x:c>
      <x:c r="S1103" s="26" t="n">
        <x:v>173.06</x:v>
      </x:c>
    </x:row>
    <x:row r="1104">
      <x:c r="A1104" t="n">
        <x:v>501101</x:v>
      </x:c>
      <x:c r="B1104" s="24" t="n">
        <x:v>45887</x:v>
      </x:c>
      <x:c r="C1104" t="n">
        <x:v>1017</x:v>
      </x:c>
      <x:c r="D1104" t="str">
        <x:v>Seller 1017</x:v>
      </x:c>
      <x:c r="E1104" t="str">
        <x:v>Gold</x:v>
      </x:c>
      <x:c r="F1104" t="str">
        <x:v>East</x:v>
      </x:c>
      <x:c r="G1104" t="str">
        <x:v>Electronics</x:v>
      </x:c>
      <x:c r="H1104" t="n">
        <x:v>1</x:v>
      </x:c>
      <x:c r="I1104" s="26" t="n">
        <x:v>8700</x:v>
      </x:c>
      <x:c r="J1104" s="26" t="n">
        <x:v>10098</x:v>
      </x:c>
      <x:c r="K1104" s="28" t="n">
        <x:v>0.1187</x:v>
      </x:c>
      <x:c r="L1104" s="26" t="n">
        <x:v>1198.63</x:v>
      </x:c>
      <x:c r="M1104" t="n">
        <x:v>0</x:v>
      </x:c>
      <x:c r="N1104" s="26" t="n">
        <x:v>0</x:v>
      </x:c>
      <x:c r="O1104" s="26" t="n">
        <x:v>186.81</x:v>
      </x:c>
      <x:c r="P1104" s="26" t="n">
        <x:v>45.44</x:v>
      </x:c>
      <x:c r="Q1104" s="26" t="n">
        <x:v>85.83</x:v>
      </x:c>
      <x:c r="R1104" s="26" t="n">
        <x:v>106.03</x:v>
      </x:c>
      <x:c r="S1104" s="26" t="n">
        <x:v>774.52</x:v>
      </x:c>
    </x:row>
    <x:row r="1105">
      <x:c r="A1105" t="n">
        <x:v>501102</x:v>
      </x:c>
      <x:c r="B1105" s="24" t="n">
        <x:v>45884</x:v>
      </x:c>
      <x:c r="C1105" t="n">
        <x:v>1002</x:v>
      </x:c>
      <x:c r="D1105" t="str">
        <x:v>Seller 1002</x:v>
      </x:c>
      <x:c r="E1105" t="str">
        <x:v>Platinum</x:v>
      </x:c>
      <x:c r="F1105" t="str">
        <x:v>Central</x:v>
      </x:c>
      <x:c r="G1105" t="str">
        <x:v>Home &amp; Kitchen</x:v>
      </x:c>
      <x:c r="H1105" t="n">
        <x:v>2</x:v>
      </x:c>
      <x:c r="I1105" s="26" t="n">
        <x:v>2900.4</x:v>
      </x:c>
      <x:c r="J1105" s="26" t="n">
        <x:v>9074.4</x:v>
      </x:c>
      <x:c r="K1105" s="28" t="n">
        <x:v>0.1413</x:v>
      </x:c>
      <x:c r="L1105" s="26" t="n">
        <x:v>1282.21</x:v>
      </x:c>
      <x:c r="M1105" t="n">
        <x:v>0</x:v>
      </x:c>
      <x:c r="N1105" s="26" t="n">
        <x:v>0</x:v>
      </x:c>
      <x:c r="O1105" s="26" t="n">
        <x:v>167.88</x:v>
      </x:c>
      <x:c r="P1105" s="26" t="n">
        <x:v>40.83</x:v>
      </x:c>
      <x:c r="Q1105" s="26" t="n">
        <x:v>77.13</x:v>
      </x:c>
      <x:c r="R1105" s="26" t="n">
        <x:v>95.28</x:v>
      </x:c>
      <x:c r="S1105" s="26" t="n">
        <x:v>901.09</x:v>
      </x:c>
    </x:row>
    <x:row r="1106">
      <x:c r="A1106" t="n">
        <x:v>501103</x:v>
      </x:c>
      <x:c r="B1106" s="24" t="n">
        <x:v>45874</x:v>
      </x:c>
      <x:c r="C1106" t="n">
        <x:v>1024</x:v>
      </x:c>
      <x:c r="D1106" t="str">
        <x:v>Seller 1024</x:v>
      </x:c>
      <x:c r="E1106" t="str">
        <x:v>Gold</x:v>
      </x:c>
      <x:c r="F1106" t="str">
        <x:v>West</x:v>
      </x:c>
      <x:c r="G1106" t="str">
        <x:v>Pet Supplies</x:v>
      </x:c>
      <x:c r="H1106" t="n">
        <x:v>2</x:v>
      </x:c>
      <x:c r="I1106" s="26" t="n">
        <x:v>1063.8</x:v>
      </x:c>
      <x:c r="J1106" s="26" t="n">
        <x:v>2470.2</x:v>
      </x:c>
      <x:c r="K1106" s="28" t="n">
        <x:v>0.1439</x:v>
      </x:c>
      <x:c r="L1106" s="26" t="n">
        <x:v>355.46</x:v>
      </x:c>
      <x:c r="M1106" t="n">
        <x:v>0</x:v>
      </x:c>
      <x:c r="N1106" s="26" t="n">
        <x:v>0</x:v>
      </x:c>
      <x:c r="O1106" s="26" t="n">
        <x:v>45.7</x:v>
      </x:c>
      <x:c r="P1106" s="26" t="n">
        <x:v>11.12</x:v>
      </x:c>
      <x:c r="Q1106" s="26" t="n">
        <x:v>21</x:v>
      </x:c>
      <x:c r="R1106" s="26" t="n">
        <x:v>25.94</x:v>
      </x:c>
      <x:c r="S1106" s="26" t="n">
        <x:v>251.71</x:v>
      </x:c>
    </x:row>
    <x:row r="1107">
      <x:c r="A1107" t="n">
        <x:v>501104</x:v>
      </x:c>
      <x:c r="B1107" s="24" t="n">
        <x:v>45886</x:v>
      </x:c>
      <x:c r="C1107" t="n">
        <x:v>1061</x:v>
      </x:c>
      <x:c r="D1107" t="str">
        <x:v>Seller 1061</x:v>
      </x:c>
      <x:c r="E1107" t="str">
        <x:v>Bronze</x:v>
      </x:c>
      <x:c r="F1107" t="str">
        <x:v>Central</x:v>
      </x:c>
      <x:c r="G1107" t="str">
        <x:v>Electronics</x:v>
      </x:c>
      <x:c r="H1107" t="n">
        <x:v>3</x:v>
      </x:c>
      <x:c r="I1107" s="26" t="n">
        <x:v>1894.2</x:v>
      </x:c>
      <x:c r="J1107" s="26" t="n">
        <x:v>3555.6</x:v>
      </x:c>
      <x:c r="K1107" s="28" t="n">
        <x:v>0.1251</x:v>
      </x:c>
      <x:c r="L1107" s="26" t="n">
        <x:v>444.81</x:v>
      </x:c>
      <x:c r="M1107" t="n">
        <x:v>0</x:v>
      </x:c>
      <x:c r="N1107" s="26" t="n">
        <x:v>0</x:v>
      </x:c>
      <x:c r="O1107" s="26" t="n">
        <x:v>65.78</x:v>
      </x:c>
      <x:c r="P1107" s="26" t="n">
        <x:v>16</x:v>
      </x:c>
      <x:c r="Q1107" s="26" t="n">
        <x:v>30.22</x:v>
      </x:c>
      <x:c r="R1107" s="26" t="n">
        <x:v>37.33</x:v>
      </x:c>
      <x:c r="S1107" s="26" t="n">
        <x:v>295.47</x:v>
      </x:c>
    </x:row>
    <x:row r="1108">
      <x:c r="A1108" t="n">
        <x:v>501105</x:v>
      </x:c>
      <x:c r="B1108" s="24" t="n">
        <x:v>45887</x:v>
      </x:c>
      <x:c r="C1108" t="n">
        <x:v>1020</x:v>
      </x:c>
      <x:c r="D1108" t="str">
        <x:v>Seller 1020</x:v>
      </x:c>
      <x:c r="E1108" t="str">
        <x:v>Gold</x:v>
      </x:c>
      <x:c r="F1108" t="str">
        <x:v>West</x:v>
      </x:c>
      <x:c r="G1108" t="str">
        <x:v>Home &amp; Kitchen</x:v>
      </x:c>
      <x:c r="H1108" t="n">
        <x:v>2</x:v>
      </x:c>
      <x:c r="I1108" s="26" t="n">
        <x:v>2541.6</x:v>
      </x:c>
      <x:c r="J1108" s="26" t="n">
        <x:v>5899.8</x:v>
      </x:c>
      <x:c r="K1108" s="28" t="n">
        <x:v>0.1468</x:v>
      </x:c>
      <x:c r="L1108" s="26" t="n">
        <x:v>866.09</x:v>
      </x:c>
      <x:c r="M1108" t="n">
        <x:v>0</x:v>
      </x:c>
      <x:c r="N1108" s="26" t="n">
        <x:v>0</x:v>
      </x:c>
      <x:c r="O1108" s="26" t="n">
        <x:v>109.15</x:v>
      </x:c>
      <x:c r="P1108" s="26" t="n">
        <x:v>26.55</x:v>
      </x:c>
      <x:c r="Q1108" s="26" t="n">
        <x:v>50.15</x:v>
      </x:c>
      <x:c r="R1108" s="26" t="n">
        <x:v>61.95</x:v>
      </x:c>
      <x:c r="S1108" s="26" t="n">
        <x:v>618.3</x:v>
      </x:c>
    </x:row>
    <x:row r="1109">
      <x:c r="A1109" t="n">
        <x:v>501106</x:v>
      </x:c>
      <x:c r="B1109" s="24" t="n">
        <x:v>45878</x:v>
      </x:c>
      <x:c r="C1109" t="n">
        <x:v>1026</x:v>
      </x:c>
      <x:c r="D1109" t="str">
        <x:v>Seller 1026</x:v>
      </x:c>
      <x:c r="E1109" t="str">
        <x:v>Gold</x:v>
      </x:c>
      <x:c r="F1109" t="str">
        <x:v>East</x:v>
      </x:c>
      <x:c r="G1109" t="str">
        <x:v>Home &amp; Kitchen</x:v>
      </x:c>
      <x:c r="H1109" t="n">
        <x:v>3</x:v>
      </x:c>
      <x:c r="I1109" s="26" t="n">
        <x:v>1766.4</x:v>
      </x:c>
      <x:c r="J1109" s="26" t="n">
        <x:v>6151.8</x:v>
      </x:c>
      <x:c r="K1109" s="28" t="n">
        <x:v>0.1304</x:v>
      </x:c>
      <x:c r="L1109" s="26" t="n">
        <x:v>802.19</x:v>
      </x:c>
      <x:c r="M1109" t="n">
        <x:v>0</x:v>
      </x:c>
      <x:c r="N1109" s="26" t="n">
        <x:v>0</x:v>
      </x:c>
      <x:c r="O1109" s="26" t="n">
        <x:v>113.81</x:v>
      </x:c>
      <x:c r="P1109" s="26" t="n">
        <x:v>27.68</x:v>
      </x:c>
      <x:c r="Q1109" s="26" t="n">
        <x:v>52.29</x:v>
      </x:c>
      <x:c r="R1109" s="26" t="n">
        <x:v>64.59</x:v>
      </x:c>
      <x:c r="S1109" s="26" t="n">
        <x:v>543.82</x:v>
      </x:c>
    </x:row>
    <x:row r="1110">
      <x:c r="A1110" t="n">
        <x:v>501107</x:v>
      </x:c>
      <x:c r="B1110" s="24" t="n">
        <x:v>45879</x:v>
      </x:c>
      <x:c r="C1110" t="n">
        <x:v>1055</x:v>
      </x:c>
      <x:c r="D1110" t="str">
        <x:v>Seller 1055</x:v>
      </x:c>
      <x:c r="E1110" t="str">
        <x:v>Bronze</x:v>
      </x:c>
      <x:c r="F1110" t="str">
        <x:v>Central</x:v>
      </x:c>
      <x:c r="G1110" t="str">
        <x:v>Pet Supplies</x:v>
      </x:c>
      <x:c r="H1110" t="n">
        <x:v>1</x:v>
      </x:c>
      <x:c r="I1110" s="26" t="n">
        <x:v>3097.8</x:v>
      </x:c>
      <x:c r="J1110" s="26" t="n">
        <x:v>1938.6</x:v>
      </x:c>
      <x:c r="K1110" s="28" t="n">
        <x:v>0.1273</x:v>
      </x:c>
      <x:c r="L1110" s="26" t="n">
        <x:v>246.78</x:v>
      </x:c>
      <x:c r="M1110" t="n">
        <x:v>0</x:v>
      </x:c>
      <x:c r="N1110" s="26" t="n">
        <x:v>0</x:v>
      </x:c>
      <x:c r="O1110" s="26" t="n">
        <x:v>35.86</x:v>
      </x:c>
      <x:c r="P1110" s="26" t="n">
        <x:v>8.72</x:v>
      </x:c>
      <x:c r="Q1110" s="26" t="n">
        <x:v>16.48</x:v>
      </x:c>
      <x:c r="R1110" s="26" t="n">
        <x:v>20.36</x:v>
      </x:c>
      <x:c r="S1110" s="26" t="n">
        <x:v>165.36</x:v>
      </x:c>
    </x:row>
    <x:row r="1111">
      <x:c r="A1111" t="n">
        <x:v>501108</x:v>
      </x:c>
      <x:c r="B1111" s="24" t="n">
        <x:v>45877</x:v>
      </x:c>
      <x:c r="C1111" t="n">
        <x:v>1054</x:v>
      </x:c>
      <x:c r="D1111" t="str">
        <x:v>Seller 1054</x:v>
      </x:c>
      <x:c r="E1111" t="str">
        <x:v>Silver</x:v>
      </x:c>
      <x:c r="F1111" t="str">
        <x:v>South</x:v>
      </x:c>
      <x:c r="G1111" t="str">
        <x:v>Home &amp; Kitchen</x:v>
      </x:c>
      <x:c r="H1111" t="n">
        <x:v>3</x:v>
      </x:c>
      <x:c r="I1111" s="26" t="n">
        <x:v>1487.3999999999999</x:v>
      </x:c>
      <x:c r="J1111" s="26" t="n">
        <x:v>3963</x:v>
      </x:c>
      <x:c r="K1111" s="28" t="n">
        <x:v>0.123</x:v>
      </x:c>
      <x:c r="L1111" s="26" t="n">
        <x:v>487.45</x:v>
      </x:c>
      <x:c r="M1111" t="n">
        <x:v>0</x:v>
      </x:c>
      <x:c r="N1111" s="26" t="n">
        <x:v>0</x:v>
      </x:c>
      <x:c r="O1111" s="26" t="n">
        <x:v>73.32</x:v>
      </x:c>
      <x:c r="P1111" s="26" t="n">
        <x:v>17.83</x:v>
      </x:c>
      <x:c r="Q1111" s="26" t="n">
        <x:v>33.69</x:v>
      </x:c>
      <x:c r="R1111" s="26" t="n">
        <x:v>41.61</x:v>
      </x:c>
      <x:c r="S1111" s="26" t="n">
        <x:v>321</x:v>
      </x:c>
    </x:row>
    <x:row r="1112">
      <x:c r="A1112" t="n">
        <x:v>501109</x:v>
      </x:c>
      <x:c r="B1112" s="24" t="n">
        <x:v>45871</x:v>
      </x:c>
      <x:c r="C1112" t="n">
        <x:v>1061</x:v>
      </x:c>
      <x:c r="D1112" t="str">
        <x:v>Seller 1061</x:v>
      </x:c>
      <x:c r="E1112" t="str">
        <x:v>Bronze</x:v>
      </x:c>
      <x:c r="F1112" t="str">
        <x:v>Central</x:v>
      </x:c>
      <x:c r="G1112" t="str">
        <x:v>Electronics</x:v>
      </x:c>
      <x:c r="H1112" t="n">
        <x:v>1</x:v>
      </x:c>
      <x:c r="I1112" s="26" t="n">
        <x:v>8241.6</x:v>
      </x:c>
      <x:c r="J1112" s="26" t="n">
        <x:v>5157.6</x:v>
      </x:c>
      <x:c r="K1112" s="28" t="n">
        <x:v>0.1191</x:v>
      </x:c>
      <x:c r="L1112" s="26" t="n">
        <x:v>614.27</x:v>
      </x:c>
      <x:c r="M1112" t="n">
        <x:v>0</x:v>
      </x:c>
      <x:c r="N1112" s="26" t="n">
        <x:v>0</x:v>
      </x:c>
      <x:c r="O1112" s="26" t="n">
        <x:v>95.42</x:v>
      </x:c>
      <x:c r="P1112" s="26" t="n">
        <x:v>23.21</x:v>
      </x:c>
      <x:c r="Q1112" s="26" t="n">
        <x:v>43.84</x:v>
      </x:c>
      <x:c r="R1112" s="26" t="n">
        <x:v>54.15</x:v>
      </x:c>
      <x:c r="S1112" s="26" t="n">
        <x:v>397.65</x:v>
      </x:c>
    </x:row>
    <x:row r="1113">
      <x:c r="A1113" t="n">
        <x:v>501110</x:v>
      </x:c>
      <x:c r="B1113" s="24" t="n">
        <x:v>45891</x:v>
      </x:c>
      <x:c r="C1113" t="n">
        <x:v>1013</x:v>
      </x:c>
      <x:c r="D1113" t="str">
        <x:v>Seller 1013</x:v>
      </x:c>
      <x:c r="E1113" t="str">
        <x:v>Gold</x:v>
      </x:c>
      <x:c r="F1113" t="str">
        <x:v>West</x:v>
      </x:c>
      <x:c r="G1113" t="str">
        <x:v>Electronics</x:v>
      </x:c>
      <x:c r="H1113" t="n">
        <x:v>1</x:v>
      </x:c>
      <x:c r="I1113" s="26" t="n">
        <x:v>7610.400000000001</x:v>
      </x:c>
      <x:c r="J1113" s="26" t="n">
        <x:v>8833.2</x:v>
      </x:c>
      <x:c r="K1113" s="28" t="n">
        <x:v>0.1161</x:v>
      </x:c>
      <x:c r="L1113" s="26" t="n">
        <x:v>1025.53</x:v>
      </x:c>
      <x:c r="M1113" t="n">
        <x:v>0</x:v>
      </x:c>
      <x:c r="N1113" s="26" t="n">
        <x:v>0</x:v>
      </x:c>
      <x:c r="O1113" s="26" t="n">
        <x:v>163.41</x:v>
      </x:c>
      <x:c r="P1113" s="26" t="n">
        <x:v>39.75</x:v>
      </x:c>
      <x:c r="Q1113" s="26" t="n">
        <x:v>75.08</x:v>
      </x:c>
      <x:c r="R1113" s="26" t="n">
        <x:v>92.75</x:v>
      </x:c>
      <x:c r="S1113" s="26" t="n">
        <x:v>654.54</x:v>
      </x:c>
    </x:row>
    <x:row r="1114">
      <x:c r="A1114" t="n">
        <x:v>501111</x:v>
      </x:c>
      <x:c r="B1114" s="24" t="n">
        <x:v>45872</x:v>
      </x:c>
      <x:c r="C1114" t="n">
        <x:v>1076</x:v>
      </x:c>
      <x:c r="D1114" t="str">
        <x:v>Seller 1076</x:v>
      </x:c>
      <x:c r="E1114" t="str">
        <x:v>Bronze</x:v>
      </x:c>
      <x:c r="F1114" t="str">
        <x:v>Central</x:v>
      </x:c>
      <x:c r="G1114" t="str">
        <x:v>Home &amp; Kitchen</x:v>
      </x:c>
      <x:c r="H1114" t="n">
        <x:v>1</x:v>
      </x:c>
      <x:c r="I1114" s="26" t="n">
        <x:v>5332.200000000001</x:v>
      </x:c>
      <x:c r="J1114" s="26" t="n">
        <x:v>3336.6</x:v>
      </x:c>
      <x:c r="K1114" s="28" t="n">
        <x:v>0.128</x:v>
      </x:c>
      <x:c r="L1114" s="26" t="n">
        <x:v>427.08</x:v>
      </x:c>
      <x:c r="M1114" t="n">
        <x:v>0</x:v>
      </x:c>
      <x:c r="N1114" s="26" t="n">
        <x:v>0</x:v>
      </x:c>
      <x:c r="O1114" s="26" t="n">
        <x:v>61.73</x:v>
      </x:c>
      <x:c r="P1114" s="26" t="n">
        <x:v>15.01</x:v>
      </x:c>
      <x:c r="Q1114" s="26" t="n">
        <x:v>28.36</x:v>
      </x:c>
      <x:c r="R1114" s="26" t="n">
        <x:v>35.03</x:v>
      </x:c>
      <x:c r="S1114" s="26" t="n">
        <x:v>286.95</x:v>
      </x:c>
    </x:row>
    <x:row r="1115">
      <x:c r="A1115" t="n">
        <x:v>501112</x:v>
      </x:c>
      <x:c r="B1115" s="24" t="n">
        <x:v>45897</x:v>
      </x:c>
      <x:c r="C1115" t="n">
        <x:v>1078</x:v>
      </x:c>
      <x:c r="D1115" t="str">
        <x:v>Seller 1078</x:v>
      </x:c>
      <x:c r="E1115" t="str">
        <x:v>Bronze</x:v>
      </x:c>
      <x:c r="F1115" t="str">
        <x:v>East</x:v>
      </x:c>
      <x:c r="G1115" t="str">
        <x:v>Home &amp; Kitchen</x:v>
      </x:c>
      <x:c r="H1115" t="n">
        <x:v>1</x:v>
      </x:c>
      <x:c r="I1115" s="26" t="n">
        <x:v>4470.6</x:v>
      </x:c>
      <x:c r="J1115" s="26" t="n">
        <x:v>2797.8</x:v>
      </x:c>
      <x:c r="K1115" s="28" t="n">
        <x:v>0.1387</x:v>
      </x:c>
      <x:c r="L1115" s="26" t="n">
        <x:v>388.05</x:v>
      </x:c>
      <x:c r="M1115" t="n">
        <x:v>0</x:v>
      </x:c>
      <x:c r="N1115" s="26" t="n">
        <x:v>0</x:v>
      </x:c>
      <x:c r="O1115" s="26" t="n">
        <x:v>51.76</x:v>
      </x:c>
      <x:c r="P1115" s="26" t="n">
        <x:v>12.59</x:v>
      </x:c>
      <x:c r="Q1115" s="26" t="n">
        <x:v>23.78</x:v>
      </x:c>
      <x:c r="R1115" s="26" t="n">
        <x:v>29.38</x:v>
      </x:c>
      <x:c r="S1115" s="26" t="n">
        <x:v>270.55</x:v>
      </x:c>
    </x:row>
    <x:row r="1116">
      <x:c r="A1116" t="n">
        <x:v>501113</x:v>
      </x:c>
      <x:c r="B1116" s="24" t="n">
        <x:v>45891</x:v>
      </x:c>
      <x:c r="C1116" t="n">
        <x:v>1013</x:v>
      </x:c>
      <x:c r="D1116" t="str">
        <x:v>Seller 1013</x:v>
      </x:c>
      <x:c r="E1116" t="str">
        <x:v>Gold</x:v>
      </x:c>
      <x:c r="F1116" t="str">
        <x:v>West</x:v>
      </x:c>
      <x:c r="G1116" t="str">
        <x:v>Electronics</x:v>
      </x:c>
      <x:c r="H1116" t="n">
        <x:v>1</x:v>
      </x:c>
      <x:c r="I1116" s="26" t="n">
        <x:v>8515.800000000001</x:v>
      </x:c>
      <x:c r="J1116" s="26" t="n">
        <x:v>9884.4</x:v>
      </x:c>
      <x:c r="K1116" s="28" t="n">
        <x:v>0.1304</x:v>
      </x:c>
      <x:c r="L1116" s="26" t="n">
        <x:v>1288.93</x:v>
      </x:c>
      <x:c r="M1116" t="n">
        <x:v>0</x:v>
      </x:c>
      <x:c r="N1116" s="26" t="n">
        <x:v>0</x:v>
      </x:c>
      <x:c r="O1116" s="26" t="n">
        <x:v>182.86</x:v>
      </x:c>
      <x:c r="P1116" s="26" t="n">
        <x:v>44.48</x:v>
      </x:c>
      <x:c r="Q1116" s="26" t="n">
        <x:v>84.02</x:v>
      </x:c>
      <x:c r="R1116" s="26" t="n">
        <x:v>103.79</x:v>
      </x:c>
      <x:c r="S1116" s="26" t="n">
        <x:v>873.78</x:v>
      </x:c>
    </x:row>
    <x:row r="1117">
      <x:c r="A1117" t="n">
        <x:v>501114</x:v>
      </x:c>
      <x:c r="B1117" s="24" t="n">
        <x:v>45897</x:v>
      </x:c>
      <x:c r="C1117" t="n">
        <x:v>1020</x:v>
      </x:c>
      <x:c r="D1117" t="str">
        <x:v>Seller 1020</x:v>
      </x:c>
      <x:c r="E1117" t="str">
        <x:v>Gold</x:v>
      </x:c>
      <x:c r="F1117" t="str">
        <x:v>West</x:v>
      </x:c>
      <x:c r="G1117" t="str">
        <x:v>Home &amp; Kitchen</x:v>
      </x:c>
      <x:c r="H1117" t="n">
        <x:v>3</x:v>
      </x:c>
      <x:c r="I1117" s="26" t="n">
        <x:v>2104.7999999999997</x:v>
      </x:c>
      <x:c r="J1117" s="26" t="n">
        <x:v>7329</x:v>
      </x:c>
      <x:c r="K1117" s="28" t="n">
        <x:v>0.1291</x:v>
      </x:c>
      <x:c r="L1117" s="26" t="n">
        <x:v>946.17</x:v>
      </x:c>
      <x:c r="M1117" t="n">
        <x:v>0</x:v>
      </x:c>
      <x:c r="N1117" s="26" t="n">
        <x:v>0</x:v>
      </x:c>
      <x:c r="O1117" s="26" t="n">
        <x:v>135.59</x:v>
      </x:c>
      <x:c r="P1117" s="26" t="n">
        <x:v>32.98</x:v>
      </x:c>
      <x:c r="Q1117" s="26" t="n">
        <x:v>62.3</x:v>
      </x:c>
      <x:c r="R1117" s="26" t="n">
        <x:v>76.95</x:v>
      </x:c>
      <x:c r="S1117" s="26" t="n">
        <x:v>638.36</x:v>
      </x:c>
    </x:row>
    <x:row r="1118">
      <x:c r="A1118" t="n">
        <x:v>501115</x:v>
      </x:c>
      <x:c r="B1118" s="24" t="n">
        <x:v>45897</x:v>
      </x:c>
      <x:c r="C1118" t="n">
        <x:v>1072</x:v>
      </x:c>
      <x:c r="D1118" t="str">
        <x:v>Seller 1072</x:v>
      </x:c>
      <x:c r="E1118" t="str">
        <x:v>Bronze</x:v>
      </x:c>
      <x:c r="F1118" t="str">
        <x:v>South</x:v>
      </x:c>
      <x:c r="G1118" t="str">
        <x:v>Beauty</x:v>
      </x:c>
      <x:c r="H1118" t="n">
        <x:v>1</x:v>
      </x:c>
      <x:c r="I1118" s="26" t="n">
        <x:v>2746.8</x:v>
      </x:c>
      <x:c r="J1118" s="26" t="n">
        <x:v>1719</x:v>
      </x:c>
      <x:c r="K1118" s="28" t="n">
        <x:v>0.1549</x:v>
      </x:c>
      <x:c r="L1118" s="26" t="n">
        <x:v>266.27</x:v>
      </x:c>
      <x:c r="M1118" t="n">
        <x:v>0</x:v>
      </x:c>
      <x:c r="N1118" s="26" t="n">
        <x:v>0</x:v>
      </x:c>
      <x:c r="O1118" s="26" t="n">
        <x:v>31.8</x:v>
      </x:c>
      <x:c r="P1118" s="26" t="n">
        <x:v>7.74</x:v>
      </x:c>
      <x:c r="Q1118" s="26" t="n">
        <x:v>14.61</x:v>
      </x:c>
      <x:c r="R1118" s="26" t="n">
        <x:v>18.05</x:v>
      </x:c>
      <x:c r="S1118" s="26" t="n">
        <x:v>194.08</x:v>
      </x:c>
    </x:row>
    <x:row r="1119">
      <x:c r="A1119" t="n">
        <x:v>501116</x:v>
      </x:c>
      <x:c r="B1119" s="24" t="n">
        <x:v>45893</x:v>
      </x:c>
      <x:c r="C1119" t="n">
        <x:v>1065</x:v>
      </x:c>
      <x:c r="D1119" t="str">
        <x:v>Seller 1065</x:v>
      </x:c>
      <x:c r="E1119" t="str">
        <x:v>Bronze</x:v>
      </x:c>
      <x:c r="F1119" t="str">
        <x:v>South</x:v>
      </x:c>
      <x:c r="G1119" t="str">
        <x:v>Home &amp; Kitchen</x:v>
      </x:c>
      <x:c r="H1119" t="n">
        <x:v>1</x:v>
      </x:c>
      <x:c r="I1119" s="26" t="n">
        <x:v>4565.400000000001</x:v>
      </x:c>
      <x:c r="J1119" s="26" t="n">
        <x:v>2856.6</x:v>
      </x:c>
      <x:c r="K1119" s="28" t="n">
        <x:v>0.1261</x:v>
      </x:c>
      <x:c r="L1119" s="26" t="n">
        <x:v>360.22</x:v>
      </x:c>
      <x:c r="M1119" t="n">
        <x:v>0</x:v>
      </x:c>
      <x:c r="N1119" s="26" t="n">
        <x:v>0</x:v>
      </x:c>
      <x:c r="O1119" s="26" t="n">
        <x:v>52.85</x:v>
      </x:c>
      <x:c r="P1119" s="26" t="n">
        <x:v>12.85</x:v>
      </x:c>
      <x:c r="Q1119" s="26" t="n">
        <x:v>24.28</x:v>
      </x:c>
      <x:c r="R1119" s="26" t="n">
        <x:v>29.99</x:v>
      </x:c>
      <x:c r="S1119" s="26" t="n">
        <x:v>240.24</x:v>
      </x:c>
    </x:row>
    <x:row r="1120">
      <x:c r="A1120" t="n">
        <x:v>501117</x:v>
      </x:c>
      <x:c r="B1120" s="24" t="n">
        <x:v>45884</x:v>
      </x:c>
      <x:c r="C1120" t="n">
        <x:v>1025</x:v>
      </x:c>
      <x:c r="D1120" t="str">
        <x:v>Seller 1025</x:v>
      </x:c>
      <x:c r="E1120" t="str">
        <x:v>Gold</x:v>
      </x:c>
      <x:c r="F1120" t="str">
        <x:v>Central</x:v>
      </x:c>
      <x:c r="G1120" t="str">
        <x:v>Apparel</x:v>
      </x:c>
      <x:c r="H1120" t="n">
        <x:v>1</x:v>
      </x:c>
      <x:c r="I1120" s="26" t="n">
        <x:v>3852</x:v>
      </x:c>
      <x:c r="J1120" s="26" t="n">
        <x:v>4471.2</x:v>
      </x:c>
      <x:c r="K1120" s="28" t="n">
        <x:v>0.1203</x:v>
      </x:c>
      <x:c r="L1120" s="26" t="n">
        <x:v>537.89</x:v>
      </x:c>
      <x:c r="M1120" t="n">
        <x:v>0</x:v>
      </x:c>
      <x:c r="N1120" s="26" t="n">
        <x:v>0</x:v>
      </x:c>
      <x:c r="O1120" s="26" t="n">
        <x:v>82.72</x:v>
      </x:c>
      <x:c r="P1120" s="26" t="n">
        <x:v>20.12</x:v>
      </x:c>
      <x:c r="Q1120" s="26" t="n">
        <x:v>38.01</x:v>
      </x:c>
      <x:c r="R1120" s="26" t="n">
        <x:v>46.95</x:v>
      </x:c>
      <x:c r="S1120" s="26" t="n">
        <x:v>350.09</x:v>
      </x:c>
    </x:row>
    <x:row r="1121">
      <x:c r="A1121" t="n">
        <x:v>501118</x:v>
      </x:c>
      <x:c r="B1121" s="24" t="n">
        <x:v>45886</x:v>
      </x:c>
      <x:c r="C1121" t="n">
        <x:v>1050</x:v>
      </x:c>
      <x:c r="D1121" t="str">
        <x:v>Seller 1050</x:v>
      </x:c>
      <x:c r="E1121" t="str">
        <x:v>Silver</x:v>
      </x:c>
      <x:c r="F1121" t="str">
        <x:v>East</x:v>
      </x:c>
      <x:c r="G1121" t="str">
        <x:v>Electronics</x:v>
      </x:c>
      <x:c r="H1121" t="n">
        <x:v>1</x:v>
      </x:c>
      <x:c r="I1121" s="26" t="n">
        <x:v>9305.4</x:v>
      </x:c>
      <x:c r="J1121" s="26" t="n">
        <x:v>8265</x:v>
      </x:c>
      <x:c r="K1121" s="28" t="n">
        <x:v>0.118</x:v>
      </x:c>
      <x:c r="L1121" s="26" t="n">
        <x:v>975.27</x:v>
      </x:c>
      <x:c r="M1121" t="n">
        <x:v>0</x:v>
      </x:c>
      <x:c r="N1121" s="26" t="n">
        <x:v>0</x:v>
      </x:c>
      <x:c r="O1121" s="26" t="n">
        <x:v>152.9</x:v>
      </x:c>
      <x:c r="P1121" s="26" t="n">
        <x:v>37.19</x:v>
      </x:c>
      <x:c r="Q1121" s="26" t="n">
        <x:v>70.25</x:v>
      </x:c>
      <x:c r="R1121" s="26" t="n">
        <x:v>86.78</x:v>
      </x:c>
      <x:c r="S1121" s="26" t="n">
        <x:v>628.14</x:v>
      </x:c>
    </x:row>
    <x:row r="1122">
      <x:c r="A1122" t="n">
        <x:v>501119</x:v>
      </x:c>
      <x:c r="B1122" s="24" t="n">
        <x:v>45890</x:v>
      </x:c>
      <x:c r="C1122" t="n">
        <x:v>1002</x:v>
      </x:c>
      <x:c r="D1122" t="str">
        <x:v>Seller 1002</x:v>
      </x:c>
      <x:c r="E1122" t="str">
        <x:v>Platinum</x:v>
      </x:c>
      <x:c r="F1122" t="str">
        <x:v>Central</x:v>
      </x:c>
      <x:c r="G1122" t="str">
        <x:v>Sports</x:v>
      </x:c>
      <x:c r="H1122" t="n">
        <x:v>1</x:v>
      </x:c>
      <x:c r="I1122" s="26" t="n">
        <x:v>4718.4</x:v>
      </x:c>
      <x:c r="J1122" s="26" t="n">
        <x:v>7381.2</x:v>
      </x:c>
      <x:c r="K1122" s="28" t="n">
        <x:v>0.1286</x:v>
      </x:c>
      <x:c r="L1122" s="26" t="n">
        <x:v>949.22</x:v>
      </x:c>
      <x:c r="M1122" t="n">
        <x:v>0</x:v>
      </x:c>
      <x:c r="N1122" s="26" t="n">
        <x:v>0</x:v>
      </x:c>
      <x:c r="O1122" s="26" t="n">
        <x:v>136.55</x:v>
      </x:c>
      <x:c r="P1122" s="26" t="n">
        <x:v>33.22</x:v>
      </x:c>
      <x:c r="Q1122" s="26" t="n">
        <x:v>62.74</x:v>
      </x:c>
      <x:c r="R1122" s="26" t="n">
        <x:v>77.5</x:v>
      </x:c>
      <x:c r="S1122" s="26" t="n">
        <x:v>639.21</x:v>
      </x:c>
    </x:row>
    <x:row r="1123">
      <x:c r="A1123" t="n">
        <x:v>501120</x:v>
      </x:c>
      <x:c r="B1123" s="24" t="n">
        <x:v>45896</x:v>
      </x:c>
      <x:c r="C1123" t="n">
        <x:v>1035</x:v>
      </x:c>
      <x:c r="D1123" t="str">
        <x:v>Seller 1035</x:v>
      </x:c>
      <x:c r="E1123" t="str">
        <x:v>Silver</x:v>
      </x:c>
      <x:c r="F1123" t="str">
        <x:v>East</x:v>
      </x:c>
      <x:c r="G1123" t="str">
        <x:v>Electronics</x:v>
      </x:c>
      <x:c r="H1123" t="n">
        <x:v>2</x:v>
      </x:c>
      <x:c r="I1123" s="26" t="n">
        <x:v>4537.200000000001</x:v>
      </x:c>
      <x:c r="J1123" s="26" t="n">
        <x:v>8059.8</x:v>
      </x:c>
      <x:c r="K1123" s="28" t="n">
        <x:v>0.1187</x:v>
      </x:c>
      <x:c r="L1123" s="26" t="n">
        <x:v>956.7</x:v>
      </x:c>
      <x:c r="M1123" t="n">
        <x:v>0</x:v>
      </x:c>
      <x:c r="N1123" s="26" t="n">
        <x:v>0</x:v>
      </x:c>
      <x:c r="O1123" s="26" t="n">
        <x:v>149.11</x:v>
      </x:c>
      <x:c r="P1123" s="26" t="n">
        <x:v>36.27</x:v>
      </x:c>
      <x:c r="Q1123" s="26" t="n">
        <x:v>68.51</x:v>
      </x:c>
      <x:c r="R1123" s="26" t="n">
        <x:v>84.63</x:v>
      </x:c>
      <x:c r="S1123" s="26" t="n">
        <x:v>618.19</x:v>
      </x:c>
    </x:row>
    <x:row r="1124">
      <x:c r="A1124" t="n">
        <x:v>501121</x:v>
      </x:c>
      <x:c r="B1124" s="24" t="n">
        <x:v>45871</x:v>
      </x:c>
      <x:c r="C1124" t="n">
        <x:v>1036</x:v>
      </x:c>
      <x:c r="D1124" t="str">
        <x:v>Seller 1036</x:v>
      </x:c>
      <x:c r="E1124" t="str">
        <x:v>Silver</x:v>
      </x:c>
      <x:c r="F1124" t="str">
        <x:v>Central</x:v>
      </x:c>
      <x:c r="G1124" t="str">
        <x:v>Beauty</x:v>
      </x:c>
      <x:c r="H1124" t="n">
        <x:v>2</x:v>
      </x:c>
      <x:c r="I1124" s="26" t="n">
        <x:v>1270.8</x:v>
      </x:c>
      <x:c r="J1124" s="26" t="n">
        <x:v>2257.8</x:v>
      </x:c>
      <x:c r="K1124" s="28" t="n">
        <x:v>0.1565</x:v>
      </x:c>
      <x:c r="L1124" s="26" t="n">
        <x:v>353.35</x:v>
      </x:c>
      <x:c r="M1124" t="n">
        <x:v>0</x:v>
      </x:c>
      <x:c r="N1124" s="26" t="n">
        <x:v>0</x:v>
      </x:c>
      <x:c r="O1124" s="26" t="n">
        <x:v>41.77</x:v>
      </x:c>
      <x:c r="P1124" s="26" t="n">
        <x:v>10.16</x:v>
      </x:c>
      <x:c r="Q1124" s="26" t="n">
        <x:v>19.19</x:v>
      </x:c>
      <x:c r="R1124" s="26" t="n">
        <x:v>23.71</x:v>
      </x:c>
      <x:c r="S1124" s="26" t="n">
        <x:v>258.52</x:v>
      </x:c>
    </x:row>
    <x:row r="1125">
      <x:c r="A1125" t="n">
        <x:v>501122</x:v>
      </x:c>
      <x:c r="B1125" s="24" t="n">
        <x:v>45876</x:v>
      </x:c>
      <x:c r="C1125" t="n">
        <x:v>1001</x:v>
      </x:c>
      <x:c r="D1125" t="str">
        <x:v>Seller 1001</x:v>
      </x:c>
      <x:c r="E1125" t="str">
        <x:v>Platinum</x:v>
      </x:c>
      <x:c r="F1125" t="str">
        <x:v>East</x:v>
      </x:c>
      <x:c r="G1125" t="str">
        <x:v>Electronics</x:v>
      </x:c>
      <x:c r="H1125" t="n">
        <x:v>1</x:v>
      </x:c>
      <x:c r="I1125" s="26" t="n">
        <x:v>7320.6</x:v>
      </x:c>
      <x:c r="J1125" s="26" t="n">
        <x:v>11452.2</x:v>
      </x:c>
      <x:c r="K1125" s="28" t="n">
        <x:v>0.1208</x:v>
      </x:c>
      <x:c r="L1125" s="26" t="n">
        <x:v>1383.43</x:v>
      </x:c>
      <x:c r="M1125" t="n">
        <x:v>0</x:v>
      </x:c>
      <x:c r="N1125" s="26" t="n">
        <x:v>0</x:v>
      </x:c>
      <x:c r="O1125" s="26" t="n">
        <x:v>211.87</x:v>
      </x:c>
      <x:c r="P1125" s="26" t="n">
        <x:v>51.53</x:v>
      </x:c>
      <x:c r="Q1125" s="26" t="n">
        <x:v>97.34</x:v>
      </x:c>
      <x:c r="R1125" s="26" t="n">
        <x:v>120.25</x:v>
      </x:c>
      <x:c r="S1125" s="26" t="n">
        <x:v>902.43</x:v>
      </x:c>
    </x:row>
    <x:row r="1126">
      <x:c r="A1126" t="n">
        <x:v>501123</x:v>
      </x:c>
      <x:c r="B1126" s="24" t="n">
        <x:v>45875</x:v>
      </x:c>
      <x:c r="C1126" t="n">
        <x:v>1018</x:v>
      </x:c>
      <x:c r="D1126" t="str">
        <x:v>Seller 1018</x:v>
      </x:c>
      <x:c r="E1126" t="str">
        <x:v>Gold</x:v>
      </x:c>
      <x:c r="F1126" t="str">
        <x:v>West</x:v>
      </x:c>
      <x:c r="G1126" t="str">
        <x:v>Electronics</x:v>
      </x:c>
      <x:c r="H1126" t="n">
        <x:v>1</x:v>
      </x:c>
      <x:c r="I1126" s="26" t="n">
        <x:v>8302.8</x:v>
      </x:c>
      <x:c r="J1126" s="26" t="n">
        <x:v>9637.2</x:v>
      </x:c>
      <x:c r="K1126" s="28" t="n">
        <x:v>0.1144</x:v>
      </x:c>
      <x:c r="L1126" s="26" t="n">
        <x:v>1102.5</x:v>
      </x:c>
      <x:c r="M1126" t="n">
        <x:v>0</x:v>
      </x:c>
      <x:c r="N1126" s="26" t="n">
        <x:v>0</x:v>
      </x:c>
      <x:c r="O1126" s="26" t="n">
        <x:v>178.29</x:v>
      </x:c>
      <x:c r="P1126" s="26" t="n">
        <x:v>43.37</x:v>
      </x:c>
      <x:c r="Q1126" s="26" t="n">
        <x:v>81.92</x:v>
      </x:c>
      <x:c r="R1126" s="26" t="n">
        <x:v>101.19</x:v>
      </x:c>
      <x:c r="S1126" s="26" t="n">
        <x:v>697.73</x:v>
      </x:c>
    </x:row>
    <x:row r="1127">
      <x:c r="A1127" t="n">
        <x:v>501124</x:v>
      </x:c>
      <x:c r="B1127" s="24" t="n">
        <x:v>45871</x:v>
      </x:c>
      <x:c r="C1127" t="n">
        <x:v>1036</x:v>
      </x:c>
      <x:c r="D1127" t="str">
        <x:v>Seller 1036</x:v>
      </x:c>
      <x:c r="E1127" t="str">
        <x:v>Silver</x:v>
      </x:c>
      <x:c r="F1127" t="str">
        <x:v>Central</x:v>
      </x:c>
      <x:c r="G1127" t="str">
        <x:v>Pet Supplies</x:v>
      </x:c>
      <x:c r="H1127" t="n">
        <x:v>3</x:v>
      </x:c>
      <x:c r="I1127" s="26" t="n">
        <x:v>985.2</x:v>
      </x:c>
      <x:c r="J1127" s="26" t="n">
        <x:v>2624.4</x:v>
      </x:c>
      <x:c r="K1127" s="28" t="n">
        <x:v>0.1435</x:v>
      </x:c>
      <x:c r="L1127" s="26" t="n">
        <x:v>376.6</x:v>
      </x:c>
      <x:c r="M1127" t="n">
        <x:v>0</x:v>
      </x:c>
      <x:c r="N1127" s="26" t="n">
        <x:v>0</x:v>
      </x:c>
      <x:c r="O1127" s="26" t="n">
        <x:v>48.55</x:v>
      </x:c>
      <x:c r="P1127" s="26" t="n">
        <x:v>11.81</x:v>
      </x:c>
      <x:c r="Q1127" s="26" t="n">
        <x:v>22.31</x:v>
      </x:c>
      <x:c r="R1127" s="26" t="n">
        <x:v>27.56</x:v>
      </x:c>
      <x:c r="S1127" s="26" t="n">
        <x:v>266.38</x:v>
      </x:c>
    </x:row>
    <x:row r="1128">
      <x:c r="A1128" t="n">
        <x:v>501125</x:v>
      </x:c>
      <x:c r="B1128" s="24" t="n">
        <x:v>45876</x:v>
      </x:c>
      <x:c r="C1128" t="n">
        <x:v>1049</x:v>
      </x:c>
      <x:c r="D1128" t="str">
        <x:v>Seller 1049</x:v>
      </x:c>
      <x:c r="E1128" t="str">
        <x:v>Silver</x:v>
      </x:c>
      <x:c r="F1128" t="str">
        <x:v>West</x:v>
      </x:c>
      <x:c r="G1128" t="str">
        <x:v>Beauty</x:v>
      </x:c>
      <x:c r="H1128" t="n">
        <x:v>3</x:v>
      </x:c>
      <x:c r="I1128" s="26" t="n">
        <x:v>661.8</x:v>
      </x:c>
      <x:c r="J1128" s="26" t="n">
        <x:v>1762.8</x:v>
      </x:c>
      <x:c r="K1128" s="28" t="n">
        <x:v>0.1462</x:v>
      </x:c>
      <x:c r="L1128" s="26" t="n">
        <x:v>257.72</x:v>
      </x:c>
      <x:c r="M1128" t="n">
        <x:v>0</x:v>
      </x:c>
      <x:c r="N1128" s="26" t="n">
        <x:v>0</x:v>
      </x:c>
      <x:c r="O1128" s="26" t="n">
        <x:v>32.61</x:v>
      </x:c>
      <x:c r="P1128" s="26" t="n">
        <x:v>7.93</x:v>
      </x:c>
      <x:c r="Q1128" s="26" t="n">
        <x:v>14.98</x:v>
      </x:c>
      <x:c r="R1128" s="26" t="n">
        <x:v>18.51</x:v>
      </x:c>
      <x:c r="S1128" s="26" t="n">
        <x:v>183.68</x:v>
      </x:c>
    </x:row>
    <x:row r="1129">
      <x:c r="A1129" t="n">
        <x:v>501126</x:v>
      </x:c>
      <x:c r="B1129" s="24" t="n">
        <x:v>45879</x:v>
      </x:c>
      <x:c r="C1129" t="n">
        <x:v>1027</x:v>
      </x:c>
      <x:c r="D1129" t="str">
        <x:v>Seller 1027</x:v>
      </x:c>
      <x:c r="E1129" t="str">
        <x:v>Gold</x:v>
      </x:c>
      <x:c r="F1129" t="str">
        <x:v>West</x:v>
      </x:c>
      <x:c r="G1129" t="str">
        <x:v>Apparel</x:v>
      </x:c>
      <x:c r="H1129" t="n">
        <x:v>3</x:v>
      </x:c>
      <x:c r="I1129" s="26" t="n">
        <x:v>799.8</x:v>
      </x:c>
      <x:c r="J1129" s="26" t="n">
        <x:v>2784.6</x:v>
      </x:c>
      <x:c r="K1129" s="28" t="n">
        <x:v>0.1117</x:v>
      </x:c>
      <x:c r="L1129" s="26" t="n">
        <x:v>311.04</x:v>
      </x:c>
      <x:c r="M1129" t="n">
        <x:v>0</x:v>
      </x:c>
      <x:c r="N1129" s="26" t="n">
        <x:v>0</x:v>
      </x:c>
      <x:c r="O1129" s="26" t="n">
        <x:v>51.52</x:v>
      </x:c>
      <x:c r="P1129" s="26" t="n">
        <x:v>12.53</x:v>
      </x:c>
      <x:c r="Q1129" s="26" t="n">
        <x:v>23.67</x:v>
      </x:c>
      <x:c r="R1129" s="26" t="n">
        <x:v>29.24</x:v>
      </x:c>
      <x:c r="S1129" s="26" t="n">
        <x:v>194.09</x:v>
      </x:c>
    </x:row>
    <x:row r="1130">
      <x:c r="A1130" t="n">
        <x:v>501127</x:v>
      </x:c>
      <x:c r="B1130" s="24" t="n">
        <x:v>45891</x:v>
      </x:c>
      <x:c r="C1130" t="n">
        <x:v>1019</x:v>
      </x:c>
      <x:c r="D1130" t="str">
        <x:v>Seller 1019</x:v>
      </x:c>
      <x:c r="E1130" t="str">
        <x:v>Gold</x:v>
      </x:c>
      <x:c r="F1130" t="str">
        <x:v>East</x:v>
      </x:c>
      <x:c r="G1130" t="str">
        <x:v>Electronics</x:v>
      </x:c>
      <x:c r="H1130" t="n">
        <x:v>1</x:v>
      </x:c>
      <x:c r="I1130" s="26" t="n">
        <x:v>8719.800000000001</x:v>
      </x:c>
      <x:c r="J1130" s="26" t="n">
        <x:v>10120.8</x:v>
      </x:c>
      <x:c r="K1130" s="28" t="n">
        <x:v>0.1326</x:v>
      </x:c>
      <x:c r="L1130" s="26" t="n">
        <x:v>1342.02</x:v>
      </x:c>
      <x:c r="M1130" t="n">
        <x:v>0</x:v>
      </x:c>
      <x:c r="N1130" s="26" t="n">
        <x:v>0</x:v>
      </x:c>
      <x:c r="O1130" s="26" t="n">
        <x:v>187.23</x:v>
      </x:c>
      <x:c r="P1130" s="26" t="n">
        <x:v>45.54</x:v>
      </x:c>
      <x:c r="Q1130" s="26" t="n">
        <x:v>86.03</x:v>
      </x:c>
      <x:c r="R1130" s="26" t="n">
        <x:v>106.27</x:v>
      </x:c>
      <x:c r="S1130" s="26" t="n">
        <x:v>916.94</x:v>
      </x:c>
    </x:row>
    <x:row r="1131">
      <x:c r="A1131" t="n">
        <x:v>501128</x:v>
      </x:c>
      <x:c r="B1131" s="24" t="n">
        <x:v>45870</x:v>
      </x:c>
      <x:c r="C1131" t="n">
        <x:v>1024</x:v>
      </x:c>
      <x:c r="D1131" t="str">
        <x:v>Seller 1024</x:v>
      </x:c>
      <x:c r="E1131" t="str">
        <x:v>Gold</x:v>
      </x:c>
      <x:c r="F1131" t="str">
        <x:v>West</x:v>
      </x:c>
      <x:c r="G1131" t="str">
        <x:v>Pet Supplies</x:v>
      </x:c>
      <x:c r="H1131" t="n">
        <x:v>3</x:v>
      </x:c>
      <x:c r="I1131" s="26" t="n">
        <x:v>1059.6</x:v>
      </x:c>
      <x:c r="J1131" s="26" t="n">
        <x:v>3690</x:v>
      </x:c>
      <x:c r="K1131" s="28" t="n">
        <x:v>0.1243</x:v>
      </x:c>
      <x:c r="L1131" s="26" t="n">
        <x:v>458.67</x:v>
      </x:c>
      <x:c r="M1131" t="n">
        <x:v>0</x:v>
      </x:c>
      <x:c r="N1131" s="26" t="n">
        <x:v>0</x:v>
      </x:c>
      <x:c r="O1131" s="26" t="n">
        <x:v>68.27</x:v>
      </x:c>
      <x:c r="P1131" s="26" t="n">
        <x:v>16.61</x:v>
      </x:c>
      <x:c r="Q1131" s="26" t="n">
        <x:v>31.37</x:v>
      </x:c>
      <x:c r="R1131" s="26" t="n">
        <x:v>38.75</x:v>
      </x:c>
      <x:c r="S1131" s="26" t="n">
        <x:v>303.69</x:v>
      </x:c>
    </x:row>
    <x:row r="1132">
      <x:c r="A1132" t="n">
        <x:v>501129</x:v>
      </x:c>
      <x:c r="B1132" s="24" t="n">
        <x:v>45891</x:v>
      </x:c>
      <x:c r="C1132" t="n">
        <x:v>1019</x:v>
      </x:c>
      <x:c r="D1132" t="str">
        <x:v>Seller 1019</x:v>
      </x:c>
      <x:c r="E1132" t="str">
        <x:v>Gold</x:v>
      </x:c>
      <x:c r="F1132" t="str">
        <x:v>East</x:v>
      </x:c>
      <x:c r="G1132" t="str">
        <x:v>Apparel</x:v>
      </x:c>
      <x:c r="H1132" t="n">
        <x:v>2</x:v>
      </x:c>
      <x:c r="I1132" s="26" t="n">
        <x:v>2592.6</x:v>
      </x:c>
      <x:c r="J1132" s="26" t="n">
        <x:v>6018.6</x:v>
      </x:c>
      <x:c r="K1132" s="28" t="n">
        <x:v>0.1313</x:v>
      </x:c>
      <x:c r="L1132" s="26" t="n">
        <x:v>790.24</x:v>
      </x:c>
      <x:c r="M1132" t="n">
        <x:v>0</x:v>
      </x:c>
      <x:c r="N1132" s="26" t="n">
        <x:v>0</x:v>
      </x:c>
      <x:c r="O1132" s="26" t="n">
        <x:v>111.34</x:v>
      </x:c>
      <x:c r="P1132" s="26" t="n">
        <x:v>27.08</x:v>
      </x:c>
      <x:c r="Q1132" s="26" t="n">
        <x:v>51.16</x:v>
      </x:c>
      <x:c r="R1132" s="26" t="n">
        <x:v>63.2</x:v>
      </x:c>
      <x:c r="S1132" s="26" t="n">
        <x:v>537.46</x:v>
      </x:c>
    </x:row>
    <x:row r="1133">
      <x:c r="A1133" t="n">
        <x:v>501130</x:v>
      </x:c>
      <x:c r="B1133" s="24" t="n">
        <x:v>45869</x:v>
      </x:c>
      <x:c r="C1133" t="n">
        <x:v>1002</x:v>
      </x:c>
      <x:c r="D1133" t="str">
        <x:v>Seller 1002</x:v>
      </x:c>
      <x:c r="E1133" t="str">
        <x:v>Platinum</x:v>
      </x:c>
      <x:c r="F1133" t="str">
        <x:v>Central</x:v>
      </x:c>
      <x:c r="G1133" t="str">
        <x:v>Home &amp; Kitchen</x:v>
      </x:c>
      <x:c r="H1133" t="n">
        <x:v>2</x:v>
      </x:c>
      <x:c r="I1133" s="26" t="n">
        <x:v>2515.8</x:v>
      </x:c>
      <x:c r="J1133" s="26" t="n">
        <x:v>7872</x:v>
      </x:c>
      <x:c r="K1133" s="28" t="n">
        <x:v>0.1428</x:v>
      </x:c>
      <x:c r="L1133" s="26" t="n">
        <x:v>1124.12</x:v>
      </x:c>
      <x:c r="M1133" t="n">
        <x:v>0</x:v>
      </x:c>
      <x:c r="N1133" s="26" t="n">
        <x:v>0</x:v>
      </x:c>
      <x:c r="O1133" s="26" t="n">
        <x:v>145.63</x:v>
      </x:c>
      <x:c r="P1133" s="26" t="n">
        <x:v>35.42</x:v>
      </x:c>
      <x:c r="Q1133" s="26" t="n">
        <x:v>66.91</x:v>
      </x:c>
      <x:c r="R1133" s="26" t="n">
        <x:v>82.66</x:v>
      </x:c>
      <x:c r="S1133" s="26" t="n">
        <x:v>793.5</x:v>
      </x:c>
    </x:row>
    <x:row r="1134">
      <x:c r="A1134" t="n">
        <x:v>501131</x:v>
      </x:c>
      <x:c r="B1134" s="24" t="n">
        <x:v>45893</x:v>
      </x:c>
      <x:c r="C1134" t="n">
        <x:v>1017</x:v>
      </x:c>
      <x:c r="D1134" t="str">
        <x:v>Seller 1017</x:v>
      </x:c>
      <x:c r="E1134" t="str">
        <x:v>Gold</x:v>
      </x:c>
      <x:c r="F1134" t="str">
        <x:v>East</x:v>
      </x:c>
      <x:c r="G1134" t="str">
        <x:v>Electronics</x:v>
      </x:c>
      <x:c r="H1134" t="n">
        <x:v>3</x:v>
      </x:c>
      <x:c r="I1134" s="26" t="n">
        <x:v>3093.6000000000004</x:v>
      </x:c>
      <x:c r="J1134" s="26" t="n">
        <x:v>10772.4</x:v>
      </x:c>
      <x:c r="K1134" s="28" t="n">
        <x:v>0.1281</x:v>
      </x:c>
      <x:c r="L1134" s="26" t="n">
        <x:v>1379.94</x:v>
      </x:c>
      <x:c r="M1134" t="n">
        <x:v>0</x:v>
      </x:c>
      <x:c r="N1134" s="26" t="n">
        <x:v>0</x:v>
      </x:c>
      <x:c r="O1134" s="26" t="n">
        <x:v>199.29</x:v>
      </x:c>
      <x:c r="P1134" s="26" t="n">
        <x:v>48.48</x:v>
      </x:c>
      <x:c r="Q1134" s="26" t="n">
        <x:v>91.57</x:v>
      </x:c>
      <x:c r="R1134" s="26" t="n">
        <x:v>113.11</x:v>
      </x:c>
      <x:c r="S1134" s="26" t="n">
        <x:v>927.5</x:v>
      </x:c>
    </x:row>
    <x:row r="1135">
      <x:c r="A1135" t="n">
        <x:v>501132</x:v>
      </x:c>
      <x:c r="B1135" s="24" t="n">
        <x:v>45896</x:v>
      </x:c>
      <x:c r="C1135" t="n">
        <x:v>1014</x:v>
      </x:c>
      <x:c r="D1135" t="str">
        <x:v>Seller 1014</x:v>
      </x:c>
      <x:c r="E1135" t="str">
        <x:v>Gold</x:v>
      </x:c>
      <x:c r="F1135" t="str">
        <x:v>East</x:v>
      </x:c>
      <x:c r="G1135" t="str">
        <x:v>Apparel</x:v>
      </x:c>
      <x:c r="H1135" t="n">
        <x:v>3</x:v>
      </x:c>
      <x:c r="I1135" s="26" t="n">
        <x:v>733.2</x:v>
      </x:c>
      <x:c r="J1135" s="26" t="n">
        <x:v>2553</x:v>
      </x:c>
      <x:c r="K1135" s="28" t="n">
        <x:v>0.11</x:v>
      </x:c>
      <x:c r="L1135" s="26" t="n">
        <x:v>280.83</x:v>
      </x:c>
      <x:c r="M1135" t="n">
        <x:v>0</x:v>
      </x:c>
      <x:c r="N1135" s="26" t="n">
        <x:v>0</x:v>
      </x:c>
      <x:c r="O1135" s="26" t="n">
        <x:v>47.23</x:v>
      </x:c>
      <x:c r="P1135" s="26" t="n">
        <x:v>11.49</x:v>
      </x:c>
      <x:c r="Q1135" s="26" t="n">
        <x:v>21.7</x:v>
      </x:c>
      <x:c r="R1135" s="26" t="n">
        <x:v>26.81</x:v>
      </x:c>
      <x:c r="S1135" s="26" t="n">
        <x:v>173.6</x:v>
      </x:c>
    </x:row>
    <x:row r="1136">
      <x:c r="A1136" t="n">
        <x:v>501133</x:v>
      </x:c>
      <x:c r="B1136" s="24" t="n">
        <x:v>45871</x:v>
      </x:c>
      <x:c r="C1136" t="n">
        <x:v>1057</x:v>
      </x:c>
      <x:c r="D1136" t="str">
        <x:v>Seller 1057</x:v>
      </x:c>
      <x:c r="E1136" t="str">
        <x:v>Bronze</x:v>
      </x:c>
      <x:c r="F1136" t="str">
        <x:v>South</x:v>
      </x:c>
      <x:c r="G1136" t="str">
        <x:v>Beauty</x:v>
      </x:c>
      <x:c r="H1136" t="n">
        <x:v>2</x:v>
      </x:c>
      <x:c r="I1136" s="26" t="n">
        <x:v>1426.8000000000002</x:v>
      </x:c>
      <x:c r="J1136" s="26" t="n">
        <x:v>1785.6</x:v>
      </x:c>
      <x:c r="K1136" s="28" t="n">
        <x:v>0.1343</x:v>
      </x:c>
      <x:c r="L1136" s="26" t="n">
        <x:v>239.81</x:v>
      </x:c>
      <x:c r="M1136" t="n">
        <x:v>0</x:v>
      </x:c>
      <x:c r="N1136" s="26" t="n">
        <x:v>0</x:v>
      </x:c>
      <x:c r="O1136" s="26" t="n">
        <x:v>33.03</x:v>
      </x:c>
      <x:c r="P1136" s="26" t="n">
        <x:v>8.04</x:v>
      </x:c>
      <x:c r="Q1136" s="26" t="n">
        <x:v>15.18</x:v>
      </x:c>
      <x:c r="R1136" s="26" t="n">
        <x:v>18.75</x:v>
      </x:c>
      <x:c r="S1136" s="26" t="n">
        <x:v>164.81</x:v>
      </x:c>
    </x:row>
    <x:row r="1137">
      <x:c r="A1137" t="n">
        <x:v>501134</x:v>
      </x:c>
      <x:c r="B1137" s="24" t="n">
        <x:v>45875</x:v>
      </x:c>
      <x:c r="C1137" t="n">
        <x:v>1003</x:v>
      </x:c>
      <x:c r="D1137" t="str">
        <x:v>Seller 1003</x:v>
      </x:c>
      <x:c r="E1137" t="str">
        <x:v>Platinum</x:v>
      </x:c>
      <x:c r="F1137" t="str">
        <x:v>East</x:v>
      </x:c>
      <x:c r="G1137" t="str">
        <x:v>Electronics</x:v>
      </x:c>
      <x:c r="H1137" t="n">
        <x:v>2</x:v>
      </x:c>
      <x:c r="I1137" s="26" t="n">
        <x:v>4260.6</x:v>
      </x:c>
      <x:c r="J1137" s="26" t="n">
        <x:v>13330.2</x:v>
      </x:c>
      <x:c r="K1137" s="28" t="n">
        <x:v>0.1343</x:v>
      </x:c>
      <x:c r="L1137" s="26" t="n">
        <x:v>1790.25</x:v>
      </x:c>
      <x:c r="M1137" t="n">
        <x:v>1</x:v>
      </x:c>
      <x:c r="N1137" s="26" t="n">
        <x:v>8677.2</x:v>
      </x:c>
      <x:c r="O1137" s="26" t="n">
        <x:v>246.61</x:v>
      </x:c>
      <x:c r="P1137" s="26" t="n">
        <x:v>59.99</x:v>
      </x:c>
      <x:c r="Q1137" s="26" t="n">
        <x:v>113.31</x:v>
      </x:c>
      <x:c r="R1137" s="26" t="n">
        <x:v>139.97</x:v>
      </x:c>
      <x:c r="S1137" s="26" t="n">
        <x:v>1056.83</x:v>
      </x:c>
    </x:row>
    <x:row r="1138">
      <x:c r="A1138" t="n">
        <x:v>501135</x:v>
      </x:c>
      <x:c r="B1138" s="24" t="n">
        <x:v>45890</x:v>
      </x:c>
      <x:c r="C1138" t="n">
        <x:v>1055</x:v>
      </x:c>
      <x:c r="D1138" t="str">
        <x:v>Seller 1055</x:v>
      </x:c>
      <x:c r="E1138" t="str">
        <x:v>Bronze</x:v>
      </x:c>
      <x:c r="F1138" t="str">
        <x:v>Central</x:v>
      </x:c>
      <x:c r="G1138" t="str">
        <x:v>Pet Supplies</x:v>
      </x:c>
      <x:c r="H1138" t="n">
        <x:v>2</x:v>
      </x:c>
      <x:c r="I1138" s="26" t="n">
        <x:v>1723.1999999999998</x:v>
      </x:c>
      <x:c r="J1138" s="26" t="n">
        <x:v>2157</x:v>
      </x:c>
      <x:c r="K1138" s="28" t="n">
        <x:v>0.1421</x:v>
      </x:c>
      <x:c r="L1138" s="26" t="n">
        <x:v>306.51</x:v>
      </x:c>
      <x:c r="M1138" t="n">
        <x:v>0</x:v>
      </x:c>
      <x:c r="N1138" s="26" t="n">
        <x:v>0</x:v>
      </x:c>
      <x:c r="O1138" s="26" t="n">
        <x:v>39.9</x:v>
      </x:c>
      <x:c r="P1138" s="26" t="n">
        <x:v>9.71</x:v>
      </x:c>
      <x:c r="Q1138" s="26" t="n">
        <x:v>18.33</x:v>
      </x:c>
      <x:c r="R1138" s="26" t="n">
        <x:v>22.65</x:v>
      </x:c>
      <x:c r="S1138" s="26" t="n">
        <x:v>215.92</x:v>
      </x:c>
    </x:row>
    <x:row r="1139">
      <x:c r="A1139" t="n">
        <x:v>501136</x:v>
      </x:c>
      <x:c r="B1139" s="24" t="n">
        <x:v>45878</x:v>
      </x:c>
      <x:c r="C1139" t="n">
        <x:v>1015</x:v>
      </x:c>
      <x:c r="D1139" t="str">
        <x:v>Seller 1015</x:v>
      </x:c>
      <x:c r="E1139" t="str">
        <x:v>Gold</x:v>
      </x:c>
      <x:c r="F1139" t="str">
        <x:v>West</x:v>
      </x:c>
      <x:c r="G1139" t="str">
        <x:v>Pet Supplies</x:v>
      </x:c>
      <x:c r="H1139" t="n">
        <x:v>3</x:v>
      </x:c>
      <x:c r="I1139" s="26" t="n">
        <x:v>1029.6</x:v>
      </x:c>
      <x:c r="J1139" s="26" t="n">
        <x:v>3585.6</x:v>
      </x:c>
      <x:c r="K1139" s="28" t="n">
        <x:v>0.143</x:v>
      </x:c>
      <x:c r="L1139" s="26" t="n">
        <x:v>512.74</x:v>
      </x:c>
      <x:c r="M1139" t="n">
        <x:v>0</x:v>
      </x:c>
      <x:c r="N1139" s="26" t="n">
        <x:v>0</x:v>
      </x:c>
      <x:c r="O1139" s="26" t="n">
        <x:v>66.33</x:v>
      </x:c>
      <x:c r="P1139" s="26" t="n">
        <x:v>16.14</x:v>
      </x:c>
      <x:c r="Q1139" s="26" t="n">
        <x:v>30.48</x:v>
      </x:c>
      <x:c r="R1139" s="26" t="n">
        <x:v>37.65</x:v>
      </x:c>
      <x:c r="S1139" s="26" t="n">
        <x:v>362.15</x:v>
      </x:c>
    </x:row>
    <x:row r="1140">
      <x:c r="A1140" t="n">
        <x:v>501137</x:v>
      </x:c>
      <x:c r="B1140" s="24" t="n">
        <x:v>45878</x:v>
      </x:c>
      <x:c r="C1140" t="n">
        <x:v>1016</x:v>
      </x:c>
      <x:c r="D1140" t="str">
        <x:v>Seller 1016</x:v>
      </x:c>
      <x:c r="E1140" t="str">
        <x:v>Gold</x:v>
      </x:c>
      <x:c r="F1140" t="str">
        <x:v>West</x:v>
      </x:c>
      <x:c r="G1140" t="str">
        <x:v>Sports</x:v>
      </x:c>
      <x:c r="H1140" t="n">
        <x:v>2</x:v>
      </x:c>
      <x:c r="I1140" s="26" t="n">
        <x:v>2209.7999999999997</x:v>
      </x:c>
      <x:c r="J1140" s="26" t="n">
        <x:v>5130.6</x:v>
      </x:c>
      <x:c r="K1140" s="28" t="n">
        <x:v>0.117</x:v>
      </x:c>
      <x:c r="L1140" s="26" t="n">
        <x:v>600.28</x:v>
      </x:c>
      <x:c r="M1140" t="n">
        <x:v>0</x:v>
      </x:c>
      <x:c r="N1140" s="26" t="n">
        <x:v>0</x:v>
      </x:c>
      <x:c r="O1140" s="26" t="n">
        <x:v>94.92</x:v>
      </x:c>
      <x:c r="P1140" s="26" t="n">
        <x:v>23.09</x:v>
      </x:c>
      <x:c r="Q1140" s="26" t="n">
        <x:v>43.61</x:v>
      </x:c>
      <x:c r="R1140" s="26" t="n">
        <x:v>53.87</x:v>
      </x:c>
      <x:c r="S1140" s="26" t="n">
        <x:v>384.8</x:v>
      </x:c>
    </x:row>
    <x:row r="1141">
      <x:c r="A1141" t="n">
        <x:v>501138</x:v>
      </x:c>
      <x:c r="B1141" s="24" t="n">
        <x:v>45896</x:v>
      </x:c>
      <x:c r="C1141" t="n">
        <x:v>1077</x:v>
      </x:c>
      <x:c r="D1141" t="str">
        <x:v>Seller 1077</x:v>
      </x:c>
      <x:c r="E1141" t="str">
        <x:v>Bronze</x:v>
      </x:c>
      <x:c r="F1141" t="str">
        <x:v>South</x:v>
      </x:c>
      <x:c r="G1141" t="str">
        <x:v>Home &amp; Kitchen</x:v>
      </x:c>
      <x:c r="H1141" t="n">
        <x:v>1</x:v>
      </x:c>
      <x:c r="I1141" s="26" t="n">
        <x:v>5296.8</x:v>
      </x:c>
      <x:c r="J1141" s="26" t="n">
        <x:v>3314.4</x:v>
      </x:c>
      <x:c r="K1141" s="28" t="n">
        <x:v>0.1395</x:v>
      </x:c>
      <x:c r="L1141" s="26" t="n">
        <x:v>462.36</x:v>
      </x:c>
      <x:c r="M1141" t="n">
        <x:v>0</x:v>
      </x:c>
      <x:c r="N1141" s="26" t="n">
        <x:v>0</x:v>
      </x:c>
      <x:c r="O1141" s="26" t="n">
        <x:v>61.32</x:v>
      </x:c>
      <x:c r="P1141" s="26" t="n">
        <x:v>14.91</x:v>
      </x:c>
      <x:c r="Q1141" s="26" t="n">
        <x:v>28.17</x:v>
      </x:c>
      <x:c r="R1141" s="26" t="n">
        <x:v>34.8</x:v>
      </x:c>
      <x:c r="S1141" s="26" t="n">
        <x:v>323.15</x:v>
      </x:c>
    </x:row>
    <x:row r="1142">
      <x:c r="A1142" t="n">
        <x:v>501139</x:v>
      </x:c>
      <x:c r="B1142" s="24" t="n">
        <x:v>45893</x:v>
      </x:c>
      <x:c r="C1142" t="n">
        <x:v>1014</x:v>
      </x:c>
      <x:c r="D1142" t="str">
        <x:v>Seller 1014</x:v>
      </x:c>
      <x:c r="E1142" t="str">
        <x:v>Gold</x:v>
      </x:c>
      <x:c r="F1142" t="str">
        <x:v>East</x:v>
      </x:c>
      <x:c r="G1142" t="str">
        <x:v>Apparel</x:v>
      </x:c>
      <x:c r="H1142" t="n">
        <x:v>1</x:v>
      </x:c>
      <x:c r="I1142" s="26" t="n">
        <x:v>3841.2</x:v>
      </x:c>
      <x:c r="J1142" s="26" t="n">
        <x:v>4458.6</x:v>
      </x:c>
      <x:c r="K1142" s="28" t="n">
        <x:v>0.1144</x:v>
      </x:c>
      <x:c r="L1142" s="26" t="n">
        <x:v>510.06</x:v>
      </x:c>
      <x:c r="M1142" t="n">
        <x:v>0</x:v>
      </x:c>
      <x:c r="N1142" s="26" t="n">
        <x:v>0</x:v>
      </x:c>
      <x:c r="O1142" s="26" t="n">
        <x:v>82.48</x:v>
      </x:c>
      <x:c r="P1142" s="26" t="n">
        <x:v>20.06</x:v>
      </x:c>
      <x:c r="Q1142" s="26" t="n">
        <x:v>37.9</x:v>
      </x:c>
      <x:c r="R1142" s="26" t="n">
        <x:v>46.82</x:v>
      </x:c>
      <x:c r="S1142" s="26" t="n">
        <x:v>322.8</x:v>
      </x:c>
    </x:row>
    <x:row r="1143">
      <x:c r="A1143" t="n">
        <x:v>501140</x:v>
      </x:c>
      <x:c r="B1143" s="24" t="n">
        <x:v>45883</x:v>
      </x:c>
      <x:c r="C1143" t="n">
        <x:v>1001</x:v>
      </x:c>
      <x:c r="D1143" t="str">
        <x:v>Seller 1001</x:v>
      </x:c>
      <x:c r="E1143" t="str">
        <x:v>Platinum</x:v>
      </x:c>
      <x:c r="F1143" t="str">
        <x:v>East</x:v>
      </x:c>
      <x:c r="G1143" t="str">
        <x:v>Home &amp; Kitchen</x:v>
      </x:c>
      <x:c r="H1143" t="n">
        <x:v>2</x:v>
      </x:c>
      <x:c r="I1143" s="26" t="n">
        <x:v>2241.6</x:v>
      </x:c>
      <x:c r="J1143" s="26" t="n">
        <x:v>7014</x:v>
      </x:c>
      <x:c r="K1143" s="28" t="n">
        <x:v>0.1265</x:v>
      </x:c>
      <x:c r="L1143" s="26" t="n">
        <x:v>887.27</x:v>
      </x:c>
      <x:c r="M1143" t="n">
        <x:v>0</x:v>
      </x:c>
      <x:c r="N1143" s="26" t="n">
        <x:v>0</x:v>
      </x:c>
      <x:c r="O1143" s="26" t="n">
        <x:v>129.76</x:v>
      </x:c>
      <x:c r="P1143" s="26" t="n">
        <x:v>31.56</x:v>
      </x:c>
      <x:c r="Q1143" s="26" t="n">
        <x:v>59.62</x:v>
      </x:c>
      <x:c r="R1143" s="26" t="n">
        <x:v>73.65</x:v>
      </x:c>
      <x:c r="S1143" s="26" t="n">
        <x:v>592.68</x:v>
      </x:c>
    </x:row>
    <x:row r="1144">
      <x:c r="A1144" t="n">
        <x:v>501141</x:v>
      </x:c>
      <x:c r="B1144" s="24" t="n">
        <x:v>45892</x:v>
      </x:c>
      <x:c r="C1144" t="n">
        <x:v>1009</x:v>
      </x:c>
      <x:c r="D1144" t="str">
        <x:v>Seller 1009</x:v>
      </x:c>
      <x:c r="E1144" t="str">
        <x:v>Platinum</x:v>
      </x:c>
      <x:c r="F1144" t="str">
        <x:v>Central</x:v>
      </x:c>
      <x:c r="G1144" t="str">
        <x:v>Pet Supplies</x:v>
      </x:c>
      <x:c r="H1144" t="n">
        <x:v>1</x:v>
      </x:c>
      <x:c r="I1144" s="26" t="n">
        <x:v>3297</x:v>
      </x:c>
      <x:c r="J1144" s="26" t="n">
        <x:v>5158.2</x:v>
      </x:c>
      <x:c r="K1144" s="28" t="n">
        <x:v>0.1235</x:v>
      </x:c>
      <x:c r="L1144" s="26" t="n">
        <x:v>637.04</x:v>
      </x:c>
      <x:c r="M1144" t="n">
        <x:v>0</x:v>
      </x:c>
      <x:c r="N1144" s="26" t="n">
        <x:v>0</x:v>
      </x:c>
      <x:c r="O1144" s="26" t="n">
        <x:v>95.43</x:v>
      </x:c>
      <x:c r="P1144" s="26" t="n">
        <x:v>23.21</x:v>
      </x:c>
      <x:c r="Q1144" s="26" t="n">
        <x:v>43.84</x:v>
      </x:c>
      <x:c r="R1144" s="26" t="n">
        <x:v>54.16</x:v>
      </x:c>
      <x:c r="S1144" s="26" t="n">
        <x:v>420.39</x:v>
      </x:c>
    </x:row>
    <x:row r="1145">
      <x:c r="A1145" t="n">
        <x:v>501142</x:v>
      </x:c>
      <x:c r="B1145" s="24" t="n">
        <x:v>45872</x:v>
      </x:c>
      <x:c r="C1145" t="n">
        <x:v>1050</x:v>
      </x:c>
      <x:c r="D1145" t="str">
        <x:v>Seller 1050</x:v>
      </x:c>
      <x:c r="E1145" t="str">
        <x:v>Silver</x:v>
      </x:c>
      <x:c r="F1145" t="str">
        <x:v>East</x:v>
      </x:c>
      <x:c r="G1145" t="str">
        <x:v>Electronics</x:v>
      </x:c>
      <x:c r="H1145" t="n">
        <x:v>1</x:v>
      </x:c>
      <x:c r="I1145" s="26" t="n">
        <x:v>8728.8</x:v>
      </x:c>
      <x:c r="J1145" s="26" t="n">
        <x:v>7753.2</x:v>
      </x:c>
      <x:c r="K1145" s="28" t="n">
        <x:v>0.1363</x:v>
      </x:c>
      <x:c r="L1145" s="26" t="n">
        <x:v>1056.76</x:v>
      </x:c>
      <x:c r="M1145" t="n">
        <x:v>0</x:v>
      </x:c>
      <x:c r="N1145" s="26" t="n">
        <x:v>0</x:v>
      </x:c>
      <x:c r="O1145" s="26" t="n">
        <x:v>143.43</x:v>
      </x:c>
      <x:c r="P1145" s="26" t="n">
        <x:v>34.89</x:v>
      </x:c>
      <x:c r="Q1145" s="26" t="n">
        <x:v>65.9</x:v>
      </x:c>
      <x:c r="R1145" s="26" t="n">
        <x:v>81.41</x:v>
      </x:c>
      <x:c r="S1145" s="26" t="n">
        <x:v>731.13</x:v>
      </x:c>
    </x:row>
    <x:row r="1146">
      <x:c r="A1146" t="n">
        <x:v>501143</x:v>
      </x:c>
      <x:c r="B1146" s="24" t="n">
        <x:v>45870</x:v>
      </x:c>
      <x:c r="C1146" t="n">
        <x:v>1032</x:v>
      </x:c>
      <x:c r="D1146" t="str">
        <x:v>Seller 1032</x:v>
      </x:c>
      <x:c r="E1146" t="str">
        <x:v>Silver</x:v>
      </x:c>
      <x:c r="F1146" t="str">
        <x:v>West</x:v>
      </x:c>
      <x:c r="G1146" t="str">
        <x:v>Pet Supplies</x:v>
      </x:c>
      <x:c r="H1146" t="n">
        <x:v>1</x:v>
      </x:c>
      <x:c r="I1146" s="26" t="n">
        <x:v>3025.2000000000003</x:v>
      </x:c>
      <x:c r="J1146" s="26" t="n">
        <x:v>2686.8</x:v>
      </x:c>
      <x:c r="K1146" s="28" t="n">
        <x:v>0.1318</x:v>
      </x:c>
      <x:c r="L1146" s="26" t="n">
        <x:v>354.12</x:v>
      </x:c>
      <x:c r="M1146" t="n">
        <x:v>0</x:v>
      </x:c>
      <x:c r="N1146" s="26" t="n">
        <x:v>0</x:v>
      </x:c>
      <x:c r="O1146" s="26" t="n">
        <x:v>49.71</x:v>
      </x:c>
      <x:c r="P1146" s="26" t="n">
        <x:v>12.09</x:v>
      </x:c>
      <x:c r="Q1146" s="26" t="n">
        <x:v>22.84</x:v>
      </x:c>
      <x:c r="R1146" s="26" t="n">
        <x:v>28.21</x:v>
      </x:c>
      <x:c r="S1146" s="26" t="n">
        <x:v>241.27</x:v>
      </x:c>
    </x:row>
    <x:row r="1147">
      <x:c r="A1147" t="n">
        <x:v>501144</x:v>
      </x:c>
      <x:c r="B1147" s="24" t="n">
        <x:v>45879</x:v>
      </x:c>
      <x:c r="C1147" t="n">
        <x:v>1075</x:v>
      </x:c>
      <x:c r="D1147" t="str">
        <x:v>Seller 1075</x:v>
      </x:c>
      <x:c r="E1147" t="str">
        <x:v>Bronze</x:v>
      </x:c>
      <x:c r="F1147" t="str">
        <x:v>East</x:v>
      </x:c>
      <x:c r="G1147" t="str">
        <x:v>Electronics</x:v>
      </x:c>
      <x:c r="H1147" t="n">
        <x:v>1</x:v>
      </x:c>
      <x:c r="I1147" s="26" t="n">
        <x:v>8497.2</x:v>
      </x:c>
      <x:c r="J1147" s="26" t="n">
        <x:v>5317.2</x:v>
      </x:c>
      <x:c r="K1147" s="28" t="n">
        <x:v>0.1325</x:v>
      </x:c>
      <x:c r="L1147" s="26" t="n">
        <x:v>704.53</x:v>
      </x:c>
      <x:c r="M1147" t="n">
        <x:v>0</x:v>
      </x:c>
      <x:c r="N1147" s="26" t="n">
        <x:v>0</x:v>
      </x:c>
      <x:c r="O1147" s="26" t="n">
        <x:v>98.37</x:v>
      </x:c>
      <x:c r="P1147" s="26" t="n">
        <x:v>23.93</x:v>
      </x:c>
      <x:c r="Q1147" s="26" t="n">
        <x:v>45.2</x:v>
      </x:c>
      <x:c r="R1147" s="26" t="n">
        <x:v>55.83</x:v>
      </x:c>
      <x:c r="S1147" s="26" t="n">
        <x:v>481.21</x:v>
      </x:c>
    </x:row>
    <x:row r="1148">
      <x:c r="A1148" t="n">
        <x:v>501145</x:v>
      </x:c>
      <x:c r="B1148" s="24" t="n">
        <x:v>45897</x:v>
      </x:c>
      <x:c r="C1148" t="n">
        <x:v>1001</x:v>
      </x:c>
      <x:c r="D1148" t="str">
        <x:v>Seller 1001</x:v>
      </x:c>
      <x:c r="E1148" t="str">
        <x:v>Platinum</x:v>
      </x:c>
      <x:c r="F1148" t="str">
        <x:v>East</x:v>
      </x:c>
      <x:c r="G1148" t="str">
        <x:v>Electronics</x:v>
      </x:c>
      <x:c r="H1148" t="n">
        <x:v>3</x:v>
      </x:c>
      <x:c r="I1148" s="26" t="n">
        <x:v>2367</x:v>
      </x:c>
      <x:c r="J1148" s="26" t="n">
        <x:v>11110.2</x:v>
      </x:c>
      <x:c r="K1148" s="28" t="n">
        <x:v>0.1244</x:v>
      </x:c>
      <x:c r="L1148" s="26" t="n">
        <x:v>1382.11</x:v>
      </x:c>
      <x:c r="M1148" t="n">
        <x:v>0</x:v>
      </x:c>
      <x:c r="N1148" s="26" t="n">
        <x:v>0</x:v>
      </x:c>
      <x:c r="O1148" s="26" t="n">
        <x:v>205.54</x:v>
      </x:c>
      <x:c r="P1148" s="26" t="n">
        <x:v>50</x:v>
      </x:c>
      <x:c r="Q1148" s="26" t="n">
        <x:v>94.44</x:v>
      </x:c>
      <x:c r="R1148" s="26" t="n">
        <x:v>116.66</x:v>
      </x:c>
      <x:c r="S1148" s="26" t="n">
        <x:v>915.48</x:v>
      </x:c>
    </x:row>
    <x:row r="1149">
      <x:c r="A1149" t="n">
        <x:v>501146</x:v>
      </x:c>
      <x:c r="B1149" s="24" t="n">
        <x:v>45885</x:v>
      </x:c>
      <x:c r="C1149" t="n">
        <x:v>1045</x:v>
      </x:c>
      <x:c r="D1149" t="str">
        <x:v>Seller 1045</x:v>
      </x:c>
      <x:c r="E1149" t="str">
        <x:v>Silver</x:v>
      </x:c>
      <x:c r="F1149" t="str">
        <x:v>Central</x:v>
      </x:c>
      <x:c r="G1149" t="str">
        <x:v>Home &amp; Kitchen</x:v>
      </x:c>
      <x:c r="H1149" t="n">
        <x:v>3</x:v>
      </x:c>
      <x:c r="I1149" s="26" t="n">
        <x:v>1085.4</x:v>
      </x:c>
      <x:c r="J1149" s="26" t="n">
        <x:v>2892</x:v>
      </x:c>
      <x:c r="K1149" s="28" t="n">
        <x:v>0.1263</x:v>
      </x:c>
      <x:c r="L1149" s="26" t="n">
        <x:v>365.26</x:v>
      </x:c>
      <x:c r="M1149" t="n">
        <x:v>0</x:v>
      </x:c>
      <x:c r="N1149" s="26" t="n">
        <x:v>0</x:v>
      </x:c>
      <x:c r="O1149" s="26" t="n">
        <x:v>53.5</x:v>
      </x:c>
      <x:c r="P1149" s="26" t="n">
        <x:v>13.01</x:v>
      </x:c>
      <x:c r="Q1149" s="26" t="n">
        <x:v>24.58</x:v>
      </x:c>
      <x:c r="R1149" s="26" t="n">
        <x:v>30.37</x:v>
      </x:c>
      <x:c r="S1149" s="26" t="n">
        <x:v>243.8</x:v>
      </x:c>
    </x:row>
    <x:row r="1150">
      <x:c r="A1150" t="n">
        <x:v>501147</x:v>
      </x:c>
      <x:c r="B1150" s="24" t="n">
        <x:v>45880</x:v>
      </x:c>
      <x:c r="C1150" t="n">
        <x:v>1054</x:v>
      </x:c>
      <x:c r="D1150" t="str">
        <x:v>Seller 1054</x:v>
      </x:c>
      <x:c r="E1150" t="str">
        <x:v>Silver</x:v>
      </x:c>
      <x:c r="F1150" t="str">
        <x:v>South</x:v>
      </x:c>
      <x:c r="G1150" t="str">
        <x:v>Home &amp; Kitchen</x:v>
      </x:c>
      <x:c r="H1150" t="n">
        <x:v>2</x:v>
      </x:c>
      <x:c r="I1150" s="26" t="n">
        <x:v>2342.4</x:v>
      </x:c>
      <x:c r="J1150" s="26" t="n">
        <x:v>4160.4</x:v>
      </x:c>
      <x:c r="K1150" s="28" t="n">
        <x:v>0.1263</x:v>
      </x:c>
      <x:c r="L1150" s="26" t="n">
        <x:v>525.46</x:v>
      </x:c>
      <x:c r="M1150" t="n">
        <x:v>0</x:v>
      </x:c>
      <x:c r="N1150" s="26" t="n">
        <x:v>0</x:v>
      </x:c>
      <x:c r="O1150" s="26" t="n">
        <x:v>76.97</x:v>
      </x:c>
      <x:c r="P1150" s="26" t="n">
        <x:v>18.72</x:v>
      </x:c>
      <x:c r="Q1150" s="26" t="n">
        <x:v>35.36</x:v>
      </x:c>
      <x:c r="R1150" s="26" t="n">
        <x:v>43.68</x:v>
      </x:c>
      <x:c r="S1150" s="26" t="n">
        <x:v>350.72</x:v>
      </x:c>
    </x:row>
    <x:row r="1151">
      <x:c r="A1151" t="n">
        <x:v>501148</x:v>
      </x:c>
      <x:c r="B1151" s="24" t="n">
        <x:v>45887</x:v>
      </x:c>
      <x:c r="C1151" t="n">
        <x:v>1004</x:v>
      </x:c>
      <x:c r="D1151" t="str">
        <x:v>Seller 1004</x:v>
      </x:c>
      <x:c r="E1151" t="str">
        <x:v>Platinum</x:v>
      </x:c>
      <x:c r="F1151" t="str">
        <x:v>East</x:v>
      </x:c>
      <x:c r="G1151" t="str">
        <x:v>Sports</x:v>
      </x:c>
      <x:c r="H1151" t="n">
        <x:v>2</x:v>
      </x:c>
      <x:c r="I1151" s="26" t="n">
        <x:v>2335.2000000000003</x:v>
      </x:c>
      <x:c r="J1151" s="26" t="n">
        <x:v>7307.4</x:v>
      </x:c>
      <x:c r="K1151" s="28" t="n">
        <x:v>0.1185</x:v>
      </x:c>
      <x:c r="L1151" s="26" t="n">
        <x:v>865.93</x:v>
      </x:c>
      <x:c r="M1151" t="n">
        <x:v>0</x:v>
      </x:c>
      <x:c r="N1151" s="26" t="n">
        <x:v>0</x:v>
      </x:c>
      <x:c r="O1151" s="26" t="n">
        <x:v>135.19</x:v>
      </x:c>
      <x:c r="P1151" s="26" t="n">
        <x:v>32.88</x:v>
      </x:c>
      <x:c r="Q1151" s="26" t="n">
        <x:v>62.11</x:v>
      </x:c>
      <x:c r="R1151" s="26" t="n">
        <x:v>76.73</x:v>
      </x:c>
      <x:c r="S1151" s="26" t="n">
        <x:v>559.02</x:v>
      </x:c>
    </x:row>
    <x:row r="1152">
      <x:c r="A1152" t="n">
        <x:v>501149</x:v>
      </x:c>
      <x:c r="B1152" s="24" t="n">
        <x:v>45872</x:v>
      </x:c>
      <x:c r="C1152" t="n">
        <x:v>1021</x:v>
      </x:c>
      <x:c r="D1152" t="str">
        <x:v>Seller 1021</x:v>
      </x:c>
      <x:c r="E1152" t="str">
        <x:v>Gold</x:v>
      </x:c>
      <x:c r="F1152" t="str">
        <x:v>Central</x:v>
      </x:c>
      <x:c r="G1152" t="str">
        <x:v>Pet Supplies</x:v>
      </x:c>
      <x:c r="H1152" t="n">
        <x:v>2</x:v>
      </x:c>
      <x:c r="I1152" s="26" t="n">
        <x:v>1635.6000000000001</x:v>
      </x:c>
      <x:c r="J1152" s="26" t="n">
        <x:v>3797.4</x:v>
      </x:c>
      <x:c r="K1152" s="28" t="n">
        <x:v>0.1218</x:v>
      </x:c>
      <x:c r="L1152" s="26" t="n">
        <x:v>462.52</x:v>
      </x:c>
      <x:c r="M1152" t="n">
        <x:v>0</x:v>
      </x:c>
      <x:c r="N1152" s="26" t="n">
        <x:v>0</x:v>
      </x:c>
      <x:c r="O1152" s="26" t="n">
        <x:v>70.25</x:v>
      </x:c>
      <x:c r="P1152" s="26" t="n">
        <x:v>17.09</x:v>
      </x:c>
      <x:c r="Q1152" s="26" t="n">
        <x:v>32.28</x:v>
      </x:c>
      <x:c r="R1152" s="26" t="n">
        <x:v>39.87</x:v>
      </x:c>
      <x:c r="S1152" s="26" t="n">
        <x:v>303.03</x:v>
      </x:c>
    </x:row>
    <x:row r="1153">
      <x:c r="A1153" t="n">
        <x:v>501150</x:v>
      </x:c>
      <x:c r="B1153" s="24" t="n">
        <x:v>45882</x:v>
      </x:c>
      <x:c r="C1153" t="n">
        <x:v>1024</x:v>
      </x:c>
      <x:c r="D1153" t="str">
        <x:v>Seller 1024</x:v>
      </x:c>
      <x:c r="E1153" t="str">
        <x:v>Gold</x:v>
      </x:c>
      <x:c r="F1153" t="str">
        <x:v>West</x:v>
      </x:c>
      <x:c r="G1153" t="str">
        <x:v>Pet Supplies</x:v>
      </x:c>
      <x:c r="H1153" t="n">
        <x:v>3</x:v>
      </x:c>
      <x:c r="I1153" s="26" t="n">
        <x:v>1275.6000000000001</x:v>
      </x:c>
      <x:c r="J1153" s="26" t="n">
        <x:v>4441.8</x:v>
      </x:c>
      <x:c r="K1153" s="28" t="n">
        <x:v>0.1428</x:v>
      </x:c>
      <x:c r="L1153" s="26" t="n">
        <x:v>634.29</x:v>
      </x:c>
      <x:c r="M1153" t="n">
        <x:v>0</x:v>
      </x:c>
      <x:c r="N1153" s="26" t="n">
        <x:v>0</x:v>
      </x:c>
      <x:c r="O1153" s="26" t="n">
        <x:v>82.17</x:v>
      </x:c>
      <x:c r="P1153" s="26" t="n">
        <x:v>19.99</x:v>
      </x:c>
      <x:c r="Q1153" s="26" t="n">
        <x:v>37.76</x:v>
      </x:c>
      <x:c r="R1153" s="26" t="n">
        <x:v>46.64</x:v>
      </x:c>
      <x:c r="S1153" s="26" t="n">
        <x:v>447.73</x:v>
      </x:c>
    </x:row>
    <x:row r="1154">
      <x:c r="A1154" t="n">
        <x:v>501151</x:v>
      </x:c>
      <x:c r="B1154" s="24" t="n">
        <x:v>45868</x:v>
      </x:c>
      <x:c r="C1154" t="n">
        <x:v>1002</x:v>
      </x:c>
      <x:c r="D1154" t="str">
        <x:v>Seller 1002</x:v>
      </x:c>
      <x:c r="E1154" t="str">
        <x:v>Platinum</x:v>
      </x:c>
      <x:c r="F1154" t="str">
        <x:v>Central</x:v>
      </x:c>
      <x:c r="G1154" t="str">
        <x:v>Home &amp; Kitchen</x:v>
      </x:c>
      <x:c r="H1154" t="n">
        <x:v>3</x:v>
      </x:c>
      <x:c r="I1154" s="26" t="n">
        <x:v>2314.2</x:v>
      </x:c>
      <x:c r="J1154" s="26" t="n">
        <x:v>10862.4</x:v>
      </x:c>
      <x:c r="K1154" s="28" t="n">
        <x:v>0.1238</x:v>
      </x:c>
      <x:c r="L1154" s="26" t="n">
        <x:v>1344.77</x:v>
      </x:c>
      <x:c r="M1154" t="n">
        <x:v>0</x:v>
      </x:c>
      <x:c r="N1154" s="26" t="n">
        <x:v>0</x:v>
      </x:c>
      <x:c r="O1154" s="26" t="n">
        <x:v>200.95</x:v>
      </x:c>
      <x:c r="P1154" s="26" t="n">
        <x:v>48.88</x:v>
      </x:c>
      <x:c r="Q1154" s="26" t="n">
        <x:v>92.33</x:v>
      </x:c>
      <x:c r="R1154" s="26" t="n">
        <x:v>114.06</x:v>
      </x:c>
      <x:c r="S1154" s="26" t="n">
        <x:v>888.54</x:v>
      </x:c>
    </x:row>
    <x:row r="1155">
      <x:c r="A1155" t="n">
        <x:v>501152</x:v>
      </x:c>
      <x:c r="B1155" s="24" t="n">
        <x:v>45877</x:v>
      </x:c>
      <x:c r="C1155" t="n">
        <x:v>1051</x:v>
      </x:c>
      <x:c r="D1155" t="str">
        <x:v>Seller 1051</x:v>
      </x:c>
      <x:c r="E1155" t="str">
        <x:v>Silver</x:v>
      </x:c>
      <x:c r="F1155" t="str">
        <x:v>East</x:v>
      </x:c>
      <x:c r="G1155" t="str">
        <x:v>Pet Supplies</x:v>
      </x:c>
      <x:c r="H1155" t="n">
        <x:v>3</x:v>
      </x:c>
      <x:c r="I1155" s="26" t="n">
        <x:v>952.1999999999999</x:v>
      </x:c>
      <x:c r="J1155" s="26" t="n">
        <x:v>2537.4</x:v>
      </x:c>
      <x:c r="K1155" s="28" t="n">
        <x:v>0.1371</x:v>
      </x:c>
      <x:c r="L1155" s="26" t="n">
        <x:v>347.88</x:v>
      </x:c>
      <x:c r="M1155" t="n">
        <x:v>0</x:v>
      </x:c>
      <x:c r="N1155" s="26" t="n">
        <x:v>0</x:v>
      </x:c>
      <x:c r="O1155" s="26" t="n">
        <x:v>46.94</x:v>
      </x:c>
      <x:c r="P1155" s="26" t="n">
        <x:v>11.42</x:v>
      </x:c>
      <x:c r="Q1155" s="26" t="n">
        <x:v>21.57</x:v>
      </x:c>
      <x:c r="R1155" s="26" t="n">
        <x:v>26.64</x:v>
      </x:c>
      <x:c r="S1155" s="26" t="n">
        <x:v>241.31</x:v>
      </x:c>
    </x:row>
    <x:row r="1156">
      <x:c r="A1156" t="n">
        <x:v>501153</x:v>
      </x:c>
      <x:c r="B1156" s="24" t="n">
        <x:v>45874</x:v>
      </x:c>
      <x:c r="C1156" t="n">
        <x:v>1030</x:v>
      </x:c>
      <x:c r="D1156" t="str">
        <x:v>Seller 1030</x:v>
      </x:c>
      <x:c r="E1156" t="str">
        <x:v>Gold</x:v>
      </x:c>
      <x:c r="F1156" t="str">
        <x:v>South</x:v>
      </x:c>
      <x:c r="G1156" t="str">
        <x:v>Pet Supplies</x:v>
      </x:c>
      <x:c r="H1156" t="n">
        <x:v>3</x:v>
      </x:c>
      <x:c r="I1156" s="26" t="n">
        <x:v>1599.6</x:v>
      </x:c>
      <x:c r="J1156" s="26" t="n">
        <x:v>5569.2</x:v>
      </x:c>
      <x:c r="K1156" s="28" t="n">
        <x:v>0.1325</x:v>
      </x:c>
      <x:c r="L1156" s="26" t="n">
        <x:v>737.92</x:v>
      </x:c>
      <x:c r="M1156" t="n">
        <x:v>0</x:v>
      </x:c>
      <x:c r="N1156" s="26" t="n">
        <x:v>0</x:v>
      </x:c>
      <x:c r="O1156" s="26" t="n">
        <x:v>103.03</x:v>
      </x:c>
      <x:c r="P1156" s="26" t="n">
        <x:v>25.06</x:v>
      </x:c>
      <x:c r="Q1156" s="26" t="n">
        <x:v>47.34</x:v>
      </x:c>
      <x:c r="R1156" s="26" t="n">
        <x:v>58.48</x:v>
      </x:c>
      <x:c r="S1156" s="26" t="n">
        <x:v>504.01</x:v>
      </x:c>
    </x:row>
    <x:row r="1157">
      <x:c r="A1157" t="n">
        <x:v>501154</x:v>
      </x:c>
      <x:c r="B1157" s="24" t="n">
        <x:v>45894</x:v>
      </x:c>
      <x:c r="C1157" t="n">
        <x:v>1052</x:v>
      </x:c>
      <x:c r="D1157" t="str">
        <x:v>Seller 1052</x:v>
      </x:c>
      <x:c r="E1157" t="str">
        <x:v>Silver</x:v>
      </x:c>
      <x:c r="F1157" t="str">
        <x:v>Central</x:v>
      </x:c>
      <x:c r="G1157" t="str">
        <x:v>Pet Supplies</x:v>
      </x:c>
      <x:c r="H1157" t="n">
        <x:v>2</x:v>
      </x:c>
      <x:c r="I1157" s="26" t="n">
        <x:v>1716</x:v>
      </x:c>
      <x:c r="J1157" s="26" t="n">
        <x:v>3048.6</x:v>
      </x:c>
      <x:c r="K1157" s="28" t="n">
        <x:v>0.1379</x:v>
      </x:c>
      <x:c r="L1157" s="26" t="n">
        <x:v>420.4</x:v>
      </x:c>
      <x:c r="M1157" t="n">
        <x:v>0</x:v>
      </x:c>
      <x:c r="N1157" s="26" t="n">
        <x:v>0</x:v>
      </x:c>
      <x:c r="O1157" s="26" t="n">
        <x:v>56.4</x:v>
      </x:c>
      <x:c r="P1157" s="26" t="n">
        <x:v>13.72</x:v>
      </x:c>
      <x:c r="Q1157" s="26" t="n">
        <x:v>25.91</x:v>
      </x:c>
      <x:c r="R1157" s="26" t="n">
        <x:v>32.01</x:v>
      </x:c>
      <x:c r="S1157" s="26" t="n">
        <x:v>292.36</x:v>
      </x:c>
    </x:row>
    <x:row r="1158">
      <x:c r="A1158" t="n">
        <x:v>501155</x:v>
      </x:c>
      <x:c r="B1158" s="24" t="n">
        <x:v>45881</x:v>
      </x:c>
      <x:c r="C1158" t="n">
        <x:v>1060</x:v>
      </x:c>
      <x:c r="D1158" t="str">
        <x:v>Seller 1060</x:v>
      </x:c>
      <x:c r="E1158" t="str">
        <x:v>Bronze</x:v>
      </x:c>
      <x:c r="F1158" t="str">
        <x:v>East</x:v>
      </x:c>
      <x:c r="G1158" t="str">
        <x:v>Pet Supplies</x:v>
      </x:c>
      <x:c r="H1158" t="n">
        <x:v>2</x:v>
      </x:c>
      <x:c r="I1158" s="26" t="n">
        <x:v>1351.8000000000002</x:v>
      </x:c>
      <x:c r="J1158" s="26" t="n">
        <x:v>1692</x:v>
      </x:c>
      <x:c r="K1158" s="28" t="n">
        <x:v>0.1291</x:v>
      </x:c>
      <x:c r="L1158" s="26" t="n">
        <x:v>218.44</x:v>
      </x:c>
      <x:c r="M1158" t="n">
        <x:v>0</x:v>
      </x:c>
      <x:c r="N1158" s="26" t="n">
        <x:v>0</x:v>
      </x:c>
      <x:c r="O1158" s="26" t="n">
        <x:v>31.3</x:v>
      </x:c>
      <x:c r="P1158" s="26" t="n">
        <x:v>7.61</x:v>
      </x:c>
      <x:c r="Q1158" s="26" t="n">
        <x:v>14.38</x:v>
      </x:c>
      <x:c r="R1158" s="26" t="n">
        <x:v>17.77</x:v>
      </x:c>
      <x:c r="S1158" s="26" t="n">
        <x:v>147.37</x:v>
      </x:c>
    </x:row>
    <x:row r="1159">
      <x:c r="A1159" t="n">
        <x:v>501156</x:v>
      </x:c>
      <x:c r="B1159" s="24" t="n">
        <x:v>45873</x:v>
      </x:c>
      <x:c r="C1159" t="n">
        <x:v>1025</x:v>
      </x:c>
      <x:c r="D1159" t="str">
        <x:v>Seller 1025</x:v>
      </x:c>
      <x:c r="E1159" t="str">
        <x:v>Gold</x:v>
      </x:c>
      <x:c r="F1159" t="str">
        <x:v>Central</x:v>
      </x:c>
      <x:c r="G1159" t="str">
        <x:v>Pet Supplies</x:v>
      </x:c>
      <x:c r="H1159" t="n">
        <x:v>3</x:v>
      </x:c>
      <x:c r="I1159" s="26" t="n">
        <x:v>1184.3999999999999</x:v>
      </x:c>
      <x:c r="J1159" s="26" t="n">
        <x:v>4124.4</x:v>
      </x:c>
      <x:c r="K1159" s="28" t="n">
        <x:v>0.1387</x:v>
      </x:c>
      <x:c r="L1159" s="26" t="n">
        <x:v>572.05</x:v>
      </x:c>
      <x:c r="M1159" t="n">
        <x:v>0</x:v>
      </x:c>
      <x:c r="N1159" s="26" t="n">
        <x:v>0</x:v>
      </x:c>
      <x:c r="O1159" s="26" t="n">
        <x:v>76.3</x:v>
      </x:c>
      <x:c r="P1159" s="26" t="n">
        <x:v>18.56</x:v>
      </x:c>
      <x:c r="Q1159" s="26" t="n">
        <x:v>35.06</x:v>
      </x:c>
      <x:c r="R1159" s="26" t="n">
        <x:v>43.31</x:v>
      </x:c>
      <x:c r="S1159" s="26" t="n">
        <x:v>398.83</x:v>
      </x:c>
    </x:row>
    <x:row r="1160">
      <x:c r="A1160" t="n">
        <x:v>501157</x:v>
      </x:c>
      <x:c r="B1160" s="24" t="n">
        <x:v>45897</x:v>
      </x:c>
      <x:c r="C1160" t="n">
        <x:v>1070</x:v>
      </x:c>
      <x:c r="D1160" t="str">
        <x:v>Seller 1070</x:v>
      </x:c>
      <x:c r="E1160" t="str">
        <x:v>Bronze</x:v>
      </x:c>
      <x:c r="F1160" t="str">
        <x:v>West</x:v>
      </x:c>
      <x:c r="G1160" t="str">
        <x:v>Electronics</x:v>
      </x:c>
      <x:c r="H1160" t="n">
        <x:v>2</x:v>
      </x:c>
      <x:c r="I1160" s="26" t="n">
        <x:v>4450.2</x:v>
      </x:c>
      <x:c r="J1160" s="26" t="n">
        <x:v>5569.8</x:v>
      </x:c>
      <x:c r="K1160" s="28" t="n">
        <x:v>0.1348</x:v>
      </x:c>
      <x:c r="L1160" s="26" t="n">
        <x:v>750.81</x:v>
      </x:c>
      <x:c r="M1160" t="n">
        <x:v>0</x:v>
      </x:c>
      <x:c r="N1160" s="26" t="n">
        <x:v>0</x:v>
      </x:c>
      <x:c r="O1160" s="26" t="n">
        <x:v>103.04</x:v>
      </x:c>
      <x:c r="P1160" s="26" t="n">
        <x:v>25.06</x:v>
      </x:c>
      <x:c r="Q1160" s="26" t="n">
        <x:v>47.34</x:v>
      </x:c>
      <x:c r="R1160" s="26" t="n">
        <x:v>58.48</x:v>
      </x:c>
      <x:c r="S1160" s="26" t="n">
        <x:v>516.88</x:v>
      </x:c>
    </x:row>
    <x:row r="1161">
      <x:c r="A1161" t="n">
        <x:v>501158</x:v>
      </x:c>
      <x:c r="B1161" s="24" t="n">
        <x:v>45869</x:v>
      </x:c>
      <x:c r="C1161" t="n">
        <x:v>1005</x:v>
      </x:c>
      <x:c r="D1161" t="str">
        <x:v>Seller 1005</x:v>
      </x:c>
      <x:c r="E1161" t="str">
        <x:v>Platinum</x:v>
      </x:c>
      <x:c r="F1161" t="str">
        <x:v>East</x:v>
      </x:c>
      <x:c r="G1161" t="str">
        <x:v>Electronics</x:v>
      </x:c>
      <x:c r="H1161" t="n">
        <x:v>3</x:v>
      </x:c>
      <x:c r="I1161" s="26" t="n">
        <x:v>3360.6</x:v>
      </x:c>
      <x:c r="J1161" s="26" t="n">
        <x:v>15772.2</x:v>
      </x:c>
      <x:c r="K1161" s="28" t="n">
        <x:v>0.1141</x:v>
      </x:c>
      <x:c r="L1161" s="26" t="n">
        <x:v>1799.61</x:v>
      </x:c>
      <x:c r="M1161" t="n">
        <x:v>0</x:v>
      </x:c>
      <x:c r="N1161" s="26" t="n">
        <x:v>0</x:v>
      </x:c>
      <x:c r="O1161" s="26" t="n">
        <x:v>291.79</x:v>
      </x:c>
      <x:c r="P1161" s="26" t="n">
        <x:v>70.97</x:v>
      </x:c>
      <x:c r="Q1161" s="26" t="n">
        <x:v>134.06</x:v>
      </x:c>
      <x:c r="R1161" s="26" t="n">
        <x:v>165.61</x:v>
      </x:c>
      <x:c r="S1161" s="26" t="n">
        <x:v>1137.18</x:v>
      </x:c>
    </x:row>
    <x:row r="1162">
      <x:c r="A1162" t="n">
        <x:v>501159</x:v>
      </x:c>
      <x:c r="B1162" s="24" t="n">
        <x:v>45878</x:v>
      </x:c>
      <x:c r="C1162" t="n">
        <x:v>1041</x:v>
      </x:c>
      <x:c r="D1162" t="str">
        <x:v>Seller 1041</x:v>
      </x:c>
      <x:c r="E1162" t="str">
        <x:v>Silver</x:v>
      </x:c>
      <x:c r="F1162" t="str">
        <x:v>West</x:v>
      </x:c>
      <x:c r="G1162" t="str">
        <x:v>Apparel</x:v>
      </x:c>
      <x:c r="H1162" t="n">
        <x:v>1</x:v>
      </x:c>
      <x:c r="I1162" s="26" t="n">
        <x:v>4644.599999999999</x:v>
      </x:c>
      <x:c r="J1162" s="26" t="n">
        <x:v>4125</x:v>
      </x:c>
      <x:c r="K1162" s="28" t="n">
        <x:v>0.126</x:v>
      </x:c>
      <x:c r="L1162" s="26" t="n">
        <x:v>519.75</x:v>
      </x:c>
      <x:c r="M1162" t="n">
        <x:v>0</x:v>
      </x:c>
      <x:c r="N1162" s="26" t="n">
        <x:v>0</x:v>
      </x:c>
      <x:c r="O1162" s="26" t="n">
        <x:v>76.31</x:v>
      </x:c>
      <x:c r="P1162" s="26" t="n">
        <x:v>18.56</x:v>
      </x:c>
      <x:c r="Q1162" s="26" t="n">
        <x:v>35.06</x:v>
      </x:c>
      <x:c r="R1162" s="26" t="n">
        <x:v>43.31</x:v>
      </x:c>
      <x:c r="S1162" s="26" t="n">
        <x:v>346.5</x:v>
      </x:c>
    </x:row>
    <x:row r="1163">
      <x:c r="A1163" t="n">
        <x:v>501160</x:v>
      </x:c>
      <x:c r="B1163" s="24" t="n">
        <x:v>45871</x:v>
      </x:c>
      <x:c r="C1163" t="n">
        <x:v>1051</x:v>
      </x:c>
      <x:c r="D1163" t="str">
        <x:v>Seller 1051</x:v>
      </x:c>
      <x:c r="E1163" t="str">
        <x:v>Silver</x:v>
      </x:c>
      <x:c r="F1163" t="str">
        <x:v>East</x:v>
      </x:c>
      <x:c r="G1163" t="str">
        <x:v>Sports</x:v>
      </x:c>
      <x:c r="H1163" t="n">
        <x:v>3</x:v>
      </x:c>
      <x:c r="I1163" s="26" t="n">
        <x:v>1426.8000000000002</x:v>
      </x:c>
      <x:c r="J1163" s="26" t="n">
        <x:v>3802.8</x:v>
      </x:c>
      <x:c r="K1163" s="28" t="n">
        <x:v>0.1183</x:v>
      </x:c>
      <x:c r="L1163" s="26" t="n">
        <x:v>449.87</x:v>
      </x:c>
      <x:c r="M1163" t="n">
        <x:v>0</x:v>
      </x:c>
      <x:c r="N1163" s="26" t="n">
        <x:v>0</x:v>
      </x:c>
      <x:c r="O1163" s="26" t="n">
        <x:v>70.35</x:v>
      </x:c>
      <x:c r="P1163" s="26" t="n">
        <x:v>17.11</x:v>
      </x:c>
      <x:c r="Q1163" s="26" t="n">
        <x:v>32.32</x:v>
      </x:c>
      <x:c r="R1163" s="26" t="n">
        <x:v>39.93</x:v>
      </x:c>
      <x:c r="S1163" s="26" t="n">
        <x:v>290.15</x:v>
      </x:c>
    </x:row>
    <x:row r="1164">
      <x:c r="A1164" t="n">
        <x:v>501161</x:v>
      </x:c>
      <x:c r="B1164" s="24" t="n">
        <x:v>45889</x:v>
      </x:c>
      <x:c r="C1164" t="n">
        <x:v>1065</x:v>
      </x:c>
      <x:c r="D1164" t="str">
        <x:v>Seller 1065</x:v>
      </x:c>
      <x:c r="E1164" t="str">
        <x:v>Bronze</x:v>
      </x:c>
      <x:c r="F1164" t="str">
        <x:v>South</x:v>
      </x:c>
      <x:c r="G1164" t="str">
        <x:v>Home &amp; Kitchen</x:v>
      </x:c>
      <x:c r="H1164" t="n">
        <x:v>4</x:v>
      </x:c>
      <x:c r="I1164" s="26" t="n">
        <x:v>1333.8</x:v>
      </x:c>
      <x:c r="J1164" s="26" t="n">
        <x:v>3339.6</x:v>
      </x:c>
      <x:c r="K1164" s="28" t="n">
        <x:v>0.1344</x:v>
      </x:c>
      <x:c r="L1164" s="26" t="n">
        <x:v>448.84</x:v>
      </x:c>
      <x:c r="M1164" t="n">
        <x:v>1</x:v>
      </x:c>
      <x:c r="N1164" s="26" t="n">
        <x:v>2079</x:v>
      </x:c>
      <x:c r="O1164" s="26" t="n">
        <x:v>61.78</x:v>
      </x:c>
      <x:c r="P1164" s="26" t="n">
        <x:v>15.03</x:v>
      </x:c>
      <x:c r="Q1164" s="26" t="n">
        <x:v>28.39</x:v>
      </x:c>
      <x:c r="R1164" s="26" t="n">
        <x:v>35.07</x:v>
      </x:c>
      <x:c r="S1164" s="26" t="n">
        <x:v>267</x:v>
      </x:c>
    </x:row>
    <x:row r="1165">
      <x:c r="A1165" t="n">
        <x:v>501162</x:v>
      </x:c>
      <x:c r="B1165" s="24" t="n">
        <x:v>45872</x:v>
      </x:c>
      <x:c r="C1165" t="n">
        <x:v>1060</x:v>
      </x:c>
      <x:c r="D1165" t="str">
        <x:v>Seller 1060</x:v>
      </x:c>
      <x:c r="E1165" t="str">
        <x:v>Bronze</x:v>
      </x:c>
      <x:c r="F1165" t="str">
        <x:v>East</x:v>
      </x:c>
      <x:c r="G1165" t="str">
        <x:v>Pet Supplies</x:v>
      </x:c>
      <x:c r="H1165" t="n">
        <x:v>1</x:v>
      </x:c>
      <x:c r="I1165" s="26" t="n">
        <x:v>2681.3999999999996</x:v>
      </x:c>
      <x:c r="J1165" s="26" t="n">
        <x:v>1677.6</x:v>
      </x:c>
      <x:c r="K1165" s="28" t="n">
        <x:v>0.1256</x:v>
      </x:c>
      <x:c r="L1165" s="26" t="n">
        <x:v>210.71</x:v>
      </x:c>
      <x:c r="M1165" t="n">
        <x:v>0</x:v>
      </x:c>
      <x:c r="N1165" s="26" t="n">
        <x:v>0</x:v>
      </x:c>
      <x:c r="O1165" s="26" t="n">
        <x:v>31.04</x:v>
      </x:c>
      <x:c r="P1165" s="26" t="n">
        <x:v>7.55</x:v>
      </x:c>
      <x:c r="Q1165" s="26" t="n">
        <x:v>14.26</x:v>
      </x:c>
      <x:c r="R1165" s="26" t="n">
        <x:v>17.61</x:v>
      </x:c>
      <x:c r="S1165" s="26" t="n">
        <x:v>140.25</x:v>
      </x:c>
    </x:row>
    <x:row r="1166">
      <x:c r="A1166" t="n">
        <x:v>501163</x:v>
      </x:c>
      <x:c r="B1166" s="24" t="n">
        <x:v>45893</x:v>
      </x:c>
      <x:c r="C1166" t="n">
        <x:v>1021</x:v>
      </x:c>
      <x:c r="D1166" t="str">
        <x:v>Seller 1021</x:v>
      </x:c>
      <x:c r="E1166" t="str">
        <x:v>Gold</x:v>
      </x:c>
      <x:c r="F1166" t="str">
        <x:v>Central</x:v>
      </x:c>
      <x:c r="G1166" t="str">
        <x:v>Sports</x:v>
      </x:c>
      <x:c r="H1166" t="n">
        <x:v>1</x:v>
      </x:c>
      <x:c r="I1166" s="26" t="n">
        <x:v>4500</x:v>
      </x:c>
      <x:c r="J1166" s="26" t="n">
        <x:v>5223</x:v>
      </x:c>
      <x:c r="K1166" s="28" t="n">
        <x:v>0.1316</x:v>
      </x:c>
      <x:c r="L1166" s="26" t="n">
        <x:v>687.35</x:v>
      </x:c>
      <x:c r="M1166" t="n">
        <x:v>0</x:v>
      </x:c>
      <x:c r="N1166" s="26" t="n">
        <x:v>0</x:v>
      </x:c>
      <x:c r="O1166" s="26" t="n">
        <x:v>96.63</x:v>
      </x:c>
      <x:c r="P1166" s="26" t="n">
        <x:v>23.5</x:v>
      </x:c>
      <x:c r="Q1166" s="26" t="n">
        <x:v>44.4</x:v>
      </x:c>
      <x:c r="R1166" s="26" t="n">
        <x:v>54.84</x:v>
      </x:c>
      <x:c r="S1166" s="26" t="n">
        <x:v>467.98</x:v>
      </x:c>
    </x:row>
    <x:row r="1167">
      <x:c r="A1167" t="n">
        <x:v>501164</x:v>
      </x:c>
      <x:c r="B1167" s="24" t="n">
        <x:v>45880</x:v>
      </x:c>
      <x:c r="C1167" t="n">
        <x:v>1017</x:v>
      </x:c>
      <x:c r="D1167" t="str">
        <x:v>Seller 1017</x:v>
      </x:c>
      <x:c r="E1167" t="str">
        <x:v>Gold</x:v>
      </x:c>
      <x:c r="F1167" t="str">
        <x:v>East</x:v>
      </x:c>
      <x:c r="G1167" t="str">
        <x:v>Electronics</x:v>
      </x:c>
      <x:c r="H1167" t="n">
        <x:v>1</x:v>
      </x:c>
      <x:c r="I1167" s="26" t="n">
        <x:v>9754.199999999999</x:v>
      </x:c>
      <x:c r="J1167" s="26" t="n">
        <x:v>11321.4</x:v>
      </x:c>
      <x:c r="K1167" s="28" t="n">
        <x:v>0.1233</x:v>
      </x:c>
      <x:c r="L1167" s="26" t="n">
        <x:v>1395.93</x:v>
      </x:c>
      <x:c r="M1167" t="n">
        <x:v>0</x:v>
      </x:c>
      <x:c r="N1167" s="26" t="n">
        <x:v>0</x:v>
      </x:c>
      <x:c r="O1167" s="26" t="n">
        <x:v>209.45</x:v>
      </x:c>
      <x:c r="P1167" s="26" t="n">
        <x:v>50.95</x:v>
      </x:c>
      <x:c r="Q1167" s="26" t="n">
        <x:v>96.23</x:v>
      </x:c>
      <x:c r="R1167" s="26" t="n">
        <x:v>118.87</x:v>
      </x:c>
      <x:c r="S1167" s="26" t="n">
        <x:v>920.43</x:v>
      </x:c>
    </x:row>
    <x:row r="1168">
      <x:c r="A1168" t="n">
        <x:v>501165</x:v>
      </x:c>
      <x:c r="B1168" s="24" t="n">
        <x:v>45893</x:v>
      </x:c>
      <x:c r="C1168" t="n">
        <x:v>1031</x:v>
      </x:c>
      <x:c r="D1168" t="str">
        <x:v>Seller 1031</x:v>
      </x:c>
      <x:c r="E1168" t="str">
        <x:v>Silver</x:v>
      </x:c>
      <x:c r="F1168" t="str">
        <x:v>West</x:v>
      </x:c>
      <x:c r="G1168" t="str">
        <x:v>Home &amp; Kitchen</x:v>
      </x:c>
      <x:c r="H1168" t="n">
        <x:v>2</x:v>
      </x:c>
      <x:c r="I1168" s="26" t="n">
        <x:v>2360.4</x:v>
      </x:c>
      <x:c r="J1168" s="26" t="n">
        <x:v>4193.4</x:v>
      </x:c>
      <x:c r="K1168" s="28" t="n">
        <x:v>0.1267</x:v>
      </x:c>
      <x:c r="L1168" s="26" t="n">
        <x:v>531.3</x:v>
      </x:c>
      <x:c r="M1168" t="n">
        <x:v>0</x:v>
      </x:c>
      <x:c r="N1168" s="26" t="n">
        <x:v>0</x:v>
      </x:c>
      <x:c r="O1168" s="26" t="n">
        <x:v>77.58</x:v>
      </x:c>
      <x:c r="P1168" s="26" t="n">
        <x:v>18.87</x:v>
      </x:c>
      <x:c r="Q1168" s="26" t="n">
        <x:v>35.64</x:v>
      </x:c>
      <x:c r="R1168" s="26" t="n">
        <x:v>44.03</x:v>
      </x:c>
      <x:c r="S1168" s="26" t="n">
        <x:v>355.18</x:v>
      </x:c>
    </x:row>
    <x:row r="1169">
      <x:c r="A1169" t="n">
        <x:v>501166</x:v>
      </x:c>
      <x:c r="B1169" s="24" t="n">
        <x:v>45871</x:v>
      </x:c>
      <x:c r="C1169" t="n">
        <x:v>1002</x:v>
      </x:c>
      <x:c r="D1169" t="str">
        <x:v>Seller 1002</x:v>
      </x:c>
      <x:c r="E1169" t="str">
        <x:v>Platinum</x:v>
      </x:c>
      <x:c r="F1169" t="str">
        <x:v>Central</x:v>
      </x:c>
      <x:c r="G1169" t="str">
        <x:v>Home &amp; Kitchen</x:v>
      </x:c>
      <x:c r="H1169" t="n">
        <x:v>3</x:v>
      </x:c>
      <x:c r="I1169" s="26" t="n">
        <x:v>1279.8</x:v>
      </x:c>
      <x:c r="J1169" s="26" t="n">
        <x:v>6006.6</x:v>
      </x:c>
      <x:c r="K1169" s="28" t="n">
        <x:v>0.1463</x:v>
      </x:c>
      <x:c r="L1169" s="26" t="n">
        <x:v>878.77</x:v>
      </x:c>
      <x:c r="M1169" t="n">
        <x:v>0</x:v>
      </x:c>
      <x:c r="N1169" s="26" t="n">
        <x:v>0</x:v>
      </x:c>
      <x:c r="O1169" s="26" t="n">
        <x:v>111.12</x:v>
      </x:c>
      <x:c r="P1169" s="26" t="n">
        <x:v>27.03</x:v>
      </x:c>
      <x:c r="Q1169" s="26" t="n">
        <x:v>51.06</x:v>
      </x:c>
      <x:c r="R1169" s="26" t="n">
        <x:v>63.07</x:v>
      </x:c>
      <x:c r="S1169" s="26" t="n">
        <x:v>626.49</x:v>
      </x:c>
    </x:row>
    <x:row r="1170">
      <x:c r="A1170" t="n">
        <x:v>501167</x:v>
      </x:c>
      <x:c r="B1170" s="24" t="n">
        <x:v>45873</x:v>
      </x:c>
      <x:c r="C1170" t="n">
        <x:v>1059</x:v>
      </x:c>
      <x:c r="D1170" t="str">
        <x:v>Seller 1059</x:v>
      </x:c>
      <x:c r="E1170" t="str">
        <x:v>Bronze</x:v>
      </x:c>
      <x:c r="F1170" t="str">
        <x:v>Central</x:v>
      </x:c>
      <x:c r="G1170" t="str">
        <x:v>Sports</x:v>
      </x:c>
      <x:c r="H1170" t="n">
        <x:v>3</x:v>
      </x:c>
      <x:c r="I1170" s="26" t="n">
        <x:v>1432.8</x:v>
      </x:c>
      <x:c r="J1170" s="26" t="n">
        <x:v>2689.8</x:v>
      </x:c>
      <x:c r="K1170" s="28" t="n">
        <x:v>0.1227</x:v>
      </x:c>
      <x:c r="L1170" s="26" t="n">
        <x:v>330.04</x:v>
      </x:c>
      <x:c r="M1170" t="n">
        <x:v>0</x:v>
      </x:c>
      <x:c r="N1170" s="26" t="n">
        <x:v>0</x:v>
      </x:c>
      <x:c r="O1170" s="26" t="n">
        <x:v>49.76</x:v>
      </x:c>
      <x:c r="P1170" s="26" t="n">
        <x:v>12.1</x:v>
      </x:c>
      <x:c r="Q1170" s="26" t="n">
        <x:v>22.86</x:v>
      </x:c>
      <x:c r="R1170" s="26" t="n">
        <x:v>28.24</x:v>
      </x:c>
      <x:c r="S1170" s="26" t="n">
        <x:v>217.07</x:v>
      </x:c>
    </x:row>
    <x:row r="1171">
      <x:c r="A1171" t="n">
        <x:v>501168</x:v>
      </x:c>
      <x:c r="B1171" s="24" t="n">
        <x:v>45871</x:v>
      </x:c>
      <x:c r="C1171" t="n">
        <x:v>1059</x:v>
      </x:c>
      <x:c r="D1171" t="str">
        <x:v>Seller 1059</x:v>
      </x:c>
      <x:c r="E1171" t="str">
        <x:v>Bronze</x:v>
      </x:c>
      <x:c r="F1171" t="str">
        <x:v>Central</x:v>
      </x:c>
      <x:c r="G1171" t="str">
        <x:v>Sports</x:v>
      </x:c>
      <x:c r="H1171" t="n">
        <x:v>1</x:v>
      </x:c>
      <x:c r="I1171" s="26" t="n">
        <x:v>4606.8</x:v>
      </x:c>
      <x:c r="J1171" s="26" t="n">
        <x:v>2883</x:v>
      </x:c>
      <x:c r="K1171" s="28" t="n">
        <x:v>0.137</x:v>
      </x:c>
      <x:c r="L1171" s="26" t="n">
        <x:v>394.97</x:v>
      </x:c>
      <x:c r="M1171" t="n">
        <x:v>0</x:v>
      </x:c>
      <x:c r="N1171" s="26" t="n">
        <x:v>0</x:v>
      </x:c>
      <x:c r="O1171" s="26" t="n">
        <x:v>53.34</x:v>
      </x:c>
      <x:c r="P1171" s="26" t="n">
        <x:v>12.97</x:v>
      </x:c>
      <x:c r="Q1171" s="26" t="n">
        <x:v>24.51</x:v>
      </x:c>
      <x:c r="R1171" s="26" t="n">
        <x:v>30.27</x:v>
      </x:c>
      <x:c r="S1171" s="26" t="n">
        <x:v>273.88</x:v>
      </x:c>
    </x:row>
    <x:row r="1172">
      <x:c r="A1172" t="n">
        <x:v>501169</x:v>
      </x:c>
      <x:c r="B1172" s="24" t="n">
        <x:v>45882</x:v>
      </x:c>
      <x:c r="C1172" t="n">
        <x:v>1073</x:v>
      </x:c>
      <x:c r="D1172" t="str">
        <x:v>Seller 1073</x:v>
      </x:c>
      <x:c r="E1172" t="str">
        <x:v>Bronze</x:v>
      </x:c>
      <x:c r="F1172" t="str">
        <x:v>Central</x:v>
      </x:c>
      <x:c r="G1172" t="str">
        <x:v>Electronics</x:v>
      </x:c>
      <x:c r="H1172" t="n">
        <x:v>2</x:v>
      </x:c>
      <x:c r="I1172" s="26" t="n">
        <x:v>4782.599999999999</x:v>
      </x:c>
      <x:c r="J1172" s="26" t="n">
        <x:v>5985.6</x:v>
      </x:c>
      <x:c r="K1172" s="28" t="n">
        <x:v>0.1228</x:v>
      </x:c>
      <x:c r="L1172" s="26" t="n">
        <x:v>735.03</x:v>
      </x:c>
      <x:c r="M1172" t="n">
        <x:v>0</x:v>
      </x:c>
      <x:c r="N1172" s="26" t="n">
        <x:v>0</x:v>
      </x:c>
      <x:c r="O1172" s="26" t="n">
        <x:v>110.73</x:v>
      </x:c>
      <x:c r="P1172" s="26" t="n">
        <x:v>26.94</x:v>
      </x:c>
      <x:c r="Q1172" s="26" t="n">
        <x:v>50.88</x:v>
      </x:c>
      <x:c r="R1172" s="26" t="n">
        <x:v>62.85</x:v>
      </x:c>
      <x:c r="S1172" s="26" t="n">
        <x:v>483.64</x:v>
      </x:c>
    </x:row>
    <x:row r="1173">
      <x:c r="A1173" t="n">
        <x:v>501170</x:v>
      </x:c>
      <x:c r="B1173" s="24" t="n">
        <x:v>45896</x:v>
      </x:c>
      <x:c r="C1173" t="n">
        <x:v>1047</x:v>
      </x:c>
      <x:c r="D1173" t="str">
        <x:v>Seller 1047</x:v>
      </x:c>
      <x:c r="E1173" t="str">
        <x:v>Silver</x:v>
      </x:c>
      <x:c r="F1173" t="str">
        <x:v>East</x:v>
      </x:c>
      <x:c r="G1173" t="str">
        <x:v>Sports</x:v>
      </x:c>
      <x:c r="H1173" t="n">
        <x:v>2</x:v>
      </x:c>
      <x:c r="I1173" s="26" t="n">
        <x:v>2056.8</x:v>
      </x:c>
      <x:c r="J1173" s="26" t="n">
        <x:v>3653.4</x:v>
      </x:c>
      <x:c r="K1173" s="28" t="n">
        <x:v>0.118</x:v>
      </x:c>
      <x:c r="L1173" s="26" t="n">
        <x:v>431.1</x:v>
      </x:c>
      <x:c r="M1173" t="n">
        <x:v>0</x:v>
      </x:c>
      <x:c r="N1173" s="26" t="n">
        <x:v>0</x:v>
      </x:c>
      <x:c r="O1173" s="26" t="n">
        <x:v>67.59</x:v>
      </x:c>
      <x:c r="P1173" s="26" t="n">
        <x:v>16.44</x:v>
      </x:c>
      <x:c r="Q1173" s="26" t="n">
        <x:v>31.05</x:v>
      </x:c>
      <x:c r="R1173" s="26" t="n">
        <x:v>38.36</x:v>
      </x:c>
      <x:c r="S1173" s="26" t="n">
        <x:v>277.66</x:v>
      </x:c>
    </x:row>
    <x:row r="1174">
      <x:c r="A1174" t="n">
        <x:v>501171</x:v>
      </x:c>
      <x:c r="B1174" s="24" t="n">
        <x:v>45877</x:v>
      </x:c>
      <x:c r="C1174" t="n">
        <x:v>1006</x:v>
      </x:c>
      <x:c r="D1174" t="str">
        <x:v>Seller 1006</x:v>
      </x:c>
      <x:c r="E1174" t="str">
        <x:v>Platinum</x:v>
      </x:c>
      <x:c r="F1174" t="str">
        <x:v>East</x:v>
      </x:c>
      <x:c r="G1174" t="str">
        <x:v>Sports</x:v>
      </x:c>
      <x:c r="H1174" t="n">
        <x:v>1</x:v>
      </x:c>
      <x:c r="I1174" s="26" t="n">
        <x:v>4089.0000000000005</x:v>
      </x:c>
      <x:c r="J1174" s="26" t="n">
        <x:v>6396.6</x:v>
      </x:c>
      <x:c r="K1174" s="28" t="n">
        <x:v>0.1219</x:v>
      </x:c>
      <x:c r="L1174" s="26" t="n">
        <x:v>779.75</x:v>
      </x:c>
      <x:c r="M1174" t="n">
        <x:v>1</x:v>
      </x:c>
      <x:c r="N1174" s="26" t="n">
        <x:v>5973.6</x:v>
      </x:c>
      <x:c r="O1174" s="26" t="n">
        <x:v>118.34</x:v>
      </x:c>
      <x:c r="P1174" s="26" t="n">
        <x:v>28.78</x:v>
      </x:c>
      <x:c r="Q1174" s="26" t="n">
        <x:v>54.37</x:v>
      </x:c>
      <x:c r="R1174" s="26" t="n">
        <x:v>67.16</x:v>
      </x:c>
      <x:c r="S1174" s="26" t="n">
        <x:v>391.62</x:v>
      </x:c>
    </x:row>
    <x:row r="1175">
      <x:c r="A1175" t="n">
        <x:v>501172</x:v>
      </x:c>
      <x:c r="B1175" s="24" t="n">
        <x:v>45882</x:v>
      </x:c>
      <x:c r="C1175" t="n">
        <x:v>1049</x:v>
      </x:c>
      <x:c r="D1175" t="str">
        <x:v>Seller 1049</x:v>
      </x:c>
      <x:c r="E1175" t="str">
        <x:v>Silver</x:v>
      </x:c>
      <x:c r="F1175" t="str">
        <x:v>West</x:v>
      </x:c>
      <x:c r="G1175" t="str">
        <x:v>Home &amp; Kitchen</x:v>
      </x:c>
      <x:c r="H1175" t="n">
        <x:v>2</x:v>
      </x:c>
      <x:c r="I1175" s="26" t="n">
        <x:v>2550.6</x:v>
      </x:c>
      <x:c r="J1175" s="26" t="n">
        <x:v>4531.2</x:v>
      </x:c>
      <x:c r="K1175" s="28" t="n">
        <x:v>0.1323</x:v>
      </x:c>
      <x:c r="L1175" s="26" t="n">
        <x:v>599.48</x:v>
      </x:c>
      <x:c r="M1175" t="n">
        <x:v>0</x:v>
      </x:c>
      <x:c r="N1175" s="26" t="n">
        <x:v>0</x:v>
      </x:c>
      <x:c r="O1175" s="26" t="n">
        <x:v>83.83</x:v>
      </x:c>
      <x:c r="P1175" s="26" t="n">
        <x:v>20.39</x:v>
      </x:c>
      <x:c r="Q1175" s="26" t="n">
        <x:v>38.52</x:v>
      </x:c>
      <x:c r="R1175" s="26" t="n">
        <x:v>47.58</x:v>
      </x:c>
      <x:c r="S1175" s="26" t="n">
        <x:v>409.17</x:v>
      </x:c>
    </x:row>
    <x:row r="1176">
      <x:c r="A1176" t="n">
        <x:v>501173</x:v>
      </x:c>
      <x:c r="B1176" s="24" t="n">
        <x:v>45897</x:v>
      </x:c>
      <x:c r="C1176" t="n">
        <x:v>1060</x:v>
      </x:c>
      <x:c r="D1176" t="str">
        <x:v>Seller 1060</x:v>
      </x:c>
      <x:c r="E1176" t="str">
        <x:v>Bronze</x:v>
      </x:c>
      <x:c r="F1176" t="str">
        <x:v>East</x:v>
      </x:c>
      <x:c r="G1176" t="str">
        <x:v>Pet Supplies</x:v>
      </x:c>
      <x:c r="H1176" t="n">
        <x:v>3</x:v>
      </x:c>
      <x:c r="I1176" s="26" t="n">
        <x:v>876</x:v>
      </x:c>
      <x:c r="J1176" s="26" t="n">
        <x:v>1644.6</x:v>
      </x:c>
      <x:c r="K1176" s="28" t="n">
        <x:v>0.1221</x:v>
      </x:c>
      <x:c r="L1176" s="26" t="n">
        <x:v>200.81</x:v>
      </x:c>
      <x:c r="M1176" t="n">
        <x:v>0</x:v>
      </x:c>
      <x:c r="N1176" s="26" t="n">
        <x:v>0</x:v>
      </x:c>
      <x:c r="O1176" s="26" t="n">
        <x:v>30.43</x:v>
      </x:c>
      <x:c r="P1176" s="26" t="n">
        <x:v>7.4</x:v>
      </x:c>
      <x:c r="Q1176" s="26" t="n">
        <x:v>13.98</x:v>
      </x:c>
      <x:c r="R1176" s="26" t="n">
        <x:v>17.27</x:v>
      </x:c>
      <x:c r="S1176" s="26" t="n">
        <x:v>131.73</x:v>
      </x:c>
    </x:row>
    <x:row r="1177">
      <x:c r="A1177" t="n">
        <x:v>501174</x:v>
      </x:c>
      <x:c r="B1177" s="24" t="n">
        <x:v>45891</x:v>
      </x:c>
      <x:c r="C1177" t="n">
        <x:v>1051</x:v>
      </x:c>
      <x:c r="D1177" t="str">
        <x:v>Seller 1051</x:v>
      </x:c>
      <x:c r="E1177" t="str">
        <x:v>Silver</x:v>
      </x:c>
      <x:c r="F1177" t="str">
        <x:v>East</x:v>
      </x:c>
      <x:c r="G1177" t="str">
        <x:v>Home &amp; Kitchen</x:v>
      </x:c>
      <x:c r="H1177" t="n">
        <x:v>2</x:v>
      </x:c>
      <x:c r="I1177" s="26" t="n">
        <x:v>2543.4</x:v>
      </x:c>
      <x:c r="J1177" s="26" t="n">
        <x:v>4518</x:v>
      </x:c>
      <x:c r="K1177" s="28" t="n">
        <x:v>0.1312</x:v>
      </x:c>
      <x:c r="L1177" s="26" t="n">
        <x:v>592.76</x:v>
      </x:c>
      <x:c r="M1177" t="n">
        <x:v>0</x:v>
      </x:c>
      <x:c r="N1177" s="26" t="n">
        <x:v>0</x:v>
      </x:c>
      <x:c r="O1177" s="26" t="n">
        <x:v>83.58</x:v>
      </x:c>
      <x:c r="P1177" s="26" t="n">
        <x:v>20.33</x:v>
      </x:c>
      <x:c r="Q1177" s="26" t="n">
        <x:v>38.4</x:v>
      </x:c>
      <x:c r="R1177" s="26" t="n">
        <x:v>47.44</x:v>
      </x:c>
      <x:c r="S1177" s="26" t="n">
        <x:v>403.01</x:v>
      </x:c>
    </x:row>
    <x:row r="1178">
      <x:c r="A1178" t="n">
        <x:v>501175</x:v>
      </x:c>
      <x:c r="B1178" s="24" t="n">
        <x:v>45886</x:v>
      </x:c>
      <x:c r="C1178" t="n">
        <x:v>1061</x:v>
      </x:c>
      <x:c r="D1178" t="str">
        <x:v>Seller 1061</x:v>
      </x:c>
      <x:c r="E1178" t="str">
        <x:v>Bronze</x:v>
      </x:c>
      <x:c r="F1178" t="str">
        <x:v>Central</x:v>
      </x:c>
      <x:c r="G1178" t="str">
        <x:v>Electronics</x:v>
      </x:c>
      <x:c r="H1178" t="n">
        <x:v>1</x:v>
      </x:c>
      <x:c r="I1178" s="26" t="n">
        <x:v>8946</x:v>
      </x:c>
      <x:c r="J1178" s="26" t="n">
        <x:v>5598</x:v>
      </x:c>
      <x:c r="K1178" s="28" t="n">
        <x:v>0.1358</x:v>
      </x:c>
      <x:c r="L1178" s="26" t="n">
        <x:v>760.21</x:v>
      </x:c>
      <x:c r="M1178" t="n">
        <x:v>0</x:v>
      </x:c>
      <x:c r="N1178" s="26" t="n">
        <x:v>0</x:v>
      </x:c>
      <x:c r="O1178" s="26" t="n">
        <x:v>103.56</x:v>
      </x:c>
      <x:c r="P1178" s="26" t="n">
        <x:v>25.19</x:v>
      </x:c>
      <x:c r="Q1178" s="26" t="n">
        <x:v>47.58</x:v>
      </x:c>
      <x:c r="R1178" s="26" t="n">
        <x:v>58.78</x:v>
      </x:c>
      <x:c r="S1178" s="26" t="n">
        <x:v>525.09</x:v>
      </x:c>
    </x:row>
    <x:row r="1179">
      <x:c r="A1179" t="n">
        <x:v>501176</x:v>
      </x:c>
      <x:c r="B1179" s="24" t="n">
        <x:v>45874</x:v>
      </x:c>
      <x:c r="C1179" t="n">
        <x:v>1005</x:v>
      </x:c>
      <x:c r="D1179" t="str">
        <x:v>Seller 1005</x:v>
      </x:c>
      <x:c r="E1179" t="str">
        <x:v>Platinum</x:v>
      </x:c>
      <x:c r="F1179" t="str">
        <x:v>East</x:v>
      </x:c>
      <x:c r="G1179" t="str">
        <x:v>Apparel</x:v>
      </x:c>
      <x:c r="H1179" t="n">
        <x:v>4</x:v>
      </x:c>
      <x:c r="I1179" s="26" t="n">
        <x:v>1173.6</x:v>
      </x:c>
      <x:c r="J1179" s="26" t="n">
        <x:v>7343.4</x:v>
      </x:c>
      <x:c r="K1179" s="28" t="n">
        <x:v>0.1269</x:v>
      </x:c>
      <x:c r="L1179" s="26" t="n">
        <x:v>931.88</x:v>
      </x:c>
      <x:c r="M1179" t="n">
        <x:v>0</x:v>
      </x:c>
      <x:c r="N1179" s="26" t="n">
        <x:v>0</x:v>
      </x:c>
      <x:c r="O1179" s="26" t="n">
        <x:v>135.85</x:v>
      </x:c>
      <x:c r="P1179" s="26" t="n">
        <x:v>33.05</x:v>
      </x:c>
      <x:c r="Q1179" s="26" t="n">
        <x:v>62.42</x:v>
      </x:c>
      <x:c r="R1179" s="26" t="n">
        <x:v>77.11</x:v>
      </x:c>
      <x:c r="S1179" s="26" t="n">
        <x:v>623.45</x:v>
      </x:c>
    </x:row>
    <x:row r="1180">
      <x:c r="A1180" t="n">
        <x:v>501177</x:v>
      </x:c>
      <x:c r="B1180" s="24" t="n">
        <x:v>45870</x:v>
      </x:c>
      <x:c r="C1180" t="n">
        <x:v>1003</x:v>
      </x:c>
      <x:c r="D1180" t="str">
        <x:v>Seller 1003</x:v>
      </x:c>
      <x:c r="E1180" t="str">
        <x:v>Platinum</x:v>
      </x:c>
      <x:c r="F1180" t="str">
        <x:v>East</x:v>
      </x:c>
      <x:c r="G1180" t="str">
        <x:v>Pet Supplies</x:v>
      </x:c>
      <x:c r="H1180" t="n">
        <x:v>1</x:v>
      </x:c>
      <x:c r="I1180" s="26" t="n">
        <x:v>3208.7999999999997</x:v>
      </x:c>
      <x:c r="J1180" s="26" t="n">
        <x:v>5019.6</x:v>
      </x:c>
      <x:c r="K1180" s="28" t="n">
        <x:v>0.1242</x:v>
      </x:c>
      <x:c r="L1180" s="26" t="n">
        <x:v>623.43</x:v>
      </x:c>
      <x:c r="M1180" t="n">
        <x:v>0</x:v>
      </x:c>
      <x:c r="N1180" s="26" t="n">
        <x:v>0</x:v>
      </x:c>
      <x:c r="O1180" s="26" t="n">
        <x:v>92.86</x:v>
      </x:c>
      <x:c r="P1180" s="26" t="n">
        <x:v>22.59</x:v>
      </x:c>
      <x:c r="Q1180" s="26" t="n">
        <x:v>42.67</x:v>
      </x:c>
      <x:c r="R1180" s="26" t="n">
        <x:v>52.71</x:v>
      </x:c>
      <x:c r="S1180" s="26" t="n">
        <x:v>412.61</x:v>
      </x:c>
    </x:row>
    <x:row r="1181">
      <x:c r="A1181" t="n">
        <x:v>501178</x:v>
      </x:c>
      <x:c r="B1181" s="24" t="n">
        <x:v>45870</x:v>
      </x:c>
      <x:c r="C1181" t="n">
        <x:v>1039</x:v>
      </x:c>
      <x:c r="D1181" t="str">
        <x:v>Seller 1039</x:v>
      </x:c>
      <x:c r="E1181" t="str">
        <x:v>Silver</x:v>
      </x:c>
      <x:c r="F1181" t="str">
        <x:v>East</x:v>
      </x:c>
      <x:c r="G1181" t="str">
        <x:v>Apparel</x:v>
      </x:c>
      <x:c r="H1181" t="n">
        <x:v>3</x:v>
      </x:c>
      <x:c r="I1181" s="26" t="n">
        <x:v>1009.2</x:v>
      </x:c>
      <x:c r="J1181" s="26" t="n">
        <x:v>2688.6</x:v>
      </x:c>
      <x:c r="K1181" s="28" t="n">
        <x:v>0.1241</x:v>
      </x:c>
      <x:c r="L1181" s="26" t="n">
        <x:v>333.66</x:v>
      </x:c>
      <x:c r="M1181" t="n">
        <x:v>0</x:v>
      </x:c>
      <x:c r="N1181" s="26" t="n">
        <x:v>0</x:v>
      </x:c>
      <x:c r="O1181" s="26" t="n">
        <x:v>49.74</x:v>
      </x:c>
      <x:c r="P1181" s="26" t="n">
        <x:v>12.1</x:v>
      </x:c>
      <x:c r="Q1181" s="26" t="n">
        <x:v>22.85</x:v>
      </x:c>
      <x:c r="R1181" s="26" t="n">
        <x:v>28.23</x:v>
      </x:c>
      <x:c r="S1181" s="26" t="n">
        <x:v>220.73</x:v>
      </x:c>
    </x:row>
    <x:row r="1182">
      <x:c r="A1182" t="n">
        <x:v>501179</x:v>
      </x:c>
      <x:c r="B1182" s="24" t="n">
        <x:v>45890</x:v>
      </x:c>
      <x:c r="C1182" t="n">
        <x:v>1055</x:v>
      </x:c>
      <x:c r="D1182" t="str">
        <x:v>Seller 1055</x:v>
      </x:c>
      <x:c r="E1182" t="str">
        <x:v>Bronze</x:v>
      </x:c>
      <x:c r="F1182" t="str">
        <x:v>Central</x:v>
      </x:c>
      <x:c r="G1182" t="str">
        <x:v>Pet Supplies</x:v>
      </x:c>
      <x:c r="H1182" t="n">
        <x:v>2</x:v>
      </x:c>
      <x:c r="I1182" s="26" t="n">
        <x:v>1410.6000000000001</x:v>
      </x:c>
      <x:c r="J1182" s="26" t="n">
        <x:v>1765.2</x:v>
      </x:c>
      <x:c r="K1182" s="28" t="n">
        <x:v>0.1284</x:v>
      </x:c>
      <x:c r="L1182" s="26" t="n">
        <x:v>226.65</x:v>
      </x:c>
      <x:c r="M1182" t="n">
        <x:v>0</x:v>
      </x:c>
      <x:c r="N1182" s="26" t="n">
        <x:v>0</x:v>
      </x:c>
      <x:c r="O1182" s="26" t="n">
        <x:v>32.66</x:v>
      </x:c>
      <x:c r="P1182" s="26" t="n">
        <x:v>7.94</x:v>
      </x:c>
      <x:c r="Q1182" s="26" t="n">
        <x:v>15</x:v>
      </x:c>
      <x:c r="R1182" s="26" t="n">
        <x:v>18.53</x:v>
      </x:c>
      <x:c r="S1182" s="26" t="n">
        <x:v>152.51</x:v>
      </x:c>
    </x:row>
    <x:row r="1183">
      <x:c r="A1183" t="n">
        <x:v>501180</x:v>
      </x:c>
      <x:c r="B1183" s="24" t="n">
        <x:v>45887</x:v>
      </x:c>
      <x:c r="C1183" t="n">
        <x:v>1021</x:v>
      </x:c>
      <x:c r="D1183" t="str">
        <x:v>Seller 1021</x:v>
      </x:c>
      <x:c r="E1183" t="str">
        <x:v>Gold</x:v>
      </x:c>
      <x:c r="F1183" t="str">
        <x:v>Central</x:v>
      </x:c>
      <x:c r="G1183" t="str">
        <x:v>Apparel</x:v>
      </x:c>
      <x:c r="H1183" t="n">
        <x:v>1</x:v>
      </x:c>
      <x:c r="I1183" s="26" t="n">
        <x:v>4213.8</x:v>
      </x:c>
      <x:c r="J1183" s="26" t="n">
        <x:v>4890.6</x:v>
      </x:c>
      <x:c r="K1183" s="28" t="n">
        <x:v>0.1173</x:v>
      </x:c>
      <x:c r="L1183" s="26" t="n">
        <x:v>573.67</x:v>
      </x:c>
      <x:c r="M1183" t="n">
        <x:v>0</x:v>
      </x:c>
      <x:c r="N1183" s="26" t="n">
        <x:v>0</x:v>
      </x:c>
      <x:c r="O1183" s="26" t="n">
        <x:v>90.48</x:v>
      </x:c>
      <x:c r="P1183" s="26" t="n">
        <x:v>22.01</x:v>
      </x:c>
      <x:c r="Q1183" s="26" t="n">
        <x:v>41.57</x:v>
      </x:c>
      <x:c r="R1183" s="26" t="n">
        <x:v>51.35</x:v>
      </x:c>
      <x:c r="S1183" s="26" t="n">
        <x:v>368.26</x:v>
      </x:c>
    </x:row>
    <x:row r="1184">
      <x:c r="A1184" t="n">
        <x:v>501181</x:v>
      </x:c>
      <x:c r="B1184" s="24" t="n">
        <x:v>45891</x:v>
      </x:c>
      <x:c r="C1184" t="n">
        <x:v>1026</x:v>
      </x:c>
      <x:c r="D1184" t="str">
        <x:v>Seller 1026</x:v>
      </x:c>
      <x:c r="E1184" t="str">
        <x:v>Gold</x:v>
      </x:c>
      <x:c r="F1184" t="str">
        <x:v>East</x:v>
      </x:c>
      <x:c r="G1184" t="str">
        <x:v>Home &amp; Kitchen</x:v>
      </x:c>
      <x:c r="H1184" t="n">
        <x:v>1</x:v>
      </x:c>
      <x:c r="I1184" s="26" t="n">
        <x:v>4446</x:v>
      </x:c>
      <x:c r="J1184" s="26" t="n">
        <x:v>5160.6</x:v>
      </x:c>
      <x:c r="K1184" s="28" t="n">
        <x:v>0.1308</x:v>
      </x:c>
      <x:c r="L1184" s="26" t="n">
        <x:v>675.01</x:v>
      </x:c>
      <x:c r="M1184" t="n">
        <x:v>0</x:v>
      </x:c>
      <x:c r="N1184" s="26" t="n">
        <x:v>0</x:v>
      </x:c>
      <x:c r="O1184" s="26" t="n">
        <x:v>95.47</x:v>
      </x:c>
      <x:c r="P1184" s="26" t="n">
        <x:v>23.22</x:v>
      </x:c>
      <x:c r="Q1184" s="26" t="n">
        <x:v>43.87</x:v>
      </x:c>
      <x:c r="R1184" s="26" t="n">
        <x:v>54.19</x:v>
      </x:c>
      <x:c r="S1184" s="26" t="n">
        <x:v>458.26</x:v>
      </x:c>
    </x:row>
    <x:row r="1185">
      <x:c r="A1185" t="n">
        <x:v>501182</x:v>
      </x:c>
      <x:c r="B1185" s="24" t="n">
        <x:v>45889</x:v>
      </x:c>
      <x:c r="C1185" t="n">
        <x:v>1041</x:v>
      </x:c>
      <x:c r="D1185" t="str">
        <x:v>Seller 1041</x:v>
      </x:c>
      <x:c r="E1185" t="str">
        <x:v>Silver</x:v>
      </x:c>
      <x:c r="F1185" t="str">
        <x:v>West</x:v>
      </x:c>
      <x:c r="G1185" t="str">
        <x:v>Apparel</x:v>
      </x:c>
      <x:c r="H1185" t="n">
        <x:v>4</x:v>
      </x:c>
      <x:c r="I1185" s="26" t="n">
        <x:v>526.8</x:v>
      </x:c>
      <x:c r="J1185" s="26" t="n">
        <x:v>1870.8</x:v>
      </x:c>
      <x:c r="K1185" s="28" t="n">
        <x:v>0.12</x:v>
      </x:c>
      <x:c r="L1185" s="26" t="n">
        <x:v>224.5</x:v>
      </x:c>
      <x:c r="M1185" t="n">
        <x:v>0</x:v>
      </x:c>
      <x:c r="N1185" s="26" t="n">
        <x:v>0</x:v>
      </x:c>
      <x:c r="O1185" s="26" t="n">
        <x:v>34.61</x:v>
      </x:c>
      <x:c r="P1185" s="26" t="n">
        <x:v>8.42</x:v>
      </x:c>
      <x:c r="Q1185" s="26" t="n">
        <x:v>15.9</x:v>
      </x:c>
      <x:c r="R1185" s="26" t="n">
        <x:v>19.64</x:v>
      </x:c>
      <x:c r="S1185" s="26" t="n">
        <x:v>145.92</x:v>
      </x:c>
    </x:row>
    <x:row r="1186">
      <x:c r="A1186" t="n">
        <x:v>501183</x:v>
      </x:c>
      <x:c r="B1186" s="24" t="n">
        <x:v>45888</x:v>
      </x:c>
      <x:c r="C1186" t="n">
        <x:v>1053</x:v>
      </x:c>
      <x:c r="D1186" t="str">
        <x:v>Seller 1053</x:v>
      </x:c>
      <x:c r="E1186" t="str">
        <x:v>Silver</x:v>
      </x:c>
      <x:c r="F1186" t="str">
        <x:v>Central</x:v>
      </x:c>
      <x:c r="G1186" t="str">
        <x:v>Beauty</x:v>
      </x:c>
      <x:c r="H1186" t="n">
        <x:v>2</x:v>
      </x:c>
      <x:c r="I1186" s="26" t="n">
        <x:v>700.2</x:v>
      </x:c>
      <x:c r="J1186" s="26" t="n">
        <x:v>1243.2</x:v>
      </x:c>
      <x:c r="K1186" s="28" t="n">
        <x:v>0.1556</x:v>
      </x:c>
      <x:c r="L1186" s="26" t="n">
        <x:v>193.44</x:v>
      </x:c>
      <x:c r="M1186" t="n">
        <x:v>0</x:v>
      </x:c>
      <x:c r="N1186" s="26" t="n">
        <x:v>0</x:v>
      </x:c>
      <x:c r="O1186" s="26" t="n">
        <x:v>23</x:v>
      </x:c>
      <x:c r="P1186" s="26" t="n">
        <x:v>5.59</x:v>
      </x:c>
      <x:c r="Q1186" s="26" t="n">
        <x:v>10.57</x:v>
      </x:c>
      <x:c r="R1186" s="26" t="n">
        <x:v>13.05</x:v>
      </x:c>
      <x:c r="S1186" s="26" t="n">
        <x:v>141.23</x:v>
      </x:c>
    </x:row>
    <x:row r="1187">
      <x:c r="A1187" t="n">
        <x:v>501184</x:v>
      </x:c>
      <x:c r="B1187" s="24" t="n">
        <x:v>45880</x:v>
      </x:c>
      <x:c r="C1187" t="n">
        <x:v>1075</x:v>
      </x:c>
      <x:c r="D1187" t="str">
        <x:v>Seller 1075</x:v>
      </x:c>
      <x:c r="E1187" t="str">
        <x:v>Bronze</x:v>
      </x:c>
      <x:c r="F1187" t="str">
        <x:v>East</x:v>
      </x:c>
      <x:c r="G1187" t="str">
        <x:v>Electronics</x:v>
      </x:c>
      <x:c r="H1187" t="n">
        <x:v>3</x:v>
      </x:c>
      <x:c r="I1187" s="26" t="n">
        <x:v>4797.599999999999</x:v>
      </x:c>
      <x:c r="J1187" s="26" t="n">
        <x:v>9006.6</x:v>
      </x:c>
      <x:c r="K1187" s="28" t="n">
        <x:v>0.1231</x:v>
      </x:c>
      <x:c r="L1187" s="26" t="n">
        <x:v>1108.71</x:v>
      </x:c>
      <x:c r="M1187" t="n">
        <x:v>0</x:v>
      </x:c>
      <x:c r="N1187" s="26" t="n">
        <x:v>0</x:v>
      </x:c>
      <x:c r="O1187" s="26" t="n">
        <x:v>166.62</x:v>
      </x:c>
      <x:c r="P1187" s="26" t="n">
        <x:v>40.53</x:v>
      </x:c>
      <x:c r="Q1187" s="26" t="n">
        <x:v>76.56</x:v>
      </x:c>
      <x:c r="R1187" s="26" t="n">
        <x:v>94.57</x:v>
      </x:c>
      <x:c r="S1187" s="26" t="n">
        <x:v>730.44</x:v>
      </x:c>
    </x:row>
    <x:row r="1188">
      <x:c r="A1188" t="n">
        <x:v>501185</x:v>
      </x:c>
      <x:c r="B1188" s="24" t="n">
        <x:v>45868</x:v>
      </x:c>
      <x:c r="C1188" t="n">
        <x:v>1028</x:v>
      </x:c>
      <x:c r="D1188" t="str">
        <x:v>Seller 1028</x:v>
      </x:c>
      <x:c r="E1188" t="str">
        <x:v>Gold</x:v>
      </x:c>
      <x:c r="F1188" t="str">
        <x:v>Central</x:v>
      </x:c>
      <x:c r="G1188" t="str">
        <x:v>Sports</x:v>
      </x:c>
      <x:c r="H1188" t="n">
        <x:v>4</x:v>
      </x:c>
      <x:c r="I1188" s="26" t="n">
        <x:v>852.6</x:v>
      </x:c>
      <x:c r="J1188" s="26" t="n">
        <x:v>3959.4</x:v>
      </x:c>
      <x:c r="K1188" s="28" t="n">
        <x:v>0.1298</x:v>
      </x:c>
      <x:c r="L1188" s="26" t="n">
        <x:v>513.93</x:v>
      </x:c>
      <x:c r="M1188" t="n">
        <x:v>0</x:v>
      </x:c>
      <x:c r="N1188" s="26" t="n">
        <x:v>0</x:v>
      </x:c>
      <x:c r="O1188" s="26" t="n">
        <x:v>73.25</x:v>
      </x:c>
      <x:c r="P1188" s="26" t="n">
        <x:v>17.82</x:v>
      </x:c>
      <x:c r="Q1188" s="26" t="n">
        <x:v>33.65</x:v>
      </x:c>
      <x:c r="R1188" s="26" t="n">
        <x:v>41.57</x:v>
      </x:c>
      <x:c r="S1188" s="26" t="n">
        <x:v>347.64</x:v>
      </x:c>
    </x:row>
    <x:row r="1189">
      <x:c r="A1189" t="n">
        <x:v>501186</x:v>
      </x:c>
      <x:c r="B1189" s="24" t="n">
        <x:v>45879</x:v>
      </x:c>
      <x:c r="C1189" t="n">
        <x:v>1039</x:v>
      </x:c>
      <x:c r="D1189" t="str">
        <x:v>Seller 1039</x:v>
      </x:c>
      <x:c r="E1189" t="str">
        <x:v>Silver</x:v>
      </x:c>
      <x:c r="F1189" t="str">
        <x:v>East</x:v>
      </x:c>
      <x:c r="G1189" t="str">
        <x:v>Sports</x:v>
      </x:c>
      <x:c r="H1189" t="n">
        <x:v>2</x:v>
      </x:c>
      <x:c r="I1189" s="26" t="n">
        <x:v>2109</x:v>
      </x:c>
      <x:c r="J1189" s="26" t="n">
        <x:v>3746.4</x:v>
      </x:c>
      <x:c r="K1189" s="28" t="n">
        <x:v>0.128</x:v>
      </x:c>
      <x:c r="L1189" s="26" t="n">
        <x:v>479.54</x:v>
      </x:c>
      <x:c r="M1189" t="n">
        <x:v>0</x:v>
      </x:c>
      <x:c r="N1189" s="26" t="n">
        <x:v>0</x:v>
      </x:c>
      <x:c r="O1189" s="26" t="n">
        <x:v>69.31</x:v>
      </x:c>
      <x:c r="P1189" s="26" t="n">
        <x:v>16.86</x:v>
      </x:c>
      <x:c r="Q1189" s="26" t="n">
        <x:v>31.84</x:v>
      </x:c>
      <x:c r="R1189" s="26" t="n">
        <x:v>39.34</x:v>
      </x:c>
      <x:c r="S1189" s="26" t="n">
        <x:v>322.19</x:v>
      </x:c>
    </x:row>
    <x:row r="1190">
      <x:c r="A1190" t="n">
        <x:v>501187</x:v>
      </x:c>
      <x:c r="B1190" s="24" t="n">
        <x:v>45873</x:v>
      </x:c>
      <x:c r="C1190" t="n">
        <x:v>1046</x:v>
      </x:c>
      <x:c r="D1190" t="str">
        <x:v>Seller 1046</x:v>
      </x:c>
      <x:c r="E1190" t="str">
        <x:v>Silver</x:v>
      </x:c>
      <x:c r="F1190" t="str">
        <x:v>Central</x:v>
      </x:c>
      <x:c r="G1190" t="str">
        <x:v>Apparel</x:v>
      </x:c>
      <x:c r="H1190" t="n">
        <x:v>1</x:v>
      </x:c>
      <x:c r="I1190" s="26" t="n">
        <x:v>3764.4</x:v>
      </x:c>
      <x:c r="J1190" s="26" t="n">
        <x:v>3343.2</x:v>
      </x:c>
      <x:c r="K1190" s="28" t="n">
        <x:v>0.1107</x:v>
      </x:c>
      <x:c r="L1190" s="26" t="n">
        <x:v>370.09</x:v>
      </x:c>
      <x:c r="M1190" t="n">
        <x:v>0</x:v>
      </x:c>
      <x:c r="N1190" s="26" t="n">
        <x:v>0</x:v>
      </x:c>
      <x:c r="O1190" s="26" t="n">
        <x:v>61.85</x:v>
      </x:c>
      <x:c r="P1190" s="26" t="n">
        <x:v>15.04</x:v>
      </x:c>
      <x:c r="Q1190" s="26" t="n">
        <x:v>28.42</x:v>
      </x:c>
      <x:c r="R1190" s="26" t="n">
        <x:v>35.1</x:v>
      </x:c>
      <x:c r="S1190" s="26" t="n">
        <x:v>229.68</x:v>
      </x:c>
    </x:row>
    <x:row r="1191">
      <x:c r="A1191" t="n">
        <x:v>501188</x:v>
      </x:c>
      <x:c r="B1191" s="24" t="n">
        <x:v>45877</x:v>
      </x:c>
      <x:c r="C1191" t="n">
        <x:v>1071</x:v>
      </x:c>
      <x:c r="D1191" t="str">
        <x:v>Seller 1071</x:v>
      </x:c>
      <x:c r="E1191" t="str">
        <x:v>Bronze</x:v>
      </x:c>
      <x:c r="F1191" t="str">
        <x:v>Central</x:v>
      </x:c>
      <x:c r="G1191" t="str">
        <x:v>Sports</x:v>
      </x:c>
      <x:c r="H1191" t="n">
        <x:v>1</x:v>
      </x:c>
      <x:c r="I1191" s="26" t="n">
        <x:v>4465.2</x:v>
      </x:c>
      <x:c r="J1191" s="26" t="n">
        <x:v>2794.2</x:v>
      </x:c>
      <x:c r="K1191" s="28" t="n">
        <x:v>0.1363</x:v>
      </x:c>
      <x:c r="L1191" s="26" t="n">
        <x:v>380.85</x:v>
      </x:c>
      <x:c r="M1191" t="n">
        <x:v>0</x:v>
      </x:c>
      <x:c r="N1191" s="26" t="n">
        <x:v>0</x:v>
      </x:c>
      <x:c r="O1191" s="26" t="n">
        <x:v>51.69</x:v>
      </x:c>
      <x:c r="P1191" s="26" t="n">
        <x:v>12.57</x:v>
      </x:c>
      <x:c r="Q1191" s="26" t="n">
        <x:v>23.75</x:v>
      </x:c>
      <x:c r="R1191" s="26" t="n">
        <x:v>29.34</x:v>
      </x:c>
      <x:c r="S1191" s="26" t="n">
        <x:v>263.49</x:v>
      </x:c>
    </x:row>
    <x:row r="1192">
      <x:c r="A1192" t="n">
        <x:v>501189</x:v>
      </x:c>
      <x:c r="B1192" s="24" t="n">
        <x:v>45881</x:v>
      </x:c>
      <x:c r="C1192" t="n">
        <x:v>1080</x:v>
      </x:c>
      <x:c r="D1192" t="str">
        <x:v>Seller 1080</x:v>
      </x:c>
      <x:c r="E1192" t="str">
        <x:v>Bronze</x:v>
      </x:c>
      <x:c r="F1192" t="str">
        <x:v>South</x:v>
      </x:c>
      <x:c r="G1192" t="str">
        <x:v>Electronics</x:v>
      </x:c>
      <x:c r="H1192" t="n">
        <x:v>4</x:v>
      </x:c>
      <x:c r="I1192" s="26" t="n">
        <x:v>2138.4</x:v>
      </x:c>
      <x:c r="J1192" s="26" t="n">
        <x:v>5352.6</x:v>
      </x:c>
      <x:c r="K1192" s="28" t="n">
        <x:v>0.1155</x:v>
      </x:c>
      <x:c r="L1192" s="26" t="n">
        <x:v>618.23</x:v>
      </x:c>
      <x:c r="M1192" t="n">
        <x:v>0</x:v>
      </x:c>
      <x:c r="N1192" s="26" t="n">
        <x:v>0</x:v>
      </x:c>
      <x:c r="O1192" s="26" t="n">
        <x:v>99.02</x:v>
      </x:c>
      <x:c r="P1192" s="26" t="n">
        <x:v>24.09</x:v>
      </x:c>
      <x:c r="Q1192" s="26" t="n">
        <x:v>45.5</x:v>
      </x:c>
      <x:c r="R1192" s="26" t="n">
        <x:v>56.2</x:v>
      </x:c>
      <x:c r="S1192" s="26" t="n">
        <x:v>393.42</x:v>
      </x:c>
    </x:row>
    <x:row r="1193">
      <x:c r="A1193" t="n">
        <x:v>501190</x:v>
      </x:c>
      <x:c r="B1193" s="24" t="n">
        <x:v>45869</x:v>
      </x:c>
      <x:c r="C1193" t="n">
        <x:v>1014</x:v>
      </x:c>
      <x:c r="D1193" t="str">
        <x:v>Seller 1014</x:v>
      </x:c>
      <x:c r="E1193" t="str">
        <x:v>Gold</x:v>
      </x:c>
      <x:c r="F1193" t="str">
        <x:v>East</x:v>
      </x:c>
      <x:c r="G1193" t="str">
        <x:v>Apparel</x:v>
      </x:c>
      <x:c r="H1193" t="n">
        <x:v>2</x:v>
      </x:c>
      <x:c r="I1193" s="26" t="n">
        <x:v>1216.8000000000002</x:v>
      </x:c>
      <x:c r="J1193" s="26" t="n">
        <x:v>2824.8</x:v>
      </x:c>
      <x:c r="K1193" s="28" t="n">
        <x:v>0.1104</x:v>
      </x:c>
      <x:c r="L1193" s="26" t="n">
        <x:v>311.86</x:v>
      </x:c>
      <x:c r="M1193" t="n">
        <x:v>0</x:v>
      </x:c>
      <x:c r="N1193" s="26" t="n">
        <x:v>0</x:v>
      </x:c>
      <x:c r="O1193" s="26" t="n">
        <x:v>52.26</x:v>
      </x:c>
      <x:c r="P1193" s="26" t="n">
        <x:v>12.71</x:v>
      </x:c>
      <x:c r="Q1193" s="26" t="n">
        <x:v>24.01</x:v>
      </x:c>
      <x:c r="R1193" s="26" t="n">
        <x:v>29.66</x:v>
      </x:c>
      <x:c r="S1193" s="26" t="n">
        <x:v>193.22</x:v>
      </x:c>
    </x:row>
    <x:row r="1194">
      <x:c r="A1194" t="n">
        <x:v>501191</x:v>
      </x:c>
      <x:c r="B1194" s="24" t="n">
        <x:v>45871</x:v>
      </x:c>
      <x:c r="C1194" t="n">
        <x:v>1038</x:v>
      </x:c>
      <x:c r="D1194" t="str">
        <x:v>Seller 1038</x:v>
      </x:c>
      <x:c r="E1194" t="str">
        <x:v>Silver</x:v>
      </x:c>
      <x:c r="F1194" t="str">
        <x:v>South</x:v>
      </x:c>
      <x:c r="G1194" t="str">
        <x:v>Home &amp; Kitchen</x:v>
      </x:c>
      <x:c r="H1194" t="n">
        <x:v>2</x:v>
      </x:c>
      <x:c r="I1194" s="26" t="n">
        <x:v>2887.2</x:v>
      </x:c>
      <x:c r="J1194" s="26" t="n">
        <x:v>5128.8</x:v>
      </x:c>
      <x:c r="K1194" s="28" t="n">
        <x:v>0.1321</x:v>
      </x:c>
      <x:c r="L1194" s="26" t="n">
        <x:v>677.51</x:v>
      </x:c>
      <x:c r="M1194" t="n">
        <x:v>0</x:v>
      </x:c>
      <x:c r="N1194" s="26" t="n">
        <x:v>0</x:v>
      </x:c>
      <x:c r="O1194" s="26" t="n">
        <x:v>94.88</x:v>
      </x:c>
      <x:c r="P1194" s="26" t="n">
        <x:v>23.08</x:v>
      </x:c>
      <x:c r="Q1194" s="26" t="n">
        <x:v>43.59</x:v>
      </x:c>
      <x:c r="R1194" s="26" t="n">
        <x:v>53.85</x:v>
      </x:c>
      <x:c r="S1194" s="26" t="n">
        <x:v>462.1</x:v>
      </x:c>
    </x:row>
    <x:row r="1195">
      <x:c r="A1195" t="n">
        <x:v>501192</x:v>
      </x:c>
      <x:c r="B1195" s="24" t="n">
        <x:v>45875</x:v>
      </x:c>
      <x:c r="C1195" t="n">
        <x:v>1045</x:v>
      </x:c>
      <x:c r="D1195" t="str">
        <x:v>Seller 1045</x:v>
      </x:c>
      <x:c r="E1195" t="str">
        <x:v>Silver</x:v>
      </x:c>
      <x:c r="F1195" t="str">
        <x:v>Central</x:v>
      </x:c>
      <x:c r="G1195" t="str">
        <x:v>Apparel</x:v>
      </x:c>
      <x:c r="H1195" t="n">
        <x:v>1</x:v>
      </x:c>
      <x:c r="I1195" s="26" t="n">
        <x:v>4136.4</x:v>
      </x:c>
      <x:c r="J1195" s="26" t="n">
        <x:v>3673.8</x:v>
      </x:c>
      <x:c r="K1195" s="28" t="n">
        <x:v>0.1249</x:v>
      </x:c>
      <x:c r="L1195" s="26" t="n">
        <x:v>458.86</x:v>
      </x:c>
      <x:c r="M1195" t="n">
        <x:v>1</x:v>
      </x:c>
      <x:c r="N1195" s="26" t="n">
        <x:v>2640</x:v>
      </x:c>
      <x:c r="O1195" s="26" t="n">
        <x:v>67.97</x:v>
      </x:c>
      <x:c r="P1195" s="26" t="n">
        <x:v>16.53</x:v>
      </x:c>
      <x:c r="Q1195" s="26" t="n">
        <x:v>31.23</x:v>
      </x:c>
      <x:c r="R1195" s="26" t="n">
        <x:v>38.57</x:v>
      </x:c>
      <x:c r="S1195" s="26" t="n">
        <x:v>251.76</x:v>
      </x:c>
    </x:row>
    <x:row r="1196">
      <x:c r="A1196" t="n">
        <x:v>501193</x:v>
      </x:c>
      <x:c r="B1196" s="24" t="n">
        <x:v>45875</x:v>
      </x:c>
      <x:c r="C1196" t="n">
        <x:v>1065</x:v>
      </x:c>
      <x:c r="D1196" t="str">
        <x:v>Seller 1065</x:v>
      </x:c>
      <x:c r="E1196" t="str">
        <x:v>Bronze</x:v>
      </x:c>
      <x:c r="F1196" t="str">
        <x:v>South</x:v>
      </x:c>
      <x:c r="G1196" t="str">
        <x:v>Home &amp; Kitchen</x:v>
      </x:c>
      <x:c r="H1196" t="n">
        <x:v>3</x:v>
      </x:c>
      <x:c r="I1196" s="26" t="n">
        <x:v>1428</x:v>
      </x:c>
      <x:c r="J1196" s="26" t="n">
        <x:v>2681.4</x:v>
      </x:c>
      <x:c r="K1196" s="28" t="n">
        <x:v>0.1431</x:v>
      </x:c>
      <x:c r="L1196" s="26" t="n">
        <x:v>383.71</x:v>
      </x:c>
      <x:c r="M1196" t="n">
        <x:v>0</x:v>
      </x:c>
      <x:c r="N1196" s="26" t="n">
        <x:v>0</x:v>
      </x:c>
      <x:c r="O1196" s="26" t="n">
        <x:v>49.61</x:v>
      </x:c>
      <x:c r="P1196" s="26" t="n">
        <x:v>12.07</x:v>
      </x:c>
      <x:c r="Q1196" s="26" t="n">
        <x:v>22.79</x:v>
      </x:c>
      <x:c r="R1196" s="26" t="n">
        <x:v>28.15</x:v>
      </x:c>
      <x:c r="S1196" s="26" t="n">
        <x:v>271.09</x:v>
      </x:c>
    </x:row>
    <x:row r="1197">
      <x:c r="A1197" t="n">
        <x:v>501194</x:v>
      </x:c>
      <x:c r="B1197" s="24" t="n">
        <x:v>45891</x:v>
      </x:c>
      <x:c r="C1197" t="n">
        <x:v>1001</x:v>
      </x:c>
      <x:c r="D1197" t="str">
        <x:v>Seller 1001</x:v>
      </x:c>
      <x:c r="E1197" t="str">
        <x:v>Platinum</x:v>
      </x:c>
      <x:c r="F1197" t="str">
        <x:v>East</x:v>
      </x:c>
      <x:c r="G1197" t="str">
        <x:v>Apparel</x:v>
      </x:c>
      <x:c r="H1197" t="n">
        <x:v>2</x:v>
      </x:c>
      <x:c r="I1197" s="26" t="n">
        <x:v>1934.4</x:v>
      </x:c>
      <x:c r="J1197" s="26" t="n">
        <x:v>6052.8</x:v>
      </x:c>
      <x:c r="K1197" s="28" t="n">
        <x:v>0.127</x:v>
      </x:c>
      <x:c r="L1197" s="26" t="n">
        <x:v>768.71</x:v>
      </x:c>
      <x:c r="M1197" t="n">
        <x:v>0</x:v>
      </x:c>
      <x:c r="N1197" s="26" t="n">
        <x:v>0</x:v>
      </x:c>
      <x:c r="O1197" s="26" t="n">
        <x:v>111.98</x:v>
      </x:c>
      <x:c r="P1197" s="26" t="n">
        <x:v>27.24</x:v>
      </x:c>
      <x:c r="Q1197" s="26" t="n">
        <x:v>51.45</x:v>
      </x:c>
      <x:c r="R1197" s="26" t="n">
        <x:v>63.55</x:v>
      </x:c>
      <x:c r="S1197" s="26" t="n">
        <x:v>514.49</x:v>
      </x:c>
    </x:row>
    <x:row r="1198">
      <x:c r="A1198" t="n">
        <x:v>501195</x:v>
      </x:c>
      <x:c r="B1198" s="24" t="n">
        <x:v>45887</x:v>
      </x:c>
      <x:c r="C1198" t="n">
        <x:v>1077</x:v>
      </x:c>
      <x:c r="D1198" t="str">
        <x:v>Seller 1077</x:v>
      </x:c>
      <x:c r="E1198" t="str">
        <x:v>Bronze</x:v>
      </x:c>
      <x:c r="F1198" t="str">
        <x:v>South</x:v>
      </x:c>
      <x:c r="G1198" t="str">
        <x:v>Home &amp; Kitchen</x:v>
      </x:c>
      <x:c r="H1198" t="n">
        <x:v>3</x:v>
      </x:c>
      <x:c r="I1198" s="26" t="n">
        <x:v>2090.4</x:v>
      </x:c>
      <x:c r="J1198" s="26" t="n">
        <x:v>3924</x:v>
      </x:c>
      <x:c r="K1198" s="28" t="n">
        <x:v>0.1333</x:v>
      </x:c>
      <x:c r="L1198" s="26" t="n">
        <x:v>523.07</x:v>
      </x:c>
      <x:c r="M1198" t="n">
        <x:v>0</x:v>
      </x:c>
      <x:c r="N1198" s="26" t="n">
        <x:v>0</x:v>
      </x:c>
      <x:c r="O1198" s="26" t="n">
        <x:v>72.59</x:v>
      </x:c>
      <x:c r="P1198" s="26" t="n">
        <x:v>17.66</x:v>
      </x:c>
      <x:c r="Q1198" s="26" t="n">
        <x:v>33.35</x:v>
      </x:c>
      <x:c r="R1198" s="26" t="n">
        <x:v>41.2</x:v>
      </x:c>
      <x:c r="S1198" s="26" t="n">
        <x:v>358.26</x:v>
      </x:c>
    </x:row>
    <x:row r="1199">
      <x:c r="A1199" t="n">
        <x:v>501196</x:v>
      </x:c>
      <x:c r="B1199" s="24" t="n">
        <x:v>45878</x:v>
      </x:c>
      <x:c r="C1199" t="n">
        <x:v>1051</x:v>
      </x:c>
      <x:c r="D1199" t="str">
        <x:v>Seller 1051</x:v>
      </x:c>
      <x:c r="E1199" t="str">
        <x:v>Silver</x:v>
      </x:c>
      <x:c r="F1199" t="str">
        <x:v>East</x:v>
      </x:c>
      <x:c r="G1199" t="str">
        <x:v>Sports</x:v>
      </x:c>
      <x:c r="H1199" t="n">
        <x:v>1</x:v>
      </x:c>
      <x:c r="I1199" s="26" t="n">
        <x:v>4932</x:v>
      </x:c>
      <x:c r="J1199" s="26" t="n">
        <x:v>4380.6</x:v>
      </x:c>
      <x:c r="K1199" s="28" t="n">
        <x:v>0.1254</x:v>
      </x:c>
      <x:c r="L1199" s="26" t="n">
        <x:v>549.33</x:v>
      </x:c>
      <x:c r="M1199" t="n">
        <x:v>0</x:v>
      </x:c>
      <x:c r="N1199" s="26" t="n">
        <x:v>0</x:v>
      </x:c>
      <x:c r="O1199" s="26" t="n">
        <x:v>81.04</x:v>
      </x:c>
      <x:c r="P1199" s="26" t="n">
        <x:v>19.71</x:v>
      </x:c>
      <x:c r="Q1199" s="26" t="n">
        <x:v>37.24</x:v>
      </x:c>
      <x:c r="R1199" s="26" t="n">
        <x:v>46</x:v>
      </x:c>
      <x:c r="S1199" s="26" t="n">
        <x:v>365.34</x:v>
      </x:c>
    </x:row>
    <x:row r="1200">
      <x:c r="A1200" t="n">
        <x:v>501197</x:v>
      </x:c>
      <x:c r="B1200" s="24" t="n">
        <x:v>45880</x:v>
      </x:c>
      <x:c r="C1200" t="n">
        <x:v>1067</x:v>
      </x:c>
      <x:c r="D1200" t="str">
        <x:v>Seller 1067</x:v>
      </x:c>
      <x:c r="E1200" t="str">
        <x:v>Bronze</x:v>
      </x:c>
      <x:c r="F1200" t="str">
        <x:v>South</x:v>
      </x:c>
      <x:c r="G1200" t="str">
        <x:v>Beauty</x:v>
      </x:c>
      <x:c r="H1200" t="n">
        <x:v>2</x:v>
      </x:c>
      <x:c r="I1200" s="26" t="n">
        <x:v>1650</x:v>
      </x:c>
      <x:c r="J1200" s="26" t="n">
        <x:v>2065.2</x:v>
      </x:c>
      <x:c r="K1200" s="28" t="n">
        <x:v>0.136</x:v>
      </x:c>
      <x:c r="L1200" s="26" t="n">
        <x:v>280.87</x:v>
      </x:c>
      <x:c r="M1200" t="n">
        <x:v>0</x:v>
      </x:c>
      <x:c r="N1200" s="26" t="n">
        <x:v>0</x:v>
      </x:c>
      <x:c r="O1200" s="26" t="n">
        <x:v>38.21</x:v>
      </x:c>
      <x:c r="P1200" s="26" t="n">
        <x:v>9.29</x:v>
      </x:c>
      <x:c r="Q1200" s="26" t="n">
        <x:v>17.55</x:v>
      </x:c>
      <x:c r="R1200" s="26" t="n">
        <x:v>21.68</x:v>
      </x:c>
      <x:c r="S1200" s="26" t="n">
        <x:v>194.13</x:v>
      </x:c>
    </x:row>
    <x:row r="1201">
      <x:c r="A1201" t="n">
        <x:v>501198</x:v>
      </x:c>
      <x:c r="B1201" s="24" t="n">
        <x:v>45886</x:v>
      </x:c>
      <x:c r="C1201" t="n">
        <x:v>1034</x:v>
      </x:c>
      <x:c r="D1201" t="str">
        <x:v>Seller 1034</x:v>
      </x:c>
      <x:c r="E1201" t="str">
        <x:v>Silver</x:v>
      </x:c>
      <x:c r="F1201" t="str">
        <x:v>Central</x:v>
      </x:c>
      <x:c r="G1201" t="str">
        <x:v>Home &amp; Kitchen</x:v>
      </x:c>
      <x:c r="H1201" t="n">
        <x:v>3</x:v>
      </x:c>
      <x:c r="I1201" s="26" t="n">
        <x:v>1555.8</x:v>
      </x:c>
      <x:c r="J1201" s="26" t="n">
        <x:v>4145.4</x:v>
      </x:c>
      <x:c r="K1201" s="28" t="n">
        <x:v>0.1252</x:v>
      </x:c>
      <x:c r="L1201" s="26" t="n">
        <x:v>519</x:v>
      </x:c>
      <x:c r="M1201" t="n">
        <x:v>0</x:v>
      </x:c>
      <x:c r="N1201" s="26" t="n">
        <x:v>0</x:v>
      </x:c>
      <x:c r="O1201" s="26" t="n">
        <x:v>76.69</x:v>
      </x:c>
      <x:c r="P1201" s="26" t="n">
        <x:v>18.65</x:v>
      </x:c>
      <x:c r="Q1201" s="26" t="n">
        <x:v>35.24</x:v>
      </x:c>
      <x:c r="R1201" s="26" t="n">
        <x:v>43.53</x:v>
      </x:c>
      <x:c r="S1201" s="26" t="n">
        <x:v>344.9</x:v>
      </x:c>
    </x:row>
    <x:row r="1202">
      <x:c r="A1202" t="n">
        <x:v>501199</x:v>
      </x:c>
      <x:c r="B1202" s="24" t="n">
        <x:v>45872</x:v>
      </x:c>
      <x:c r="C1202" t="n">
        <x:v>1020</x:v>
      </x:c>
      <x:c r="D1202" t="str">
        <x:v>Seller 1020</x:v>
      </x:c>
      <x:c r="E1202" t="str">
        <x:v>Gold</x:v>
      </x:c>
      <x:c r="F1202" t="str">
        <x:v>West</x:v>
      </x:c>
      <x:c r="G1202" t="str">
        <x:v>Home &amp; Kitchen</x:v>
      </x:c>
      <x:c r="H1202" t="n">
        <x:v>2</x:v>
      </x:c>
      <x:c r="I1202" s="26" t="n">
        <x:v>1605.6000000000001</x:v>
      </x:c>
      <x:c r="J1202" s="26" t="n">
        <x:v>3726.6</x:v>
      </x:c>
      <x:c r="K1202" s="28" t="n">
        <x:v>0.1249</x:v>
      </x:c>
      <x:c r="L1202" s="26" t="n">
        <x:v>465.45</x:v>
      </x:c>
      <x:c r="M1202" t="n">
        <x:v>0</x:v>
      </x:c>
      <x:c r="N1202" s="26" t="n">
        <x:v>0</x:v>
      </x:c>
      <x:c r="O1202" s="26" t="n">
        <x:v>68.94</x:v>
      </x:c>
      <x:c r="P1202" s="26" t="n">
        <x:v>16.77</x:v>
      </x:c>
      <x:c r="Q1202" s="26" t="n">
        <x:v>31.68</x:v>
      </x:c>
      <x:c r="R1202" s="26" t="n">
        <x:v>39.13</x:v>
      </x:c>
      <x:c r="S1202" s="26" t="n">
        <x:v>308.94</x:v>
      </x:c>
    </x:row>
    <x:row r="1203">
      <x:c r="A1203" t="n">
        <x:v>501200</x:v>
      </x:c>
      <x:c r="B1203" s="24" t="n">
        <x:v>45894</x:v>
      </x:c>
      <x:c r="C1203" t="n">
        <x:v>1059</x:v>
      </x:c>
      <x:c r="D1203" t="str">
        <x:v>Seller 1059</x:v>
      </x:c>
      <x:c r="E1203" t="str">
        <x:v>Bronze</x:v>
      </x:c>
      <x:c r="F1203" t="str">
        <x:v>Central</x:v>
      </x:c>
      <x:c r="G1203" t="str">
        <x:v>Sports</x:v>
      </x:c>
      <x:c r="H1203" t="n">
        <x:v>2</x:v>
      </x:c>
      <x:c r="I1203" s="26" t="n">
        <x:v>2049</x:v>
      </x:c>
      <x:c r="J1203" s="26" t="n">
        <x:v>2564.4</x:v>
      </x:c>
      <x:c r="K1203" s="28" t="n">
        <x:v>0.1317</x:v>
      </x:c>
      <x:c r="L1203" s="26" t="n">
        <x:v>337.73</x:v>
      </x:c>
      <x:c r="M1203" t="n">
        <x:v>0</x:v>
      </x:c>
      <x:c r="N1203" s="26" t="n">
        <x:v>0</x:v>
      </x:c>
      <x:c r="O1203" s="26" t="n">
        <x:v>47.44</x:v>
      </x:c>
      <x:c r="P1203" s="26" t="n">
        <x:v>11.54</x:v>
      </x:c>
      <x:c r="Q1203" s="26" t="n">
        <x:v>21.8</x:v>
      </x:c>
      <x:c r="R1203" s="26" t="n">
        <x:v>26.93</x:v>
      </x:c>
      <x:c r="S1203" s="26" t="n">
        <x:v>230.03</x:v>
      </x:c>
    </x:row>
    <x:row r="1204">
      <x:c r="A1204" t="n">
        <x:v>501201</x:v>
      </x:c>
      <x:c r="B1204" s="24" t="n">
        <x:v>45872</x:v>
      </x:c>
      <x:c r="C1204" t="n">
        <x:v>1032</x:v>
      </x:c>
      <x:c r="D1204" t="str">
        <x:v>Seller 1032</x:v>
      </x:c>
      <x:c r="E1204" t="str">
        <x:v>Silver</x:v>
      </x:c>
      <x:c r="F1204" t="str">
        <x:v>West</x:v>
      </x:c>
      <x:c r="G1204" t="str">
        <x:v>Pet Supplies</x:v>
      </x:c>
      <x:c r="H1204" t="n">
        <x:v>2</x:v>
      </x:c>
      <x:c r="I1204" s="26" t="n">
        <x:v>1332</x:v>
      </x:c>
      <x:c r="J1204" s="26" t="n">
        <x:v>2366.4</x:v>
      </x:c>
      <x:c r="K1204" s="28" t="n">
        <x:v>0.1263</x:v>
      </x:c>
      <x:c r="L1204" s="26" t="n">
        <x:v>298.88</x:v>
      </x:c>
      <x:c r="M1204" t="n">
        <x:v>0</x:v>
      </x:c>
      <x:c r="N1204" s="26" t="n">
        <x:v>0</x:v>
      </x:c>
      <x:c r="O1204" s="26" t="n">
        <x:v>43.78</x:v>
      </x:c>
      <x:c r="P1204" s="26" t="n">
        <x:v>10.65</x:v>
      </x:c>
      <x:c r="Q1204" s="26" t="n">
        <x:v>20.11</x:v>
      </x:c>
      <x:c r="R1204" s="26" t="n">
        <x:v>24.85</x:v>
      </x:c>
      <x:c r="S1204" s="26" t="n">
        <x:v>199.49</x:v>
      </x:c>
    </x:row>
    <x:row r="1205">
      <x:c r="A1205" t="n">
        <x:v>501202</x:v>
      </x:c>
      <x:c r="B1205" s="24" t="n">
        <x:v>45877</x:v>
      </x:c>
      <x:c r="C1205" t="n">
        <x:v>1003</x:v>
      </x:c>
      <x:c r="D1205" t="str">
        <x:v>Seller 1003</x:v>
      </x:c>
      <x:c r="E1205" t="str">
        <x:v>Platinum</x:v>
      </x:c>
      <x:c r="F1205" t="str">
        <x:v>East</x:v>
      </x:c>
      <x:c r="G1205" t="str">
        <x:v>Pet Supplies</x:v>
      </x:c>
      <x:c r="H1205" t="n">
        <x:v>2</x:v>
      </x:c>
      <x:c r="I1205" s="26" t="n">
        <x:v>1504.2</x:v>
      </x:c>
      <x:c r="J1205" s="26" t="n">
        <x:v>4706.4</x:v>
      </x:c>
      <x:c r="K1205" s="28" t="n">
        <x:v>0.131</x:v>
      </x:c>
      <x:c r="L1205" s="26" t="n">
        <x:v>616.54</x:v>
      </x:c>
      <x:c r="M1205" t="n">
        <x:v>0</x:v>
      </x:c>
      <x:c r="N1205" s="26" t="n">
        <x:v>0</x:v>
      </x:c>
      <x:c r="O1205" s="26" t="n">
        <x:v>87.07</x:v>
      </x:c>
      <x:c r="P1205" s="26" t="n">
        <x:v>21.18</x:v>
      </x:c>
      <x:c r="Q1205" s="26" t="n">
        <x:v>40</x:v>
      </x:c>
      <x:c r="R1205" s="26" t="n">
        <x:v>49.42</x:v>
      </x:c>
      <x:c r="S1205" s="26" t="n">
        <x:v>418.87</x:v>
      </x:c>
    </x:row>
    <x:row r="1206">
      <x:c r="A1206" t="n">
        <x:v>501203</x:v>
      </x:c>
      <x:c r="B1206" s="24" t="n">
        <x:v>45893</x:v>
      </x:c>
      <x:c r="C1206" t="n">
        <x:v>1034</x:v>
      </x:c>
      <x:c r="D1206" t="str">
        <x:v>Seller 1034</x:v>
      </x:c>
      <x:c r="E1206" t="str">
        <x:v>Silver</x:v>
      </x:c>
      <x:c r="F1206" t="str">
        <x:v>Central</x:v>
      </x:c>
      <x:c r="G1206" t="str">
        <x:v>Electronics</x:v>
      </x:c>
      <x:c r="H1206" t="n">
        <x:v>4</x:v>
      </x:c>
      <x:c r="I1206" s="26" t="n">
        <x:v>2802.6</x:v>
      </x:c>
      <x:c r="J1206" s="26" t="n">
        <x:v>9957</x:v>
      </x:c>
      <x:c r="K1206" s="28" t="n">
        <x:v>0.1349</x:v>
      </x:c>
      <x:c r="L1206" s="26" t="n">
        <x:v>1343.2</x:v>
      </x:c>
      <x:c r="M1206" t="n">
        <x:v>0</x:v>
      </x:c>
      <x:c r="N1206" s="26" t="n">
        <x:v>0</x:v>
      </x:c>
      <x:c r="O1206" s="26" t="n">
        <x:v>184.2</x:v>
      </x:c>
      <x:c r="P1206" s="26" t="n">
        <x:v>44.81</x:v>
      </x:c>
      <x:c r="Q1206" s="26" t="n">
        <x:v>84.63</x:v>
      </x:c>
      <x:c r="R1206" s="26" t="n">
        <x:v>104.55</x:v>
      </x:c>
      <x:c r="S1206" s="26" t="n">
        <x:v>925.01</x:v>
      </x:c>
    </x:row>
    <x:row r="1207">
      <x:c r="A1207" t="n">
        <x:v>501204</x:v>
      </x:c>
      <x:c r="B1207" s="24" t="n">
        <x:v>45888</x:v>
      </x:c>
      <x:c r="C1207" t="n">
        <x:v>1003</x:v>
      </x:c>
      <x:c r="D1207" t="str">
        <x:v>Seller 1003</x:v>
      </x:c>
      <x:c r="E1207" t="str">
        <x:v>Platinum</x:v>
      </x:c>
      <x:c r="F1207" t="str">
        <x:v>East</x:v>
      </x:c>
      <x:c r="G1207" t="str">
        <x:v>Pet Supplies</x:v>
      </x:c>
      <x:c r="H1207" t="n">
        <x:v>1</x:v>
      </x:c>
      <x:c r="I1207" s="26" t="n">
        <x:v>3149.4</x:v>
      </x:c>
      <x:c r="J1207" s="26" t="n">
        <x:v>4927.2</x:v>
      </x:c>
      <x:c r="K1207" s="28" t="n">
        <x:v>0.125</x:v>
      </x:c>
      <x:c r="L1207" s="26" t="n">
        <x:v>615.9</x:v>
      </x:c>
      <x:c r="M1207" t="n">
        <x:v>0</x:v>
      </x:c>
      <x:c r="N1207" s="26" t="n">
        <x:v>0</x:v>
      </x:c>
      <x:c r="O1207" s="26" t="n">
        <x:v>91.15</x:v>
      </x:c>
      <x:c r="P1207" s="26" t="n">
        <x:v>22.17</x:v>
      </x:c>
      <x:c r="Q1207" s="26" t="n">
        <x:v>41.88</x:v>
      </x:c>
      <x:c r="R1207" s="26" t="n">
        <x:v>51.74</x:v>
      </x:c>
      <x:c r="S1207" s="26" t="n">
        <x:v>408.96</x:v>
      </x:c>
    </x:row>
    <x:row r="1208">
      <x:c r="A1208" t="n">
        <x:v>501205</x:v>
      </x:c>
      <x:c r="B1208" s="24" t="n">
        <x:v>45871</x:v>
      </x:c>
      <x:c r="C1208" t="n">
        <x:v>1058</x:v>
      </x:c>
      <x:c r="D1208" t="str">
        <x:v>Seller 1058</x:v>
      </x:c>
      <x:c r="E1208" t="str">
        <x:v>Bronze</x:v>
      </x:c>
      <x:c r="F1208" t="str">
        <x:v>East</x:v>
      </x:c>
      <x:c r="G1208" t="str">
        <x:v>Home &amp; Kitchen</x:v>
      </x:c>
      <x:c r="H1208" t="n">
        <x:v>2</x:v>
      </x:c>
      <x:c r="I1208" s="26" t="n">
        <x:v>3271.8</x:v>
      </x:c>
      <x:c r="J1208" s="26" t="n">
        <x:v>4095</x:v>
      </x:c>
      <x:c r="K1208" s="28" t="n">
        <x:v>0.1388</x:v>
      </x:c>
      <x:c r="L1208" s="26" t="n">
        <x:v>568.39</x:v>
      </x:c>
      <x:c r="M1208" t="n">
        <x:v>0</x:v>
      </x:c>
      <x:c r="N1208" s="26" t="n">
        <x:v>0</x:v>
      </x:c>
      <x:c r="O1208" s="26" t="n">
        <x:v>75.76</x:v>
      </x:c>
      <x:c r="P1208" s="26" t="n">
        <x:v>18.43</x:v>
      </x:c>
      <x:c r="Q1208" s="26" t="n">
        <x:v>34.81</x:v>
      </x:c>
      <x:c r="R1208" s="26" t="n">
        <x:v>43</x:v>
      </x:c>
      <x:c r="S1208" s="26" t="n">
        <x:v>396.4</x:v>
      </x:c>
    </x:row>
    <x:row r="1209">
      <x:c r="A1209" t="n">
        <x:v>501206</x:v>
      </x:c>
      <x:c r="B1209" s="24" t="n">
        <x:v>45871</x:v>
      </x:c>
      <x:c r="C1209" t="n">
        <x:v>1044</x:v>
      </x:c>
      <x:c r="D1209" t="str">
        <x:v>Seller 1044</x:v>
      </x:c>
      <x:c r="E1209" t="str">
        <x:v>Silver</x:v>
      </x:c>
      <x:c r="F1209" t="str">
        <x:v>East</x:v>
      </x:c>
      <x:c r="G1209" t="str">
        <x:v>Apparel</x:v>
      </x:c>
      <x:c r="H1209" t="n">
        <x:v>3</x:v>
      </x:c>
      <x:c r="I1209" s="26" t="n">
        <x:v>1266.6</x:v>
      </x:c>
      <x:c r="J1209" s="26" t="n">
        <x:v>3375.6</x:v>
      </x:c>
      <x:c r="K1209" s="28" t="n">
        <x:v>0.1081</x:v>
      </x:c>
      <x:c r="L1209" s="26" t="n">
        <x:v>364.9</x:v>
      </x:c>
      <x:c r="M1209" t="n">
        <x:v>0</x:v>
      </x:c>
      <x:c r="N1209" s="26" t="n">
        <x:v>0</x:v>
      </x:c>
      <x:c r="O1209" s="26" t="n">
        <x:v>62.45</x:v>
      </x:c>
      <x:c r="P1209" s="26" t="n">
        <x:v>15.19</x:v>
      </x:c>
      <x:c r="Q1209" s="26" t="n">
        <x:v>28.69</x:v>
      </x:c>
      <x:c r="R1209" s="26" t="n">
        <x:v>35.44</x:v>
      </x:c>
      <x:c r="S1209" s="26" t="n">
        <x:v>223.13</x:v>
      </x:c>
    </x:row>
    <x:row r="1210">
      <x:c r="A1210" t="n">
        <x:v>501207</x:v>
      </x:c>
      <x:c r="B1210" s="24" t="n">
        <x:v>45896</x:v>
      </x:c>
      <x:c r="C1210" t="n">
        <x:v>1025</x:v>
      </x:c>
      <x:c r="D1210" t="str">
        <x:v>Seller 1025</x:v>
      </x:c>
      <x:c r="E1210" t="str">
        <x:v>Gold</x:v>
      </x:c>
      <x:c r="F1210" t="str">
        <x:v>Central</x:v>
      </x:c>
      <x:c r="G1210" t="str">
        <x:v>Pet Supplies</x:v>
      </x:c>
      <x:c r="H1210" t="n">
        <x:v>1</x:v>
      </x:c>
      <x:c r="I1210" s="26" t="n">
        <x:v>3052.2</x:v>
      </x:c>
      <x:c r="J1210" s="26" t="n">
        <x:v>3543</x:v>
      </x:c>
      <x:c r="K1210" s="28" t="n">
        <x:v>0.1383</x:v>
      </x:c>
      <x:c r="L1210" s="26" t="n">
        <x:v>490</x:v>
      </x:c>
      <x:c r="M1210" t="n">
        <x:v>0</x:v>
      </x:c>
      <x:c r="N1210" s="26" t="n">
        <x:v>0</x:v>
      </x:c>
      <x:c r="O1210" s="26" t="n">
        <x:v>65.55</x:v>
      </x:c>
      <x:c r="P1210" s="26" t="n">
        <x:v>15.94</x:v>
      </x:c>
      <x:c r="Q1210" s="26" t="n">
        <x:v>30.12</x:v>
      </x:c>
      <x:c r="R1210" s="26" t="n">
        <x:v>37.2</x:v>
      </x:c>
      <x:c r="S1210" s="26" t="n">
        <x:v>341.19</x:v>
      </x:c>
    </x:row>
    <x:row r="1211">
      <x:c r="A1211" t="n">
        <x:v>501208</x:v>
      </x:c>
      <x:c r="B1211" s="24" t="n">
        <x:v>45874</x:v>
      </x:c>
      <x:c r="C1211" t="n">
        <x:v>1028</x:v>
      </x:c>
      <x:c r="D1211" t="str">
        <x:v>Seller 1028</x:v>
      </x:c>
      <x:c r="E1211" t="str">
        <x:v>Gold</x:v>
      </x:c>
      <x:c r="F1211" t="str">
        <x:v>Central</x:v>
      </x:c>
      <x:c r="G1211" t="str">
        <x:v>Sports</x:v>
      </x:c>
      <x:c r="H1211" t="n">
        <x:v>2</x:v>
      </x:c>
      <x:c r="I1211" s="26" t="n">
        <x:v>2396.3999999999996</x:v>
      </x:c>
      <x:c r="J1211" s="26" t="n">
        <x:v>5563.2</x:v>
      </x:c>
      <x:c r="K1211" s="28" t="n">
        <x:v>0.1326</x:v>
      </x:c>
      <x:c r="L1211" s="26" t="n">
        <x:v>737.68</x:v>
      </x:c>
      <x:c r="M1211" t="n">
        <x:v>0</x:v>
      </x:c>
      <x:c r="N1211" s="26" t="n">
        <x:v>0</x:v>
      </x:c>
      <x:c r="O1211" s="26" t="n">
        <x:v>102.92</x:v>
      </x:c>
      <x:c r="P1211" s="26" t="n">
        <x:v>25.03</x:v>
      </x:c>
      <x:c r="Q1211" s="26" t="n">
        <x:v>47.29</x:v>
      </x:c>
      <x:c r="R1211" s="26" t="n">
        <x:v>58.41</x:v>
      </x:c>
      <x:c r="S1211" s="26" t="n">
        <x:v>504.03</x:v>
      </x:c>
    </x:row>
    <x:row r="1212">
      <x:c r="A1212" t="n">
        <x:v>501209</x:v>
      </x:c>
      <x:c r="B1212" s="24" t="n">
        <x:v>45880</x:v>
      </x:c>
      <x:c r="C1212" t="n">
        <x:v>1012</x:v>
      </x:c>
      <x:c r="D1212" t="str">
        <x:v>Seller 1012</x:v>
      </x:c>
      <x:c r="E1212" t="str">
        <x:v>Platinum</x:v>
      </x:c>
      <x:c r="F1212" t="str">
        <x:v>East</x:v>
      </x:c>
      <x:c r="G1212" t="str">
        <x:v>Beauty</x:v>
      </x:c>
      <x:c r="H1212" t="n">
        <x:v>1</x:v>
      </x:c>
      <x:c r="I1212" s="26" t="n">
        <x:v>2584.2</x:v>
      </x:c>
      <x:c r="J1212" s="26" t="n">
        <x:v>4042.2</x:v>
      </x:c>
      <x:c r="K1212" s="28" t="n">
        <x:v>0.1509</x:v>
      </x:c>
      <x:c r="L1212" s="26" t="n">
        <x:v>609.97</x:v>
      </x:c>
      <x:c r="M1212" t="n">
        <x:v>0</x:v>
      </x:c>
      <x:c r="N1212" s="26" t="n">
        <x:v>0</x:v>
      </x:c>
      <x:c r="O1212" s="26" t="n">
        <x:v>74.78</x:v>
      </x:c>
      <x:c r="P1212" s="26" t="n">
        <x:v>18.19</x:v>
      </x:c>
      <x:c r="Q1212" s="26" t="n">
        <x:v>34.36</x:v>
      </x:c>
      <x:c r="R1212" s="26" t="n">
        <x:v>42.44</x:v>
      </x:c>
      <x:c r="S1212" s="26" t="n">
        <x:v>440.2</x:v>
      </x:c>
    </x:row>
    <x:row r="1213">
      <x:c r="A1213" t="n">
        <x:v>501210</x:v>
      </x:c>
      <x:c r="B1213" s="24" t="n">
        <x:v>45893</x:v>
      </x:c>
      <x:c r="C1213" t="n">
        <x:v>1025</x:v>
      </x:c>
      <x:c r="D1213" t="str">
        <x:v>Seller 1025</x:v>
      </x:c>
      <x:c r="E1213" t="str">
        <x:v>Gold</x:v>
      </x:c>
      <x:c r="F1213" t="str">
        <x:v>Central</x:v>
      </x:c>
      <x:c r="G1213" t="str">
        <x:v>Pet Supplies</x:v>
      </x:c>
      <x:c r="H1213" t="n">
        <x:v>3</x:v>
      </x:c>
      <x:c r="I1213" s="26" t="n">
        <x:v>1497</x:v>
      </x:c>
      <x:c r="J1213" s="26" t="n">
        <x:v>5213.4</x:v>
      </x:c>
      <x:c r="K1213" s="28" t="n">
        <x:v>0.1372</x:v>
      </x:c>
      <x:c r="L1213" s="26" t="n">
        <x:v>715.28</x:v>
      </x:c>
      <x:c r="M1213" t="n">
        <x:v>0</x:v>
      </x:c>
      <x:c r="N1213" s="26" t="n">
        <x:v>0</x:v>
      </x:c>
      <x:c r="O1213" s="26" t="n">
        <x:v>96.45</x:v>
      </x:c>
      <x:c r="P1213" s="26" t="n">
        <x:v>23.46</x:v>
      </x:c>
      <x:c r="Q1213" s="26" t="n">
        <x:v>44.31</x:v>
      </x:c>
      <x:c r="R1213" s="26" t="n">
        <x:v>54.74</x:v>
      </x:c>
      <x:c r="S1213" s="26" t="n">
        <x:v>496.32</x:v>
      </x:c>
    </x:row>
    <x:row r="1214">
      <x:c r="A1214" t="n">
        <x:v>501211</x:v>
      </x:c>
      <x:c r="B1214" s="24" t="n">
        <x:v>45891</x:v>
      </x:c>
      <x:c r="C1214" t="n">
        <x:v>1076</x:v>
      </x:c>
      <x:c r="D1214" t="str">
        <x:v>Seller 1076</x:v>
      </x:c>
      <x:c r="E1214" t="str">
        <x:v>Bronze</x:v>
      </x:c>
      <x:c r="F1214" t="str">
        <x:v>Central</x:v>
      </x:c>
      <x:c r="G1214" t="str">
        <x:v>Home &amp; Kitchen</x:v>
      </x:c>
      <x:c r="H1214" t="n">
        <x:v>3</x:v>
      </x:c>
      <x:c r="I1214" s="26" t="n">
        <x:v>701.4</x:v>
      </x:c>
      <x:c r="J1214" s="26" t="n">
        <x:v>1316.4</x:v>
      </x:c>
      <x:c r="K1214" s="28" t="n">
        <x:v>0.1347</x:v>
      </x:c>
      <x:c r="L1214" s="26" t="n">
        <x:v>177.32</x:v>
      </x:c>
      <x:c r="M1214" t="n">
        <x:v>0</x:v>
      </x:c>
      <x:c r="N1214" s="26" t="n">
        <x:v>0</x:v>
      </x:c>
      <x:c r="O1214" s="26" t="n">
        <x:v>24.35</x:v>
      </x:c>
      <x:c r="P1214" s="26" t="n">
        <x:v>5.92</x:v>
      </x:c>
      <x:c r="Q1214" s="26" t="n">
        <x:v>11.19</x:v>
      </x:c>
      <x:c r="R1214" s="26" t="n">
        <x:v>13.82</x:v>
      </x:c>
      <x:c r="S1214" s="26" t="n">
        <x:v>122.03</x:v>
      </x:c>
    </x:row>
    <x:row r="1215">
      <x:c r="A1215" t="n">
        <x:v>501212</x:v>
      </x:c>
      <x:c r="B1215" s="24" t="n">
        <x:v>45894</x:v>
      </x:c>
      <x:c r="C1215" t="n">
        <x:v>1035</x:v>
      </x:c>
      <x:c r="D1215" t="str">
        <x:v>Seller 1035</x:v>
      </x:c>
      <x:c r="E1215" t="str">
        <x:v>Silver</x:v>
      </x:c>
      <x:c r="F1215" t="str">
        <x:v>East</x:v>
      </x:c>
      <x:c r="G1215" t="str">
        <x:v>Sports</x:v>
      </x:c>
      <x:c r="H1215" t="n">
        <x:v>3</x:v>
      </x:c>
      <x:c r="I1215" s="26" t="n">
        <x:v>1744.2</x:v>
      </x:c>
      <x:c r="J1215" s="26" t="n">
        <x:v>4647.6</x:v>
      </x:c>
      <x:c r="K1215" s="28" t="n">
        <x:v>0.1208</x:v>
      </x:c>
      <x:c r="L1215" s="26" t="n">
        <x:v>561.43</x:v>
      </x:c>
      <x:c r="M1215" t="n">
        <x:v>0</x:v>
      </x:c>
      <x:c r="N1215" s="26" t="n">
        <x:v>0</x:v>
      </x:c>
      <x:c r="O1215" s="26" t="n">
        <x:v>85.98</x:v>
      </x:c>
      <x:c r="P1215" s="26" t="n">
        <x:v>20.91</x:v>
      </x:c>
      <x:c r="Q1215" s="26" t="n">
        <x:v>39.5</x:v>
      </x:c>
      <x:c r="R1215" s="26" t="n">
        <x:v>48.8</x:v>
      </x:c>
      <x:c r="S1215" s="26" t="n">
        <x:v>366.23</x:v>
      </x:c>
    </x:row>
    <x:row r="1216">
      <x:c r="A1216" t="n">
        <x:v>501213</x:v>
      </x:c>
      <x:c r="B1216" s="24" t="n">
        <x:v>45896</x:v>
      </x:c>
      <x:c r="C1216" t="n">
        <x:v>1009</x:v>
      </x:c>
      <x:c r="D1216" t="str">
        <x:v>Seller 1009</x:v>
      </x:c>
      <x:c r="E1216" t="str">
        <x:v>Platinum</x:v>
      </x:c>
      <x:c r="F1216" t="str">
        <x:v>Central</x:v>
      </x:c>
      <x:c r="G1216" t="str">
        <x:v>Pet Supplies</x:v>
      </x:c>
      <x:c r="H1216" t="n">
        <x:v>4</x:v>
      </x:c>
      <x:c r="I1216" s="26" t="n">
        <x:v>480</x:v>
      </x:c>
      <x:c r="J1216" s="26" t="n">
        <x:v>3003.6</x:v>
      </x:c>
      <x:c r="K1216" s="28" t="n">
        <x:v>0.1261</x:v>
      </x:c>
      <x:c r="L1216" s="26" t="n">
        <x:v>378.75</x:v>
      </x:c>
      <x:c r="M1216" t="n">
        <x:v>0</x:v>
      </x:c>
      <x:c r="N1216" s="26" t="n">
        <x:v>0</x:v>
      </x:c>
      <x:c r="O1216" s="26" t="n">
        <x:v>55.57</x:v>
      </x:c>
      <x:c r="P1216" s="26" t="n">
        <x:v>13.52</x:v>
      </x:c>
      <x:c r="Q1216" s="26" t="n">
        <x:v>25.53</x:v>
      </x:c>
      <x:c r="R1216" s="26" t="n">
        <x:v>31.54</x:v>
      </x:c>
      <x:c r="S1216" s="26" t="n">
        <x:v>252.6</x:v>
      </x:c>
    </x:row>
    <x:row r="1217">
      <x:c r="A1217" t="n">
        <x:v>501214</x:v>
      </x:c>
      <x:c r="B1217" s="24" t="n">
        <x:v>45870</x:v>
      </x:c>
      <x:c r="C1217" t="n">
        <x:v>1068</x:v>
      </x:c>
      <x:c r="D1217" t="str">
        <x:v>Seller 1068</x:v>
      </x:c>
      <x:c r="E1217" t="str">
        <x:v>Bronze</x:v>
      </x:c>
      <x:c r="F1217" t="str">
        <x:v>South</x:v>
      </x:c>
      <x:c r="G1217" t="str">
        <x:v>Pet Supplies</x:v>
      </x:c>
      <x:c r="H1217" t="n">
        <x:v>3</x:v>
      </x:c>
      <x:c r="I1217" s="26" t="n">
        <x:v>1069.2</x:v>
      </x:c>
      <x:c r="J1217" s="26" t="n">
        <x:v>2007.6</x:v>
      </x:c>
      <x:c r="K1217" s="28" t="n">
        <x:v>0.1277</x:v>
      </x:c>
      <x:c r="L1217" s="26" t="n">
        <x:v>256.37</x:v>
      </x:c>
      <x:c r="M1217" t="n">
        <x:v>0</x:v>
      </x:c>
      <x:c r="N1217" s="26" t="n">
        <x:v>0</x:v>
      </x:c>
      <x:c r="O1217" s="26" t="n">
        <x:v>37.14</x:v>
      </x:c>
      <x:c r="P1217" s="26" t="n">
        <x:v>9.03</x:v>
      </x:c>
      <x:c r="Q1217" s="26" t="n">
        <x:v>17.06</x:v>
      </x:c>
      <x:c r="R1217" s="26" t="n">
        <x:v>21.08</x:v>
      </x:c>
      <x:c r="S1217" s="26" t="n">
        <x:v>172.05</x:v>
      </x:c>
    </x:row>
    <x:row r="1218">
      <x:c r="A1218" t="n">
        <x:v>501215</x:v>
      </x:c>
      <x:c r="B1218" s="24" t="n">
        <x:v>45882</x:v>
      </x:c>
      <x:c r="C1218" t="n">
        <x:v>1028</x:v>
      </x:c>
      <x:c r="D1218" t="str">
        <x:v>Seller 1028</x:v>
      </x:c>
      <x:c r="E1218" t="str">
        <x:v>Gold</x:v>
      </x:c>
      <x:c r="F1218" t="str">
        <x:v>Central</x:v>
      </x:c>
      <x:c r="G1218" t="str">
        <x:v>Sports</x:v>
      </x:c>
      <x:c r="H1218" t="n">
        <x:v>1</x:v>
      </x:c>
      <x:c r="I1218" s="26" t="n">
        <x:v>5017.200000000001</x:v>
      </x:c>
      <x:c r="J1218" s="26" t="n">
        <x:v>5823.6</x:v>
      </x:c>
      <x:c r="K1218" s="28" t="n">
        <x:v>0.1189</x:v>
      </x:c>
      <x:c r="L1218" s="26" t="n">
        <x:v>692.43</x:v>
      </x:c>
      <x:c r="M1218" t="n">
        <x:v>1</x:v>
      </x:c>
      <x:c r="N1218" s="26" t="n">
        <x:v>4064.4</x:v>
      </x:c>
      <x:c r="O1218" s="26" t="n">
        <x:v>107.74</x:v>
      </x:c>
      <x:c r="P1218" s="26" t="n">
        <x:v>26.21</x:v>
      </x:c>
      <x:c r="Q1218" s="26" t="n">
        <x:v>49.5</x:v>
      </x:c>
      <x:c r="R1218" s="26" t="n">
        <x:v>61.15</x:v>
      </x:c>
      <x:c r="S1218" s="26" t="n">
        <x:v>366.55</x:v>
      </x:c>
    </x:row>
    <x:row r="1219">
      <x:c r="A1219" t="n">
        <x:v>501216</x:v>
      </x:c>
      <x:c r="B1219" s="24" t="n">
        <x:v>45876</x:v>
      </x:c>
      <x:c r="C1219" t="n">
        <x:v>1073</x:v>
      </x:c>
      <x:c r="D1219" t="str">
        <x:v>Seller 1073</x:v>
      </x:c>
      <x:c r="E1219" t="str">
        <x:v>Bronze</x:v>
      </x:c>
      <x:c r="F1219" t="str">
        <x:v>Central</x:v>
      </x:c>
      <x:c r="G1219" t="str">
        <x:v>Home &amp; Kitchen</x:v>
      </x:c>
      <x:c r="H1219" t="n">
        <x:v>1</x:v>
      </x:c>
      <x:c r="I1219" s="26" t="n">
        <x:v>4773</x:v>
      </x:c>
      <x:c r="J1219" s="26" t="n">
        <x:v>2986.8</x:v>
      </x:c>
      <x:c r="K1219" s="28" t="n">
        <x:v>0.1374</x:v>
      </x:c>
      <x:c r="L1219" s="26" t="n">
        <x:v>410.39</x:v>
      </x:c>
      <x:c r="M1219" t="n">
        <x:v>0</x:v>
      </x:c>
      <x:c r="N1219" s="26" t="n">
        <x:v>0</x:v>
      </x:c>
      <x:c r="O1219" s="26" t="n">
        <x:v>55.26</x:v>
      </x:c>
      <x:c r="P1219" s="26" t="n">
        <x:v>13.44</x:v>
      </x:c>
      <x:c r="Q1219" s="26" t="n">
        <x:v>25.39</x:v>
      </x:c>
      <x:c r="R1219" s="26" t="n">
        <x:v>31.36</x:v>
      </x:c>
      <x:c r="S1219" s="26" t="n">
        <x:v>284.94</x:v>
      </x:c>
    </x:row>
    <x:row r="1220">
      <x:c r="A1220" t="n">
        <x:v>501217</x:v>
      </x:c>
      <x:c r="B1220" s="24" t="n">
        <x:v>45878</x:v>
      </x:c>
      <x:c r="C1220" t="n">
        <x:v>1078</x:v>
      </x:c>
      <x:c r="D1220" t="str">
        <x:v>Seller 1078</x:v>
      </x:c>
      <x:c r="E1220" t="str">
        <x:v>Bronze</x:v>
      </x:c>
      <x:c r="F1220" t="str">
        <x:v>East</x:v>
      </x:c>
      <x:c r="G1220" t="str">
        <x:v>Pet Supplies</x:v>
      </x:c>
      <x:c r="H1220" t="n">
        <x:v>4</x:v>
      </x:c>
      <x:c r="I1220" s="26" t="n">
        <x:v>1018.8000000000001</x:v>
      </x:c>
      <x:c r="J1220" s="26" t="n">
        <x:v>2550.6</x:v>
      </x:c>
      <x:c r="K1220" s="28" t="n">
        <x:v>0.1301</x:v>
      </x:c>
      <x:c r="L1220" s="26" t="n">
        <x:v>331.83</x:v>
      </x:c>
      <x:c r="M1220" t="n">
        <x:v>0</x:v>
      </x:c>
      <x:c r="N1220" s="26" t="n">
        <x:v>0</x:v>
      </x:c>
      <x:c r="O1220" s="26" t="n">
        <x:v>47.19</x:v>
      </x:c>
      <x:c r="P1220" s="26" t="n">
        <x:v>11.48</x:v>
      </x:c>
      <x:c r="Q1220" s="26" t="n">
        <x:v>21.68</x:v>
      </x:c>
      <x:c r="R1220" s="26" t="n">
        <x:v>26.78</x:v>
      </x:c>
      <x:c r="S1220" s="26" t="n">
        <x:v>224.71</x:v>
      </x:c>
    </x:row>
    <x:row r="1221">
      <x:c r="A1221" t="n">
        <x:v>501218</x:v>
      </x:c>
      <x:c r="B1221" s="24" t="n">
        <x:v>45873</x:v>
      </x:c>
      <x:c r="C1221" t="n">
        <x:v>1026</x:v>
      </x:c>
      <x:c r="D1221" t="str">
        <x:v>Seller 1026</x:v>
      </x:c>
      <x:c r="E1221" t="str">
        <x:v>Gold</x:v>
      </x:c>
      <x:c r="F1221" t="str">
        <x:v>East</x:v>
      </x:c>
      <x:c r="G1221" t="str">
        <x:v>Home &amp; Kitchen</x:v>
      </x:c>
      <x:c r="H1221" t="n">
        <x:v>2</x:v>
      </x:c>
      <x:c r="I1221" s="26" t="n">
        <x:v>2022.6000000000001</x:v>
      </x:c>
      <x:c r="J1221" s="26" t="n">
        <x:v>4695.6</x:v>
      </x:c>
      <x:c r="K1221" s="28" t="n">
        <x:v>0.1468</x:v>
      </x:c>
      <x:c r="L1221" s="26" t="n">
        <x:v>689.31</x:v>
      </x:c>
      <x:c r="M1221" t="n">
        <x:v>0</x:v>
      </x:c>
      <x:c r="N1221" s="26" t="n">
        <x:v>0</x:v>
      </x:c>
      <x:c r="O1221" s="26" t="n">
        <x:v>86.87</x:v>
      </x:c>
      <x:c r="P1221" s="26" t="n">
        <x:v>21.13</x:v>
      </x:c>
      <x:c r="Q1221" s="26" t="n">
        <x:v>39.91</x:v>
      </x:c>
      <x:c r="R1221" s="26" t="n">
        <x:v>49.3</x:v>
      </x:c>
      <x:c r="S1221" s="26" t="n">
        <x:v>492.1</x:v>
      </x:c>
    </x:row>
    <x:row r="1222">
      <x:c r="A1222" t="n">
        <x:v>501219</x:v>
      </x:c>
      <x:c r="B1222" s="24" t="n">
        <x:v>45868</x:v>
      </x:c>
      <x:c r="C1222" t="n">
        <x:v>1077</x:v>
      </x:c>
      <x:c r="D1222" t="str">
        <x:v>Seller 1077</x:v>
      </x:c>
      <x:c r="E1222" t="str">
        <x:v>Bronze</x:v>
      </x:c>
      <x:c r="F1222" t="str">
        <x:v>South</x:v>
      </x:c>
      <x:c r="G1222" t="str">
        <x:v>Home &amp; Kitchen</x:v>
      </x:c>
      <x:c r="H1222" t="n">
        <x:v>1</x:v>
      </x:c>
      <x:c r="I1222" s="26" t="n">
        <x:v>5266.2</x:v>
      </x:c>
      <x:c r="J1222" s="26" t="n">
        <x:v>3295.8</x:v>
      </x:c>
      <x:c r="K1222" s="28" t="n">
        <x:v>0.1298</x:v>
      </x:c>
      <x:c r="L1222" s="26" t="n">
        <x:v>427.79</x:v>
      </x:c>
      <x:c r="M1222" t="n">
        <x:v>0</x:v>
      </x:c>
      <x:c r="N1222" s="26" t="n">
        <x:v>0</x:v>
      </x:c>
      <x:c r="O1222" s="26" t="n">
        <x:v>60.97</x:v>
      </x:c>
      <x:c r="P1222" s="26" t="n">
        <x:v>14.83</x:v>
      </x:c>
      <x:c r="Q1222" s="26" t="n">
        <x:v>28.01</x:v>
      </x:c>
      <x:c r="R1222" s="26" t="n">
        <x:v>34.61</x:v>
      </x:c>
      <x:c r="S1222" s="26" t="n">
        <x:v>289.37</x:v>
      </x:c>
    </x:row>
    <x:row r="1223">
      <x:c r="A1223" t="n">
        <x:v>501220</x:v>
      </x:c>
      <x:c r="B1223" s="24" t="n">
        <x:v>45888</x:v>
      </x:c>
      <x:c r="C1223" t="n">
        <x:v>1060</x:v>
      </x:c>
      <x:c r="D1223" t="str">
        <x:v>Seller 1060</x:v>
      </x:c>
      <x:c r="E1223" t="str">
        <x:v>Bronze</x:v>
      </x:c>
      <x:c r="F1223" t="str">
        <x:v>East</x:v>
      </x:c>
      <x:c r="G1223" t="str">
        <x:v>Pet Supplies</x:v>
      </x:c>
      <x:c r="H1223" t="n">
        <x:v>3</x:v>
      </x:c>
      <x:c r="I1223" s="26" t="n">
        <x:v>827.4</x:v>
      </x:c>
      <x:c r="J1223" s="26" t="n">
        <x:v>1553.4</x:v>
      </x:c>
      <x:c r="K1223" s="28" t="n">
        <x:v>0.1415</x:v>
      </x:c>
      <x:c r="L1223" s="26" t="n">
        <x:v>219.81</x:v>
      </x:c>
      <x:c r="M1223" t="n">
        <x:v>0</x:v>
      </x:c>
      <x:c r="N1223" s="26" t="n">
        <x:v>0</x:v>
      </x:c>
      <x:c r="O1223" s="26" t="n">
        <x:v>28.74</x:v>
      </x:c>
      <x:c r="P1223" s="26" t="n">
        <x:v>6.99</x:v>
      </x:c>
      <x:c r="Q1223" s="26" t="n">
        <x:v>13.2</x:v>
      </x:c>
      <x:c r="R1223" s="26" t="n">
        <x:v>16.31</x:v>
      </x:c>
      <x:c r="S1223" s="26" t="n">
        <x:v>154.56</x:v>
      </x:c>
    </x:row>
    <x:row r="1224">
      <x:c r="A1224" t="n">
        <x:v>501221</x:v>
      </x:c>
      <x:c r="B1224" s="24" t="n">
        <x:v>45880</x:v>
      </x:c>
      <x:c r="C1224" t="n">
        <x:v>1003</x:v>
      </x:c>
      <x:c r="D1224" t="str">
        <x:v>Seller 1003</x:v>
      </x:c>
      <x:c r="E1224" t="str">
        <x:v>Platinum</x:v>
      </x:c>
      <x:c r="F1224" t="str">
        <x:v>East</x:v>
      </x:c>
      <x:c r="G1224" t="str">
        <x:v>Pet Supplies</x:v>
      </x:c>
      <x:c r="H1224" t="n">
        <x:v>3</x:v>
      </x:c>
      <x:c r="I1224" s="26" t="n">
        <x:v>1293</x:v>
      </x:c>
      <x:c r="J1224" s="26" t="n">
        <x:v>6068.4</x:v>
      </x:c>
      <x:c r="K1224" s="28" t="n">
        <x:v>0.1374</x:v>
      </x:c>
      <x:c r="L1224" s="26" t="n">
        <x:v>833.8</x:v>
      </x:c>
      <x:c r="M1224" t="n">
        <x:v>0</x:v>
      </x:c>
      <x:c r="N1224" s="26" t="n">
        <x:v>0</x:v>
      </x:c>
      <x:c r="O1224" s="26" t="n">
        <x:v>112.27</x:v>
      </x:c>
      <x:c r="P1224" s="26" t="n">
        <x:v>27.31</x:v>
      </x:c>
      <x:c r="Q1224" s="26" t="n">
        <x:v>51.58</x:v>
      </x:c>
      <x:c r="R1224" s="26" t="n">
        <x:v>63.72</x:v>
      </x:c>
      <x:c r="S1224" s="26" t="n">
        <x:v>578.93</x:v>
      </x:c>
    </x:row>
    <x:row r="1225">
      <x:c r="A1225" t="n">
        <x:v>501222</x:v>
      </x:c>
      <x:c r="B1225" s="24" t="n">
        <x:v>45895</x:v>
      </x:c>
      <x:c r="C1225" t="n">
        <x:v>1011</x:v>
      </x:c>
      <x:c r="D1225" t="str">
        <x:v>Seller 1011</x:v>
      </x:c>
      <x:c r="E1225" t="str">
        <x:v>Platinum</x:v>
      </x:c>
      <x:c r="F1225" t="str">
        <x:v>West</x:v>
      </x:c>
      <x:c r="G1225" t="str">
        <x:v>Electronics</x:v>
      </x:c>
      <x:c r="H1225" t="n">
        <x:v>2</x:v>
      </x:c>
      <x:c r="I1225" s="26" t="n">
        <x:v>5233.8</x:v>
      </x:c>
      <x:c r="J1225" s="26" t="n">
        <x:v>16375.8</x:v>
      </x:c>
      <x:c r="K1225" s="28" t="n">
        <x:v>0.1224</x:v>
      </x:c>
      <x:c r="L1225" s="26" t="n">
        <x:v>2004.4</x:v>
      </x:c>
      <x:c r="M1225" t="n">
        <x:v>0</x:v>
      </x:c>
      <x:c r="N1225" s="26" t="n">
        <x:v>0</x:v>
      </x:c>
      <x:c r="O1225" s="26" t="n">
        <x:v>302.95</x:v>
      </x:c>
      <x:c r="P1225" s="26" t="n">
        <x:v>73.69</x:v>
      </x:c>
      <x:c r="Q1225" s="26" t="n">
        <x:v>139.19</x:v>
      </x:c>
      <x:c r="R1225" s="26" t="n">
        <x:v>171.95</x:v>
      </x:c>
      <x:c r="S1225" s="26" t="n">
        <x:v>1316.61</x:v>
      </x:c>
    </x:row>
    <x:row r="1226">
      <x:c r="A1226" t="n">
        <x:v>501223</x:v>
      </x:c>
      <x:c r="B1226" s="24" t="n">
        <x:v>45895</x:v>
      </x:c>
      <x:c r="C1226" t="n">
        <x:v>1016</x:v>
      </x:c>
      <x:c r="D1226" t="str">
        <x:v>Seller 1016</x:v>
      </x:c>
      <x:c r="E1226" t="str">
        <x:v>Gold</x:v>
      </x:c>
      <x:c r="F1226" t="str">
        <x:v>West</x:v>
      </x:c>
      <x:c r="G1226" t="str">
        <x:v>Sports</x:v>
      </x:c>
      <x:c r="H1226" t="n">
        <x:v>3</x:v>
      </x:c>
      <x:c r="I1226" s="26" t="n">
        <x:v>1676.4</x:v>
      </x:c>
      <x:c r="J1226" s="26" t="n">
        <x:v>5837.4</x:v>
      </x:c>
      <x:c r="K1226" s="28" t="n">
        <x:v>0.1358</x:v>
      </x:c>
      <x:c r="L1226" s="26" t="n">
        <x:v>792.72</x:v>
      </x:c>
      <x:c r="M1226" t="n">
        <x:v>0</x:v>
      </x:c>
      <x:c r="N1226" s="26" t="n">
        <x:v>0</x:v>
      </x:c>
      <x:c r="O1226" s="26" t="n">
        <x:v>107.99</x:v>
      </x:c>
      <x:c r="P1226" s="26" t="n">
        <x:v>26.27</x:v>
      </x:c>
      <x:c r="Q1226" s="26" t="n">
        <x:v>49.62</x:v>
      </x:c>
      <x:c r="R1226" s="26" t="n">
        <x:v>61.29</x:v>
      </x:c>
      <x:c r="S1226" s="26" t="n">
        <x:v>547.55</x:v>
      </x:c>
    </x:row>
    <x:row r="1227">
      <x:c r="A1227" t="n">
        <x:v>501224</x:v>
      </x:c>
      <x:c r="B1227" s="24" t="n">
        <x:v>45868</x:v>
      </x:c>
      <x:c r="C1227" t="n">
        <x:v>1056</x:v>
      </x:c>
      <x:c r="D1227" t="str">
        <x:v>Seller 1056</x:v>
      </x:c>
      <x:c r="E1227" t="str">
        <x:v>Bronze</x:v>
      </x:c>
      <x:c r="F1227" t="str">
        <x:v>West</x:v>
      </x:c>
      <x:c r="G1227" t="str">
        <x:v>Apparel</x:v>
      </x:c>
      <x:c r="H1227" t="n">
        <x:v>3</x:v>
      </x:c>
      <x:c r="I1227" s="26" t="n">
        <x:v>1539</x:v>
      </x:c>
      <x:c r="J1227" s="26" t="n">
        <x:v>2889</x:v>
      </x:c>
      <x:c r="K1227" s="28" t="n">
        <x:v>0.1275</x:v>
      </x:c>
      <x:c r="L1227" s="26" t="n">
        <x:v>368.35</x:v>
      </x:c>
      <x:c r="M1227" t="n">
        <x:v>0</x:v>
      </x:c>
      <x:c r="N1227" s="26" t="n">
        <x:v>0</x:v>
      </x:c>
      <x:c r="O1227" s="26" t="n">
        <x:v>53.45</x:v>
      </x:c>
      <x:c r="P1227" s="26" t="n">
        <x:v>13</x:v>
      </x:c>
      <x:c r="Q1227" s="26" t="n">
        <x:v>24.56</x:v>
      </x:c>
      <x:c r="R1227" s="26" t="n">
        <x:v>30.33</x:v>
      </x:c>
      <x:c r="S1227" s="26" t="n">
        <x:v>247.01</x:v>
      </x:c>
    </x:row>
    <x:row r="1228">
      <x:c r="A1228" t="n">
        <x:v>501225</x:v>
      </x:c>
      <x:c r="B1228" s="24" t="n">
        <x:v>45887</x:v>
      </x:c>
      <x:c r="C1228" t="n">
        <x:v>1007</x:v>
      </x:c>
      <x:c r="D1228" t="str">
        <x:v>Seller 1007</x:v>
      </x:c>
      <x:c r="E1228" t="str">
        <x:v>Platinum</x:v>
      </x:c>
      <x:c r="F1228" t="str">
        <x:v>South</x:v>
      </x:c>
      <x:c r="G1228" t="str">
        <x:v>Home &amp; Kitchen</x:v>
      </x:c>
      <x:c r="H1228" t="n">
        <x:v>2</x:v>
      </x:c>
      <x:c r="I1228" s="26" t="n">
        <x:v>2274</x:v>
      </x:c>
      <x:c r="J1228" s="26" t="n">
        <x:v>7114.8</x:v>
      </x:c>
      <x:c r="K1228" s="28" t="n">
        <x:v>0.1457</x:v>
      </x:c>
      <x:c r="L1228" s="26" t="n">
        <x:v>1036.63</x:v>
      </x:c>
      <x:c r="M1228" t="n">
        <x:v>0</x:v>
      </x:c>
      <x:c r="N1228" s="26" t="n">
        <x:v>0</x:v>
      </x:c>
      <x:c r="O1228" s="26" t="n">
        <x:v>131.62</x:v>
      </x:c>
      <x:c r="P1228" s="26" t="n">
        <x:v>32.02</x:v>
      </x:c>
      <x:c r="Q1228" s="26" t="n">
        <x:v>60.48</x:v>
      </x:c>
      <x:c r="R1228" s="26" t="n">
        <x:v>74.71</x:v>
      </x:c>
      <x:c r="S1228" s="26" t="n">
        <x:v>737.8</x:v>
      </x:c>
    </x:row>
    <x:row r="1229">
      <x:c r="A1229" t="n">
        <x:v>501226</x:v>
      </x:c>
      <x:c r="B1229" s="24" t="n">
        <x:v>45892</x:v>
      </x:c>
      <x:c r="C1229" t="n">
        <x:v>1049</x:v>
      </x:c>
      <x:c r="D1229" t="str">
        <x:v>Seller 1049</x:v>
      </x:c>
      <x:c r="E1229" t="str">
        <x:v>Silver</x:v>
      </x:c>
      <x:c r="F1229" t="str">
        <x:v>West</x:v>
      </x:c>
      <x:c r="G1229" t="str">
        <x:v>Home &amp; Kitchen</x:v>
      </x:c>
      <x:c r="H1229" t="n">
        <x:v>2</x:v>
      </x:c>
      <x:c r="I1229" s="26" t="n">
        <x:v>2647.8</x:v>
      </x:c>
      <x:c r="J1229" s="26" t="n">
        <x:v>4704</x:v>
      </x:c>
      <x:c r="K1229" s="28" t="n">
        <x:v>0.1341</x:v>
      </x:c>
      <x:c r="L1229" s="26" t="n">
        <x:v>630.81</x:v>
      </x:c>
      <x:c r="M1229" t="n">
        <x:v>0</x:v>
      </x:c>
      <x:c r="N1229" s="26" t="n">
        <x:v>0</x:v>
      </x:c>
      <x:c r="O1229" s="26" t="n">
        <x:v>87.02</x:v>
      </x:c>
      <x:c r="P1229" s="26" t="n">
        <x:v>21.17</x:v>
      </x:c>
      <x:c r="Q1229" s="26" t="n">
        <x:v>39.98</x:v>
      </x:c>
      <x:c r="R1229" s="26" t="n">
        <x:v>49.39</x:v>
      </x:c>
      <x:c r="S1229" s="26" t="n">
        <x:v>433.24</x:v>
      </x:c>
    </x:row>
    <x:row r="1230">
      <x:c r="A1230" t="n">
        <x:v>501227</x:v>
      </x:c>
      <x:c r="B1230" s="24" t="n">
        <x:v>45883</x:v>
      </x:c>
      <x:c r="C1230" t="n">
        <x:v>1075</x:v>
      </x:c>
      <x:c r="D1230" t="str">
        <x:v>Seller 1075</x:v>
      </x:c>
      <x:c r="E1230" t="str">
        <x:v>Bronze</x:v>
      </x:c>
      <x:c r="F1230" t="str">
        <x:v>East</x:v>
      </x:c>
      <x:c r="G1230" t="str">
        <x:v>Apparel</x:v>
      </x:c>
      <x:c r="H1230" t="n">
        <x:v>1</x:v>
      </x:c>
      <x:c r="I1230" s="26" t="n">
        <x:v>3494.4</x:v>
      </x:c>
      <x:c r="J1230" s="26" t="n">
        <x:v>2186.4</x:v>
      </x:c>
      <x:c r="K1230" s="28" t="n">
        <x:v>0.1205</x:v>
      </x:c>
      <x:c r="L1230" s="26" t="n">
        <x:v>263.46</x:v>
      </x:c>
      <x:c r="M1230" t="n">
        <x:v>0</x:v>
      </x:c>
      <x:c r="N1230" s="26" t="n">
        <x:v>0</x:v>
      </x:c>
      <x:c r="O1230" s="26" t="n">
        <x:v>40.45</x:v>
      </x:c>
      <x:c r="P1230" s="26" t="n">
        <x:v>9.84</x:v>
      </x:c>
      <x:c r="Q1230" s="26" t="n">
        <x:v>18.58</x:v>
      </x:c>
      <x:c r="R1230" s="26" t="n">
        <x:v>22.96</x:v>
      </x:c>
      <x:c r="S1230" s="26" t="n">
        <x:v>171.63</x:v>
      </x:c>
    </x:row>
    <x:row r="1231">
      <x:c r="A1231" t="n">
        <x:v>501228</x:v>
      </x:c>
      <x:c r="B1231" s="24" t="n">
        <x:v>45885</x:v>
      </x:c>
      <x:c r="C1231" t="n">
        <x:v>1036</x:v>
      </x:c>
      <x:c r="D1231" t="str">
        <x:v>Seller 1036</x:v>
      </x:c>
      <x:c r="E1231" t="str">
        <x:v>Silver</x:v>
      </x:c>
      <x:c r="F1231" t="str">
        <x:v>Central</x:v>
      </x:c>
      <x:c r="G1231" t="str">
        <x:v>Pet Supplies</x:v>
      </x:c>
      <x:c r="H1231" t="n">
        <x:v>2</x:v>
      </x:c>
      <x:c r="I1231" s="26" t="n">
        <x:v>1383</x:v>
      </x:c>
      <x:c r="J1231" s="26" t="n">
        <x:v>2456.4</x:v>
      </x:c>
      <x:c r="K1231" s="28" t="n">
        <x:v>0.1263</x:v>
      </x:c>
      <x:c r="L1231" s="26" t="n">
        <x:v>310.24</x:v>
      </x:c>
      <x:c r="M1231" t="n">
        <x:v>0</x:v>
      </x:c>
      <x:c r="N1231" s="26" t="n">
        <x:v>0</x:v>
      </x:c>
      <x:c r="O1231" s="26" t="n">
        <x:v>45.44</x:v>
      </x:c>
      <x:c r="P1231" s="26" t="n">
        <x:v>11.05</x:v>
      </x:c>
      <x:c r="Q1231" s="26" t="n">
        <x:v>20.88</x:v>
      </x:c>
      <x:c r="R1231" s="26" t="n">
        <x:v>25.79</x:v>
      </x:c>
      <x:c r="S1231" s="26" t="n">
        <x:v>207.07</x:v>
      </x:c>
    </x:row>
    <x:row r="1232">
      <x:c r="A1232" t="n">
        <x:v>501229</x:v>
      </x:c>
      <x:c r="B1232" s="24" t="n">
        <x:v>45868</x:v>
      </x:c>
      <x:c r="C1232" t="n">
        <x:v>1032</x:v>
      </x:c>
      <x:c r="D1232" t="str">
        <x:v>Seller 1032</x:v>
      </x:c>
      <x:c r="E1232" t="str">
        <x:v>Silver</x:v>
      </x:c>
      <x:c r="F1232" t="str">
        <x:v>West</x:v>
      </x:c>
      <x:c r="G1232" t="str">
        <x:v>Pet Supplies</x:v>
      </x:c>
      <x:c r="H1232" t="n">
        <x:v>2</x:v>
      </x:c>
      <x:c r="I1232" s="26" t="n">
        <x:v>1391.4</x:v>
      </x:c>
      <x:c r="J1232" s="26" t="n">
        <x:v>2471.4</x:v>
      </x:c>
      <x:c r="K1232" s="28" t="n">
        <x:v>0.1219</x:v>
      </x:c>
      <x:c r="L1232" s="26" t="n">
        <x:v>301.26</x:v>
      </x:c>
      <x:c r="M1232" t="n">
        <x:v>0</x:v>
      </x:c>
      <x:c r="N1232" s="26" t="n">
        <x:v>0</x:v>
      </x:c>
      <x:c r="O1232" s="26" t="n">
        <x:v>45.72</x:v>
      </x:c>
      <x:c r="P1232" s="26" t="n">
        <x:v>11.12</x:v>
      </x:c>
      <x:c r="Q1232" s="26" t="n">
        <x:v>21.01</x:v>
      </x:c>
      <x:c r="R1232" s="26" t="n">
        <x:v>25.95</x:v>
      </x:c>
      <x:c r="S1232" s="26" t="n">
        <x:v>197.46</x:v>
      </x:c>
    </x:row>
    <x:row r="1233">
      <x:c r="A1233" t="n">
        <x:v>501230</x:v>
      </x:c>
      <x:c r="B1233" s="24" t="n">
        <x:v>45884</x:v>
      </x:c>
      <x:c r="C1233" t="n">
        <x:v>1028</x:v>
      </x:c>
      <x:c r="D1233" t="str">
        <x:v>Seller 1028</x:v>
      </x:c>
      <x:c r="E1233" t="str">
        <x:v>Gold</x:v>
      </x:c>
      <x:c r="F1233" t="str">
        <x:v>Central</x:v>
      </x:c>
      <x:c r="G1233" t="str">
        <x:v>Sports</x:v>
      </x:c>
      <x:c r="H1233" t="n">
        <x:v>1</x:v>
      </x:c>
      <x:c r="I1233" s="26" t="n">
        <x:v>4839</x:v>
      </x:c>
      <x:c r="J1233" s="26" t="n">
        <x:v>5616.6</x:v>
      </x:c>
      <x:c r="K1233" s="28" t="n">
        <x:v>0.1242</x:v>
      </x:c>
      <x:c r="L1233" s="26" t="n">
        <x:v>697.58</x:v>
      </x:c>
      <x:c r="M1233" t="n">
        <x:v>0</x:v>
      </x:c>
      <x:c r="N1233" s="26" t="n">
        <x:v>0</x:v>
      </x:c>
      <x:c r="O1233" s="26" t="n">
        <x:v>103.91</x:v>
      </x:c>
      <x:c r="P1233" s="26" t="n">
        <x:v>25.27</x:v>
      </x:c>
      <x:c r="Q1233" s="26" t="n">
        <x:v>47.74</x:v>
      </x:c>
      <x:c r="R1233" s="26" t="n">
        <x:v>58.97</x:v>
      </x:c>
      <x:c r="S1233" s="26" t="n">
        <x:v>461.68</x:v>
      </x:c>
    </x:row>
    <x:row r="1234">
      <x:c r="A1234" t="n">
        <x:v>501231</x:v>
      </x:c>
      <x:c r="B1234" s="24" t="n">
        <x:v>45897</x:v>
      </x:c>
      <x:c r="C1234" t="n">
        <x:v>1041</x:v>
      </x:c>
      <x:c r="D1234" t="str">
        <x:v>Seller 1041</x:v>
      </x:c>
      <x:c r="E1234" t="str">
        <x:v>Silver</x:v>
      </x:c>
      <x:c r="F1234" t="str">
        <x:v>West</x:v>
      </x:c>
      <x:c r="G1234" t="str">
        <x:v>Beauty</x:v>
      </x:c>
      <x:c r="H1234" t="n">
        <x:v>2</x:v>
      </x:c>
      <x:c r="I1234" s="26" t="n">
        <x:v>1022.4</x:v>
      </x:c>
      <x:c r="J1234" s="26" t="n">
        <x:v>1815.6</x:v>
      </x:c>
      <x:c r="K1234" s="28" t="n">
        <x:v>0.1533</x:v>
      </x:c>
      <x:c r="L1234" s="26" t="n">
        <x:v>278.33</x:v>
      </x:c>
      <x:c r="M1234" t="n">
        <x:v>0</x:v>
      </x:c>
      <x:c r="N1234" s="26" t="n">
        <x:v>0</x:v>
      </x:c>
      <x:c r="O1234" s="26" t="n">
        <x:v>33.59</x:v>
      </x:c>
      <x:c r="P1234" s="26" t="n">
        <x:v>8.17</x:v>
      </x:c>
      <x:c r="Q1234" s="26" t="n">
        <x:v>15.43</x:v>
      </x:c>
      <x:c r="R1234" s="26" t="n">
        <x:v>19.06</x:v>
      </x:c>
      <x:c r="S1234" s="26" t="n">
        <x:v>202.08</x:v>
      </x:c>
    </x:row>
    <x:row r="1235">
      <x:c r="A1235" t="n">
        <x:v>501232</x:v>
      </x:c>
      <x:c r="B1235" s="24" t="n">
        <x:v>45881</x:v>
      </x:c>
      <x:c r="C1235" t="n">
        <x:v>1047</x:v>
      </x:c>
      <x:c r="D1235" t="str">
        <x:v>Seller 1047</x:v>
      </x:c>
      <x:c r="E1235" t="str">
        <x:v>Silver</x:v>
      </x:c>
      <x:c r="F1235" t="str">
        <x:v>East</x:v>
      </x:c>
      <x:c r="G1235" t="str">
        <x:v>Sports</x:v>
      </x:c>
      <x:c r="H1235" t="n">
        <x:v>1</x:v>
      </x:c>
      <x:c r="I1235" s="26" t="n">
        <x:v>4709.4</x:v>
      </x:c>
      <x:c r="J1235" s="26" t="n">
        <x:v>4183.2</x:v>
      </x:c>
      <x:c r="K1235" s="28" t="n">
        <x:v>0.1209</x:v>
      </x:c>
      <x:c r="L1235" s="26" t="n">
        <x:v>505.75</x:v>
      </x:c>
      <x:c r="M1235" t="n">
        <x:v>0</x:v>
      </x:c>
      <x:c r="N1235" s="26" t="n">
        <x:v>0</x:v>
      </x:c>
      <x:c r="O1235" s="26" t="n">
        <x:v>77.39</x:v>
      </x:c>
      <x:c r="P1235" s="26" t="n">
        <x:v>18.82</x:v>
      </x:c>
      <x:c r="Q1235" s="26" t="n">
        <x:v>35.56</x:v>
      </x:c>
      <x:c r="R1235" s="26" t="n">
        <x:v>43.92</x:v>
      </x:c>
      <x:c r="S1235" s="26" t="n">
        <x:v>330.05</x:v>
      </x:c>
    </x:row>
    <x:row r="1236">
      <x:c r="A1236" t="n">
        <x:v>501233</x:v>
      </x:c>
      <x:c r="B1236" s="24" t="n">
        <x:v>45871</x:v>
      </x:c>
      <x:c r="C1236" t="n">
        <x:v>1022</x:v>
      </x:c>
      <x:c r="D1236" t="str">
        <x:v>Seller 1022</x:v>
      </x:c>
      <x:c r="E1236" t="str">
        <x:v>Gold</x:v>
      </x:c>
      <x:c r="F1236" t="str">
        <x:v>East</x:v>
      </x:c>
      <x:c r="G1236" t="str">
        <x:v>Sports</x:v>
      </x:c>
      <x:c r="H1236" t="n">
        <x:v>3</x:v>
      </x:c>
      <x:c r="I1236" s="26" t="n">
        <x:v>1376.4</x:v>
      </x:c>
      <x:c r="J1236" s="26" t="n">
        <x:v>4792.8</x:v>
      </x:c>
      <x:c r="K1236" s="28" t="n">
        <x:v>0.1184</x:v>
      </x:c>
      <x:c r="L1236" s="26" t="n">
        <x:v>567.47</x:v>
      </x:c>
      <x:c r="M1236" t="n">
        <x:v>0</x:v>
      </x:c>
      <x:c r="N1236" s="26" t="n">
        <x:v>0</x:v>
      </x:c>
      <x:c r="O1236" s="26" t="n">
        <x:v>88.67</x:v>
      </x:c>
      <x:c r="P1236" s="26" t="n">
        <x:v>21.57</x:v>
      </x:c>
      <x:c r="Q1236" s="26" t="n">
        <x:v>40.74</x:v>
      </x:c>
      <x:c r="R1236" s="26" t="n">
        <x:v>50.32</x:v>
      </x:c>
      <x:c r="S1236" s="26" t="n">
        <x:v>366.17</x:v>
      </x:c>
    </x:row>
    <x:row r="1237">
      <x:c r="A1237" t="n">
        <x:v>501234</x:v>
      </x:c>
      <x:c r="B1237" s="24" t="n">
        <x:v>45871</x:v>
      </x:c>
      <x:c r="C1237" t="n">
        <x:v>1031</x:v>
      </x:c>
      <x:c r="D1237" t="str">
        <x:v>Seller 1031</x:v>
      </x:c>
      <x:c r="E1237" t="str">
        <x:v>Silver</x:v>
      </x:c>
      <x:c r="F1237" t="str">
        <x:v>West</x:v>
      </x:c>
      <x:c r="G1237" t="str">
        <x:v>Home &amp; Kitchen</x:v>
      </x:c>
      <x:c r="H1237" t="n">
        <x:v>1</x:v>
      </x:c>
      <x:c r="I1237" s="26" t="n">
        <x:v>4995.6</x:v>
      </x:c>
      <x:c r="J1237" s="26" t="n">
        <x:v>4437</x:v>
      </x:c>
      <x:c r="K1237" s="28" t="n">
        <x:v>0.1344</x:v>
      </x:c>
      <x:c r="L1237" s="26" t="n">
        <x:v>596.33</x:v>
      </x:c>
      <x:c r="M1237" t="n">
        <x:v>0</x:v>
      </x:c>
      <x:c r="N1237" s="26" t="n">
        <x:v>0</x:v>
      </x:c>
      <x:c r="O1237" s="26" t="n">
        <x:v>82.08</x:v>
      </x:c>
      <x:c r="P1237" s="26" t="n">
        <x:v>19.97</x:v>
      </x:c>
      <x:c r="Q1237" s="26" t="n">
        <x:v>37.71</x:v>
      </x:c>
      <x:c r="R1237" s="26" t="n">
        <x:v>46.59</x:v>
      </x:c>
      <x:c r="S1237" s="26" t="n">
        <x:v>409.98</x:v>
      </x:c>
    </x:row>
    <x:row r="1238">
      <x:c r="A1238" t="n">
        <x:v>501235</x:v>
      </x:c>
      <x:c r="B1238" s="24" t="n">
        <x:v>45876</x:v>
      </x:c>
      <x:c r="C1238" t="n">
        <x:v>1071</x:v>
      </x:c>
      <x:c r="D1238" t="str">
        <x:v>Seller 1071</x:v>
      </x:c>
      <x:c r="E1238" t="str">
        <x:v>Bronze</x:v>
      </x:c>
      <x:c r="F1238" t="str">
        <x:v>Central</x:v>
      </x:c>
      <x:c r="G1238" t="str">
        <x:v>Sports</x:v>
      </x:c>
      <x:c r="H1238" t="n">
        <x:v>2</x:v>
      </x:c>
      <x:c r="I1238" s="26" t="n">
        <x:v>2367</x:v>
      </x:c>
      <x:c r="J1238" s="26" t="n">
        <x:v>2962.2</x:v>
      </x:c>
      <x:c r="K1238" s="28" t="n">
        <x:v>0.1281</x:v>
      </x:c>
      <x:c r="L1238" s="26" t="n">
        <x:v>379.46</x:v>
      </x:c>
      <x:c r="M1238" t="n">
        <x:v>0</x:v>
      </x:c>
      <x:c r="N1238" s="26" t="n">
        <x:v>0</x:v>
      </x:c>
      <x:c r="O1238" s="26" t="n">
        <x:v>54.8</x:v>
      </x:c>
      <x:c r="P1238" s="26" t="n">
        <x:v>13.33</x:v>
      </x:c>
      <x:c r="Q1238" s="26" t="n">
        <x:v>25.18</x:v>
      </x:c>
      <x:c r="R1238" s="26" t="n">
        <x:v>31.1</x:v>
      </x:c>
      <x:c r="S1238" s="26" t="n">
        <x:v>255.05</x:v>
      </x:c>
    </x:row>
    <x:row r="1239">
      <x:c r="A1239" t="n">
        <x:v>501236</x:v>
      </x:c>
      <x:c r="B1239" s="24" t="n">
        <x:v>45887</x:v>
      </x:c>
      <x:c r="C1239" t="n">
        <x:v>1048</x:v>
      </x:c>
      <x:c r="D1239" t="str">
        <x:v>Seller 1048</x:v>
      </x:c>
      <x:c r="E1239" t="str">
        <x:v>Silver</x:v>
      </x:c>
      <x:c r="F1239" t="str">
        <x:v>East</x:v>
      </x:c>
      <x:c r="G1239" t="str">
        <x:v>Electronics</x:v>
      </x:c>
      <x:c r="H1239" t="n">
        <x:v>1</x:v>
      </x:c>
      <x:c r="I1239" s="26" t="n">
        <x:v>7792.200000000001</x:v>
      </x:c>
      <x:c r="J1239" s="26" t="n">
        <x:v>6921</x:v>
      </x:c>
      <x:c r="K1239" s="28" t="n">
        <x:v>0.1231</x:v>
      </x:c>
      <x:c r="L1239" s="26" t="n">
        <x:v>851.98</x:v>
      </x:c>
      <x:c r="M1239" t="n">
        <x:v>0</x:v>
      </x:c>
      <x:c r="N1239" s="26" t="n">
        <x:v>0</x:v>
      </x:c>
      <x:c r="O1239" s="26" t="n">
        <x:v>128.04</x:v>
      </x:c>
      <x:c r="P1239" s="26" t="n">
        <x:v>31.14</x:v>
      </x:c>
      <x:c r="Q1239" s="26" t="n">
        <x:v>58.83</x:v>
      </x:c>
      <x:c r="R1239" s="26" t="n">
        <x:v>72.67</x:v>
      </x:c>
      <x:c r="S1239" s="26" t="n">
        <x:v>561.29</x:v>
      </x:c>
    </x:row>
    <x:row r="1240">
      <x:c r="A1240" t="n">
        <x:v>501237</x:v>
      </x:c>
      <x:c r="B1240" s="24" t="n">
        <x:v>45875</x:v>
      </x:c>
      <x:c r="C1240" t="n">
        <x:v>1036</x:v>
      </x:c>
      <x:c r="D1240" t="str">
        <x:v>Seller 1036</x:v>
      </x:c>
      <x:c r="E1240" t="str">
        <x:v>Silver</x:v>
      </x:c>
      <x:c r="F1240" t="str">
        <x:v>Central</x:v>
      </x:c>
      <x:c r="G1240" t="str">
        <x:v>Pet Supplies</x:v>
      </x:c>
      <x:c r="H1240" t="n">
        <x:v>1</x:v>
      </x:c>
      <x:c r="I1240" s="26" t="n">
        <x:v>3130.8</x:v>
      </x:c>
      <x:c r="J1240" s="26" t="n">
        <x:v>2780.4</x:v>
      </x:c>
      <x:c r="K1240" s="28" t="n">
        <x:v>0.1363</x:v>
      </x:c>
      <x:c r="L1240" s="26" t="n">
        <x:v>378.97</x:v>
      </x:c>
      <x:c r="M1240" t="n">
        <x:v>0</x:v>
      </x:c>
      <x:c r="N1240" s="26" t="n">
        <x:v>0</x:v>
      </x:c>
      <x:c r="O1240" s="26" t="n">
        <x:v>51.44</x:v>
      </x:c>
      <x:c r="P1240" s="26" t="n">
        <x:v>12.51</x:v>
      </x:c>
      <x:c r="Q1240" s="26" t="n">
        <x:v>23.63</x:v>
      </x:c>
      <x:c r="R1240" s="26" t="n">
        <x:v>29.19</x:v>
      </x:c>
      <x:c r="S1240" s="26" t="n">
        <x:v>262.19</x:v>
      </x:c>
    </x:row>
    <x:row r="1241">
      <x:c r="A1241" t="n">
        <x:v>501238</x:v>
      </x:c>
      <x:c r="B1241" s="24" t="n">
        <x:v>45887</x:v>
      </x:c>
      <x:c r="C1241" t="n">
        <x:v>1015</x:v>
      </x:c>
      <x:c r="D1241" t="str">
        <x:v>Seller 1015</x:v>
      </x:c>
      <x:c r="E1241" t="str">
        <x:v>Gold</x:v>
      </x:c>
      <x:c r="F1241" t="str">
        <x:v>West</x:v>
      </x:c>
      <x:c r="G1241" t="str">
        <x:v>Pet Supplies</x:v>
      </x:c>
      <x:c r="H1241" t="n">
        <x:v>3</x:v>
      </x:c>
      <x:c r="I1241" s="26" t="n">
        <x:v>1083.6</x:v>
      </x:c>
      <x:c r="J1241" s="26" t="n">
        <x:v>3773.4</x:v>
      </x:c>
      <x:c r="K1241" s="28" t="n">
        <x:v>0.1216</x:v>
      </x:c>
      <x:c r="L1241" s="26" t="n">
        <x:v>458.85</x:v>
      </x:c>
      <x:c r="M1241" t="n">
        <x:v>0</x:v>
      </x:c>
      <x:c r="N1241" s="26" t="n">
        <x:v>0</x:v>
      </x:c>
      <x:c r="O1241" s="26" t="n">
        <x:v>69.81</x:v>
      </x:c>
      <x:c r="P1241" s="26" t="n">
        <x:v>16.98</x:v>
      </x:c>
      <x:c r="Q1241" s="26" t="n">
        <x:v>32.07</x:v>
      </x:c>
      <x:c r="R1241" s="26" t="n">
        <x:v>39.62</x:v>
      </x:c>
      <x:c r="S1241" s="26" t="n">
        <x:v>300.36</x:v>
      </x:c>
    </x:row>
    <x:row r="1242">
      <x:c r="A1242" t="n">
        <x:v>501239</x:v>
      </x:c>
      <x:c r="B1242" s="24" t="n">
        <x:v>45893</x:v>
      </x:c>
      <x:c r="C1242" t="n">
        <x:v>1052</x:v>
      </x:c>
      <x:c r="D1242" t="str">
        <x:v>Seller 1052</x:v>
      </x:c>
      <x:c r="E1242" t="str">
        <x:v>Silver</x:v>
      </x:c>
      <x:c r="F1242" t="str">
        <x:v>Central</x:v>
      </x:c>
      <x:c r="G1242" t="str">
        <x:v>Pet Supplies</x:v>
      </x:c>
      <x:c r="H1242" t="n">
        <x:v>3</x:v>
      </x:c>
      <x:c r="I1242" s="26" t="n">
        <x:v>1281.6</x:v>
      </x:c>
      <x:c r="J1242" s="26" t="n">
        <x:v>3414.6</x:v>
      </x:c>
      <x:c r="K1242" s="28" t="n">
        <x:v>0.1411</x:v>
      </x:c>
      <x:c r="L1242" s="26" t="n">
        <x:v>481.8</x:v>
      </x:c>
      <x:c r="M1242" t="n">
        <x:v>0</x:v>
      </x:c>
      <x:c r="N1242" s="26" t="n">
        <x:v>0</x:v>
      </x:c>
      <x:c r="O1242" s="26" t="n">
        <x:v>63.17</x:v>
      </x:c>
      <x:c r="P1242" s="26" t="n">
        <x:v>15.37</x:v>
      </x:c>
      <x:c r="Q1242" s="26" t="n">
        <x:v>29.02</x:v>
      </x:c>
      <x:c r="R1242" s="26" t="n">
        <x:v>35.85</x:v>
      </x:c>
      <x:c r="S1242" s="26" t="n">
        <x:v>338.39</x:v>
      </x:c>
    </x:row>
    <x:row r="1243">
      <x:c r="A1243" t="n">
        <x:v>501240</x:v>
      </x:c>
      <x:c r="B1243" s="24" t="n">
        <x:v>45890</x:v>
      </x:c>
      <x:c r="C1243" t="n">
        <x:v>1027</x:v>
      </x:c>
      <x:c r="D1243" t="str">
        <x:v>Seller 1027</x:v>
      </x:c>
      <x:c r="E1243" t="str">
        <x:v>Gold</x:v>
      </x:c>
      <x:c r="F1243" t="str">
        <x:v>West</x:v>
      </x:c>
      <x:c r="G1243" t="str">
        <x:v>Apparel</x:v>
      </x:c>
      <x:c r="H1243" t="n">
        <x:v>2</x:v>
      </x:c>
      <x:c r="I1243" s="26" t="n">
        <x:v>2322</x:v>
      </x:c>
      <x:c r="J1243" s="26" t="n">
        <x:v>5390.4</x:v>
      </x:c>
      <x:c r="K1243" s="28" t="n">
        <x:v>0.1256</x:v>
      </x:c>
      <x:c r="L1243" s="26" t="n">
        <x:v>677.03</x:v>
      </x:c>
      <x:c r="M1243" t="n">
        <x:v>0</x:v>
      </x:c>
      <x:c r="N1243" s="26" t="n">
        <x:v>0</x:v>
      </x:c>
      <x:c r="O1243" s="26" t="n">
        <x:v>99.72</x:v>
      </x:c>
      <x:c r="P1243" s="26" t="n">
        <x:v>24.26</x:v>
      </x:c>
      <x:c r="Q1243" s="26" t="n">
        <x:v>45.82</x:v>
      </x:c>
      <x:c r="R1243" s="26" t="n">
        <x:v>56.6</x:v>
      </x:c>
      <x:c r="S1243" s="26" t="n">
        <x:v>450.64</x:v>
      </x:c>
    </x:row>
    <x:row r="1244">
      <x:c r="A1244" t="n">
        <x:v>501241</x:v>
      </x:c>
      <x:c r="B1244" s="24" t="n">
        <x:v>45903</x:v>
      </x:c>
      <x:c r="C1244" t="n">
        <x:v>1080</x:v>
      </x:c>
      <x:c r="D1244" t="str">
        <x:v>Seller 1080</x:v>
      </x:c>
      <x:c r="E1244" t="str">
        <x:v>Bronze</x:v>
      </x:c>
      <x:c r="F1244" t="str">
        <x:v>South</x:v>
      </x:c>
      <x:c r="G1244" t="str">
        <x:v>Beauty</x:v>
      </x:c>
      <x:c r="H1244" t="n">
        <x:v>1</x:v>
      </x:c>
      <x:c r="I1244" s="26" t="n">
        <x:v>3072.6</x:v>
      </x:c>
      <x:c r="J1244" s="26" t="n">
        <x:v>2025.6</x:v>
      </x:c>
      <x:c r="K1244" s="28" t="n">
        <x:v>0.1387</x:v>
      </x:c>
      <x:c r="L1244" s="26" t="n">
        <x:v>280.95</x:v>
      </x:c>
      <x:c r="M1244" t="n">
        <x:v>0</x:v>
      </x:c>
      <x:c r="N1244" s="26" t="n">
        <x:v>0</x:v>
      </x:c>
      <x:c r="O1244" s="26" t="n">
        <x:v>37.47</x:v>
      </x:c>
      <x:c r="P1244" s="26" t="n">
        <x:v>9.12</x:v>
      </x:c>
      <x:c r="Q1244" s="26" t="n">
        <x:v>17.22</x:v>
      </x:c>
      <x:c r="R1244" s="26" t="n">
        <x:v>21.27</x:v>
      </x:c>
      <x:c r="S1244" s="26" t="n">
        <x:v>195.88</x:v>
      </x:c>
    </x:row>
    <x:row r="1245">
      <x:c r="A1245" t="n">
        <x:v>501242</x:v>
      </x:c>
      <x:c r="B1245" s="24" t="n">
        <x:v>45926</x:v>
      </x:c>
      <x:c r="C1245" t="n">
        <x:v>1043</x:v>
      </x:c>
      <x:c r="D1245" t="str">
        <x:v>Seller 1043</x:v>
      </x:c>
      <x:c r="E1245" t="str">
        <x:v>Silver</x:v>
      </x:c>
      <x:c r="F1245" t="str">
        <x:v>West</x:v>
      </x:c>
      <x:c r="G1245" t="str">
        <x:v>Home &amp; Kitchen</x:v>
      </x:c>
      <x:c r="H1245" t="n">
        <x:v>3</x:v>
      </x:c>
      <x:c r="I1245" s="26" t="n">
        <x:v>1503</x:v>
      </x:c>
      <x:c r="J1245" s="26" t="n">
        <x:v>4219.8</x:v>
      </x:c>
      <x:c r="K1245" s="28" t="n">
        <x:v>0.1333</x:v>
      </x:c>
      <x:c r="L1245" s="26" t="n">
        <x:v>562.5</x:v>
      </x:c>
      <x:c r="M1245" t="n">
        <x:v>0</x:v>
      </x:c>
      <x:c r="N1245" s="26" t="n">
        <x:v>0</x:v>
      </x:c>
      <x:c r="O1245" s="26" t="n">
        <x:v>78.07</x:v>
      </x:c>
      <x:c r="P1245" s="26" t="n">
        <x:v>18.99</x:v>
      </x:c>
      <x:c r="Q1245" s="26" t="n">
        <x:v>35.87</x:v>
      </x:c>
      <x:c r="R1245" s="26" t="n">
        <x:v>44.31</x:v>
      </x:c>
      <x:c r="S1245" s="26" t="n">
        <x:v>385.27</x:v>
      </x:c>
    </x:row>
    <x:row r="1246">
      <x:c r="A1246" t="n">
        <x:v>501243</x:v>
      </x:c>
      <x:c r="B1246" s="24" t="n">
        <x:v>45913</x:v>
      </x:c>
      <x:c r="C1246" t="n">
        <x:v>1010</x:v>
      </x:c>
      <x:c r="D1246" t="str">
        <x:v>Seller 1010</x:v>
      </x:c>
      <x:c r="E1246" t="str">
        <x:v>Platinum</x:v>
      </x:c>
      <x:c r="F1246" t="str">
        <x:v>West</x:v>
      </x:c>
      <x:c r="G1246" t="str">
        <x:v>Home &amp; Kitchen</x:v>
      </x:c>
      <x:c r="H1246" t="n">
        <x:v>2</x:v>
      </x:c>
      <x:c r="I1246" s="26" t="n">
        <x:v>2404.7999999999997</x:v>
      </x:c>
      <x:c r="J1246" s="26" t="n">
        <x:v>7929</x:v>
      </x:c>
      <x:c r="K1246" s="28" t="n">
        <x:v>0.1315</x:v>
      </x:c>
      <x:c r="L1246" s="26" t="n">
        <x:v>1042.66</x:v>
      </x:c>
      <x:c r="M1246" t="n">
        <x:v>1</x:v>
      </x:c>
      <x:c r="N1246" s="26" t="n">
        <x:v>7476.6</x:v>
      </x:c>
      <x:c r="O1246" s="26" t="n">
        <x:v>146.69</x:v>
      </x:c>
      <x:c r="P1246" s="26" t="n">
        <x:v>35.68</x:v>
      </x:c>
      <x:c r="Q1246" s="26" t="n">
        <x:v>67.4</x:v>
      </x:c>
      <x:c r="R1246" s="26" t="n">
        <x:v>83.25</x:v>
      </x:c>
      <x:c r="S1246" s="26" t="n">
        <x:v>560.11</x:v>
      </x:c>
    </x:row>
    <x:row r="1247">
      <x:c r="A1247" t="n">
        <x:v>501244</x:v>
      </x:c>
      <x:c r="B1247" s="24" t="n">
        <x:v>45922</x:v>
      </x:c>
      <x:c r="C1247" t="n">
        <x:v>1015</x:v>
      </x:c>
      <x:c r="D1247" t="str">
        <x:v>Seller 1015</x:v>
      </x:c>
      <x:c r="E1247" t="str">
        <x:v>Gold</x:v>
      </x:c>
      <x:c r="F1247" t="str">
        <x:v>West</x:v>
      </x:c>
      <x:c r="G1247" t="str">
        <x:v>Pet Supplies</x:v>
      </x:c>
      <x:c r="H1247" t="n">
        <x:v>3</x:v>
      </x:c>
      <x:c r="I1247" s="26" t="n">
        <x:v>1081.2</x:v>
      </x:c>
      <x:c r="J1247" s="26" t="n">
        <x:v>3966.6</x:v>
      </x:c>
      <x:c r="K1247" s="28" t="n">
        <x:v>0.127</x:v>
      </x:c>
      <x:c r="L1247" s="26" t="n">
        <x:v>503.76</x:v>
      </x:c>
      <x:c r="M1247" t="n">
        <x:v>0</x:v>
      </x:c>
      <x:c r="N1247" s="26" t="n">
        <x:v>0</x:v>
      </x:c>
      <x:c r="O1247" s="26" t="n">
        <x:v>73.38</x:v>
      </x:c>
      <x:c r="P1247" s="26" t="n">
        <x:v>17.85</x:v>
      </x:c>
      <x:c r="Q1247" s="26" t="n">
        <x:v>33.72</x:v>
      </x:c>
      <x:c r="R1247" s="26" t="n">
        <x:v>41.65</x:v>
      </x:c>
      <x:c r="S1247" s="26" t="n">
        <x:v>337.16</x:v>
      </x:c>
    </x:row>
    <x:row r="1248">
      <x:c r="A1248" t="n">
        <x:v>501245</x:v>
      </x:c>
      <x:c r="B1248" s="24" t="n">
        <x:v>45906</x:v>
      </x:c>
      <x:c r="C1248" t="n">
        <x:v>1019</x:v>
      </x:c>
      <x:c r="D1248" t="str">
        <x:v>Seller 1019</x:v>
      </x:c>
      <x:c r="E1248" t="str">
        <x:v>Gold</x:v>
      </x:c>
      <x:c r="F1248" t="str">
        <x:v>East</x:v>
      </x:c>
      <x:c r="G1248" t="str">
        <x:v>Electronics</x:v>
      </x:c>
      <x:c r="H1248" t="n">
        <x:v>2</x:v>
      </x:c>
      <x:c r="I1248" s="26" t="n">
        <x:v>5419.8</x:v>
      </x:c>
      <x:c r="J1248" s="26" t="n">
        <x:v>13257.6</x:v>
      </x:c>
      <x:c r="K1248" s="28" t="n">
        <x:v>0.1239</x:v>
      </x:c>
      <x:c r="L1248" s="26" t="n">
        <x:v>1642.62</x:v>
      </x:c>
      <x:c r="M1248" t="n">
        <x:v>0</x:v>
      </x:c>
      <x:c r="N1248" s="26" t="n">
        <x:v>0</x:v>
      </x:c>
      <x:c r="O1248" s="26" t="n">
        <x:v>245.27</x:v>
      </x:c>
      <x:c r="P1248" s="26" t="n">
        <x:v>59.66</x:v>
      </x:c>
      <x:c r="Q1248" s="26" t="n">
        <x:v>112.69</x:v>
      </x:c>
      <x:c r="R1248" s="26" t="n">
        <x:v>139.2</x:v>
      </x:c>
      <x:c r="S1248" s="26" t="n">
        <x:v>1085.8</x:v>
      </x:c>
    </x:row>
    <x:row r="1249">
      <x:c r="A1249" t="n">
        <x:v>501246</x:v>
      </x:c>
      <x:c r="B1249" s="24" t="n">
        <x:v>45919</x:v>
      </x:c>
      <x:c r="C1249" t="n">
        <x:v>1063</x:v>
      </x:c>
      <x:c r="D1249" t="str">
        <x:v>Seller 1063</x:v>
      </x:c>
      <x:c r="E1249" t="str">
        <x:v>Bronze</x:v>
      </x:c>
      <x:c r="F1249" t="str">
        <x:v>West</x:v>
      </x:c>
      <x:c r="G1249" t="str">
        <x:v>Pet Supplies</x:v>
      </x:c>
      <x:c r="H1249" t="n">
        <x:v>1</x:v>
      </x:c>
      <x:c r="I1249" s="26" t="n">
        <x:v>3240</x:v>
      </x:c>
      <x:c r="J1249" s="26" t="n">
        <x:v>2136.6</x:v>
      </x:c>
      <x:c r="K1249" s="28" t="n">
        <x:v>0.1272</x:v>
      </x:c>
      <x:c r="L1249" s="26" t="n">
        <x:v>271.78</x:v>
      </x:c>
      <x:c r="M1249" t="n">
        <x:v>0</x:v>
      </x:c>
      <x:c r="N1249" s="26" t="n">
        <x:v>0</x:v>
      </x:c>
      <x:c r="O1249" s="26" t="n">
        <x:v>39.53</x:v>
      </x:c>
      <x:c r="P1249" s="26" t="n">
        <x:v>9.61</x:v>
      </x:c>
      <x:c r="Q1249" s="26" t="n">
        <x:v>18.16</x:v>
      </x:c>
      <x:c r="R1249" s="26" t="n">
        <x:v>22.43</x:v>
      </x:c>
      <x:c r="S1249" s="26" t="n">
        <x:v>182.04</x:v>
      </x:c>
    </x:row>
    <x:row r="1250">
      <x:c r="A1250" t="n">
        <x:v>501247</x:v>
      </x:c>
      <x:c r="B1250" s="24" t="n">
        <x:v>45905</x:v>
      </x:c>
      <x:c r="C1250" t="n">
        <x:v>1077</x:v>
      </x:c>
      <x:c r="D1250" t="str">
        <x:v>Seller 1077</x:v>
      </x:c>
      <x:c r="E1250" t="str">
        <x:v>Bronze</x:v>
      </x:c>
      <x:c r="F1250" t="str">
        <x:v>South</x:v>
      </x:c>
      <x:c r="G1250" t="str">
        <x:v>Home &amp; Kitchen</x:v>
      </x:c>
      <x:c r="H1250" t="n">
        <x:v>2</x:v>
      </x:c>
      <x:c r="I1250" s="26" t="n">
        <x:v>2932.8</x:v>
      </x:c>
      <x:c r="J1250" s="26" t="n">
        <x:v>3867.6</x:v>
      </x:c>
      <x:c r="K1250" s="28" t="n">
        <x:v>0.1384</x:v>
      </x:c>
      <x:c r="L1250" s="26" t="n">
        <x:v>535.28</x:v>
      </x:c>
      <x:c r="M1250" t="n">
        <x:v>0</x:v>
      </x:c>
      <x:c r="N1250" s="26" t="n">
        <x:v>0</x:v>
      </x:c>
      <x:c r="O1250" s="26" t="n">
        <x:v>71.55</x:v>
      </x:c>
      <x:c r="P1250" s="26" t="n">
        <x:v>17.4</x:v>
      </x:c>
      <x:c r="Q1250" s="26" t="n">
        <x:v>32.87</x:v>
      </x:c>
      <x:c r="R1250" s="26" t="n">
        <x:v>40.61</x:v>
      </x:c>
      <x:c r="S1250" s="26" t="n">
        <x:v>372.84</x:v>
      </x:c>
    </x:row>
    <x:row r="1251">
      <x:c r="A1251" t="n">
        <x:v>501248</x:v>
      </x:c>
      <x:c r="B1251" s="24" t="n">
        <x:v>45900</x:v>
      </x:c>
      <x:c r="C1251" t="n">
        <x:v>1019</x:v>
      </x:c>
      <x:c r="D1251" t="str">
        <x:v>Seller 1019</x:v>
      </x:c>
      <x:c r="E1251" t="str">
        <x:v>Gold</x:v>
      </x:c>
      <x:c r="F1251" t="str">
        <x:v>East</x:v>
      </x:c>
      <x:c r="G1251" t="str">
        <x:v>Apparel</x:v>
      </x:c>
      <x:c r="H1251" t="n">
        <x:v>3</x:v>
      </x:c>
      <x:c r="I1251" s="26" t="n">
        <x:v>1357.8</x:v>
      </x:c>
      <x:c r="J1251" s="26" t="n">
        <x:v>4981.8</x:v>
      </x:c>
      <x:c r="K1251" s="28" t="n">
        <x:v>0.1247</x:v>
      </x:c>
      <x:c r="L1251" s="26" t="n">
        <x:v>621.23</x:v>
      </x:c>
      <x:c r="M1251" t="n">
        <x:v>0</x:v>
      </x:c>
      <x:c r="N1251" s="26" t="n">
        <x:v>0</x:v>
      </x:c>
      <x:c r="O1251" s="26" t="n">
        <x:v>92.16</x:v>
      </x:c>
      <x:c r="P1251" s="26" t="n">
        <x:v>22.42</x:v>
      </x:c>
      <x:c r="Q1251" s="26" t="n">
        <x:v>42.35</x:v>
      </x:c>
      <x:c r="R1251" s="26" t="n">
        <x:v>52.31</x:v>
      </x:c>
      <x:c r="S1251" s="26" t="n">
        <x:v>411.99</x:v>
      </x:c>
    </x:row>
    <x:row r="1252">
      <x:c r="A1252" t="n">
        <x:v>501249</x:v>
      </x:c>
      <x:c r="B1252" s="24" t="n">
        <x:v>45912</x:v>
      </x:c>
      <x:c r="C1252" t="n">
        <x:v>1025</x:v>
      </x:c>
      <x:c r="D1252" t="str">
        <x:v>Seller 1025</x:v>
      </x:c>
      <x:c r="E1252" t="str">
        <x:v>Gold</x:v>
      </x:c>
      <x:c r="F1252" t="str">
        <x:v>Central</x:v>
      </x:c>
      <x:c r="G1252" t="str">
        <x:v>Apparel</x:v>
      </x:c>
      <x:c r="H1252" t="n">
        <x:v>1</x:v>
      </x:c>
      <x:c r="I1252" s="26" t="n">
        <x:v>3229.7999999999997</x:v>
      </x:c>
      <x:c r="J1252" s="26" t="n">
        <x:v>3950.4</x:v>
      </x:c>
      <x:c r="K1252" s="28" t="n">
        <x:v>0.1291</x:v>
      </x:c>
      <x:c r="L1252" s="26" t="n">
        <x:v>510</x:v>
      </x:c>
      <x:c r="M1252" t="n">
        <x:v>0</x:v>
      </x:c>
      <x:c r="N1252" s="26" t="n">
        <x:v>0</x:v>
      </x:c>
      <x:c r="O1252" s="26" t="n">
        <x:v>73.08</x:v>
      </x:c>
      <x:c r="P1252" s="26" t="n">
        <x:v>17.78</x:v>
      </x:c>
      <x:c r="Q1252" s="26" t="n">
        <x:v>33.58</x:v>
      </x:c>
      <x:c r="R1252" s="26" t="n">
        <x:v>41.48</x:v>
      </x:c>
      <x:c r="S1252" s="26" t="n">
        <x:v>344.08</x:v>
      </x:c>
    </x:row>
    <x:row r="1253">
      <x:c r="A1253" t="n">
        <x:v>501250</x:v>
      </x:c>
      <x:c r="B1253" s="24" t="n">
        <x:v>45906</x:v>
      </x:c>
      <x:c r="C1253" t="n">
        <x:v>1068</x:v>
      </x:c>
      <x:c r="D1253" t="str">
        <x:v>Seller 1068</x:v>
      </x:c>
      <x:c r="E1253" t="str">
        <x:v>Bronze</x:v>
      </x:c>
      <x:c r="F1253" t="str">
        <x:v>South</x:v>
      </x:c>
      <x:c r="G1253" t="str">
        <x:v>Pet Supplies</x:v>
      </x:c>
      <x:c r="H1253" t="n">
        <x:v>3</x:v>
      </x:c>
      <x:c r="I1253" s="26" t="n">
        <x:v>916.8</x:v>
      </x:c>
      <x:c r="J1253" s="26" t="n">
        <x:v>1813.2</x:v>
      </x:c>
      <x:c r="K1253" s="28" t="n">
        <x:v>0.1279</x:v>
      </x:c>
      <x:c r="L1253" s="26" t="n">
        <x:v>231.91</x:v>
      </x:c>
      <x:c r="M1253" t="n">
        <x:v>0</x:v>
      </x:c>
      <x:c r="N1253" s="26" t="n">
        <x:v>0</x:v>
      </x:c>
      <x:c r="O1253" s="26" t="n">
        <x:v>33.54</x:v>
      </x:c>
      <x:c r="P1253" s="26" t="n">
        <x:v>8.16</x:v>
      </x:c>
      <x:c r="Q1253" s="26" t="n">
        <x:v>15.41</x:v>
      </x:c>
      <x:c r="R1253" s="26" t="n">
        <x:v>19.04</x:v>
      </x:c>
      <x:c r="S1253" s="26" t="n">
        <x:v>155.75</x:v>
      </x:c>
    </x:row>
    <x:row r="1254">
      <x:c r="A1254" t="n">
        <x:v>501251</x:v>
      </x:c>
      <x:c r="B1254" s="24" t="n">
        <x:v>45916</x:v>
      </x:c>
      <x:c r="C1254" t="n">
        <x:v>1040</x:v>
      </x:c>
      <x:c r="D1254" t="str">
        <x:v>Seller 1040</x:v>
      </x:c>
      <x:c r="E1254" t="str">
        <x:v>Silver</x:v>
      </x:c>
      <x:c r="F1254" t="str">
        <x:v>West</x:v>
      </x:c>
      <x:c r="G1254" t="str">
        <x:v>Pet Supplies</x:v>
      </x:c>
      <x:c r="H1254" t="n">
        <x:v>1</x:v>
      </x:c>
      <x:c r="I1254" s="26" t="n">
        <x:v>2934</x:v>
      </x:c>
      <x:c r="J1254" s="26" t="n">
        <x:v>2745.6</x:v>
      </x:c>
      <x:c r="K1254" s="28" t="n">
        <x:v>0.14</x:v>
      </x:c>
      <x:c r="L1254" s="26" t="n">
        <x:v>384.38</x:v>
      </x:c>
      <x:c r="M1254" t="n">
        <x:v>0</x:v>
      </x:c>
      <x:c r="N1254" s="26" t="n">
        <x:v>0</x:v>
      </x:c>
      <x:c r="O1254" s="26" t="n">
        <x:v>50.79</x:v>
      </x:c>
      <x:c r="P1254" s="26" t="n">
        <x:v>12.36</x:v>
      </x:c>
      <x:c r="Q1254" s="26" t="n">
        <x:v>23.34</x:v>
      </x:c>
      <x:c r="R1254" s="26" t="n">
        <x:v>28.83</x:v>
      </x:c>
      <x:c r="S1254" s="26" t="n">
        <x:v>269.07</x:v>
      </x:c>
    </x:row>
    <x:row r="1255">
      <x:c r="A1255" t="n">
        <x:v>501252</x:v>
      </x:c>
      <x:c r="B1255" s="24" t="n">
        <x:v>45907</x:v>
      </x:c>
      <x:c r="C1255" t="n">
        <x:v>1045</x:v>
      </x:c>
      <x:c r="D1255" t="str">
        <x:v>Seller 1045</x:v>
      </x:c>
      <x:c r="E1255" t="str">
        <x:v>Silver</x:v>
      </x:c>
      <x:c r="F1255" t="str">
        <x:v>Central</x:v>
      </x:c>
      <x:c r="G1255" t="str">
        <x:v>Home &amp; Kitchen</x:v>
      </x:c>
      <x:c r="H1255" t="n">
        <x:v>3</x:v>
      </x:c>
      <x:c r="I1255" s="26" t="n">
        <x:v>1551.6</x:v>
      </x:c>
      <x:c r="J1255" s="26" t="n">
        <x:v>4356.6</x:v>
      </x:c>
      <x:c r="K1255" s="28" t="n">
        <x:v>0.1395</x:v>
      </x:c>
      <x:c r="L1255" s="26" t="n">
        <x:v>607.75</x:v>
      </x:c>
      <x:c r="M1255" t="n">
        <x:v>0</x:v>
      </x:c>
      <x:c r="N1255" s="26" t="n">
        <x:v>0</x:v>
      </x:c>
      <x:c r="O1255" s="26" t="n">
        <x:v>80.6</x:v>
      </x:c>
      <x:c r="P1255" s="26" t="n">
        <x:v>19.6</x:v>
      </x:c>
      <x:c r="Q1255" s="26" t="n">
        <x:v>37.03</x:v>
      </x:c>
      <x:c r="R1255" s="26" t="n">
        <x:v>45.74</x:v>
      </x:c>
      <x:c r="S1255" s="26" t="n">
        <x:v>424.77</x:v>
      </x:c>
    </x:row>
    <x:row r="1256">
      <x:c r="A1256" t="n">
        <x:v>501253</x:v>
      </x:c>
      <x:c r="B1256" s="24" t="n">
        <x:v>45904</x:v>
      </x:c>
      <x:c r="C1256" t="n">
        <x:v>1080</x:v>
      </x:c>
      <x:c r="D1256" t="str">
        <x:v>Seller 1080</x:v>
      </x:c>
      <x:c r="E1256" t="str">
        <x:v>Bronze</x:v>
      </x:c>
      <x:c r="F1256" t="str">
        <x:v>South</x:v>
      </x:c>
      <x:c r="G1256" t="str">
        <x:v>Beauty</x:v>
      </x:c>
      <x:c r="H1256" t="n">
        <x:v>3</x:v>
      </x:c>
      <x:c r="I1256" s="26" t="n">
        <x:v>1087.8</x:v>
      </x:c>
      <x:c r="J1256" s="26" t="n">
        <x:v>2152.2</x:v>
      </x:c>
      <x:c r="K1256" s="28" t="n">
        <x:v>0.1346</x:v>
      </x:c>
      <x:c r="L1256" s="26" t="n">
        <x:v>289.69</x:v>
      </x:c>
      <x:c r="M1256" t="n">
        <x:v>0</x:v>
      </x:c>
      <x:c r="N1256" s="26" t="n">
        <x:v>0</x:v>
      </x:c>
      <x:c r="O1256" s="26" t="n">
        <x:v>39.82</x:v>
      </x:c>
      <x:c r="P1256" s="26" t="n">
        <x:v>9.68</x:v>
      </x:c>
      <x:c r="Q1256" s="26" t="n">
        <x:v>18.29</x:v>
      </x:c>
      <x:c r="R1256" s="26" t="n">
        <x:v>22.6</x:v>
      </x:c>
      <x:c r="S1256" s="26" t="n">
        <x:v>199.29</x:v>
      </x:c>
    </x:row>
    <x:row r="1257">
      <x:c r="A1257" t="n">
        <x:v>501254</x:v>
      </x:c>
      <x:c r="B1257" s="24" t="n">
        <x:v>45909</x:v>
      </x:c>
      <x:c r="C1257" t="n">
        <x:v>1037</x:v>
      </x:c>
      <x:c r="D1257" t="str">
        <x:v>Seller 1037</x:v>
      </x:c>
      <x:c r="E1257" t="str">
        <x:v>Silver</x:v>
      </x:c>
      <x:c r="F1257" t="str">
        <x:v>East</x:v>
      </x:c>
      <x:c r="G1257" t="str">
        <x:v>Electronics</x:v>
      </x:c>
      <x:c r="H1257" t="n">
        <x:v>3</x:v>
      </x:c>
      <x:c r="I1257" s="26" t="n">
        <x:v>3094.7999999999997</x:v>
      </x:c>
      <x:c r="J1257" s="26" t="n">
        <x:v>8689.8</x:v>
      </x:c>
      <x:c r="K1257" s="28" t="n">
        <x:v>0.1233</x:v>
      </x:c>
      <x:c r="L1257" s="26" t="n">
        <x:v>1071.45</x:v>
      </x:c>
      <x:c r="M1257" t="n">
        <x:v>1</x:v>
      </x:c>
      <x:c r="N1257" s="26" t="n">
        <x:v>5762.4</x:v>
      </x:c>
      <x:c r="O1257" s="26" t="n">
        <x:v>160.76</x:v>
      </x:c>
      <x:c r="P1257" s="26" t="n">
        <x:v>39.1</x:v>
      </x:c>
      <x:c r="Q1257" s="26" t="n">
        <x:v>73.86</x:v>
      </x:c>
      <x:c r="R1257" s="26" t="n">
        <x:v>91.24</x:v>
      </x:c>
      <x:c r="S1257" s="26" t="n">
        <x:v>591.23</x:v>
      </x:c>
    </x:row>
    <x:row r="1258">
      <x:c r="A1258" t="n">
        <x:v>501255</x:v>
      </x:c>
      <x:c r="B1258" s="24" t="n">
        <x:v>45921</x:v>
      </x:c>
      <x:c r="C1258" t="n">
        <x:v>1037</x:v>
      </x:c>
      <x:c r="D1258" t="str">
        <x:v>Seller 1037</x:v>
      </x:c>
      <x:c r="E1258" t="str">
        <x:v>Silver</x:v>
      </x:c>
      <x:c r="F1258" t="str">
        <x:v>East</x:v>
      </x:c>
      <x:c r="G1258" t="str">
        <x:v>Sports</x:v>
      </x:c>
      <x:c r="H1258" t="n">
        <x:v>1</x:v>
      </x:c>
      <x:c r="I1258" s="26" t="n">
        <x:v>4021.8</x:v>
      </x:c>
      <x:c r="J1258" s="26" t="n">
        <x:v>3763.8</x:v>
      </x:c>
      <x:c r="K1258" s="28" t="n">
        <x:v>0.1197</x:v>
      </x:c>
      <x:c r="L1258" s="26" t="n">
        <x:v>450.53</x:v>
      </x:c>
      <x:c r="M1258" t="n">
        <x:v>0</x:v>
      </x:c>
      <x:c r="N1258" s="26" t="n">
        <x:v>0</x:v>
      </x:c>
      <x:c r="O1258" s="26" t="n">
        <x:v>69.63</x:v>
      </x:c>
      <x:c r="P1258" s="26" t="n">
        <x:v>16.94</x:v>
      </x:c>
      <x:c r="Q1258" s="26" t="n">
        <x:v>31.99</x:v>
      </x:c>
      <x:c r="R1258" s="26" t="n">
        <x:v>39.52</x:v>
      </x:c>
      <x:c r="S1258" s="26" t="n">
        <x:v>292.45</x:v>
      </x:c>
    </x:row>
    <x:row r="1259">
      <x:c r="A1259" t="n">
        <x:v>501256</x:v>
      </x:c>
      <x:c r="B1259" s="24" t="n">
        <x:v>45919</x:v>
      </x:c>
      <x:c r="C1259" t="n">
        <x:v>1026</x:v>
      </x:c>
      <x:c r="D1259" t="str">
        <x:v>Seller 1026</x:v>
      </x:c>
      <x:c r="E1259" t="str">
        <x:v>Gold</x:v>
      </x:c>
      <x:c r="F1259" t="str">
        <x:v>East</x:v>
      </x:c>
      <x:c r="G1259" t="str">
        <x:v>Home &amp; Kitchen</x:v>
      </x:c>
      <x:c r="H1259" t="n">
        <x:v>3</x:v>
      </x:c>
      <x:c r="I1259" s="26" t="n">
        <x:v>1479.6</x:v>
      </x:c>
      <x:c r="J1259" s="26" t="n">
        <x:v>5428.8</x:v>
      </x:c>
      <x:c r="K1259" s="28" t="n">
        <x:v>0.1238</x:v>
      </x:c>
      <x:c r="L1259" s="26" t="n">
        <x:v>672.09</x:v>
      </x:c>
      <x:c r="M1259" t="n">
        <x:v>0</x:v>
      </x:c>
      <x:c r="N1259" s="26" t="n">
        <x:v>0</x:v>
      </x:c>
      <x:c r="O1259" s="26" t="n">
        <x:v>100.43</x:v>
      </x:c>
      <x:c r="P1259" s="26" t="n">
        <x:v>24.43</x:v>
      </x:c>
      <x:c r="Q1259" s="26" t="n">
        <x:v>46.14</x:v>
      </x:c>
      <x:c r="R1259" s="26" t="n">
        <x:v>57</x:v>
      </x:c>
      <x:c r="S1259" s="26" t="n">
        <x:v>444.08</x:v>
      </x:c>
    </x:row>
    <x:row r="1260">
      <x:c r="A1260" t="n">
        <x:v>501257</x:v>
      </x:c>
      <x:c r="B1260" s="24" t="n">
        <x:v>45916</x:v>
      </x:c>
      <x:c r="C1260" t="n">
        <x:v>1050</x:v>
      </x:c>
      <x:c r="D1260" t="str">
        <x:v>Seller 1050</x:v>
      </x:c>
      <x:c r="E1260" t="str">
        <x:v>Silver</x:v>
      </x:c>
      <x:c r="F1260" t="str">
        <x:v>East</x:v>
      </x:c>
      <x:c r="G1260" t="str">
        <x:v>Electronics</x:v>
      </x:c>
      <x:c r="H1260" t="n">
        <x:v>3</x:v>
      </x:c>
      <x:c r="I1260" s="26" t="n">
        <x:v>2834.4</x:v>
      </x:c>
      <x:c r="J1260" s="26" t="n">
        <x:v>7959</x:v>
      </x:c>
      <x:c r="K1260" s="28" t="n">
        <x:v>0.1193</x:v>
      </x:c>
      <x:c r="L1260" s="26" t="n">
        <x:v>949.51</x:v>
      </x:c>
      <x:c r="M1260" t="n">
        <x:v>0</x:v>
      </x:c>
      <x:c r="N1260" s="26" t="n">
        <x:v>0</x:v>
      </x:c>
      <x:c r="O1260" s="26" t="n">
        <x:v>147.24</x:v>
      </x:c>
      <x:c r="P1260" s="26" t="n">
        <x:v>35.82</x:v>
      </x:c>
      <x:c r="Q1260" s="26" t="n">
        <x:v>67.65</x:v>
      </x:c>
      <x:c r="R1260" s="26" t="n">
        <x:v>83.57</x:v>
      </x:c>
      <x:c r="S1260" s="26" t="n">
        <x:v>615.23</x:v>
      </x:c>
    </x:row>
    <x:row r="1261">
      <x:c r="A1261" t="n">
        <x:v>501258</x:v>
      </x:c>
      <x:c r="B1261" s="24" t="n">
        <x:v>45915</x:v>
      </x:c>
      <x:c r="C1261" t="n">
        <x:v>1056</x:v>
      </x:c>
      <x:c r="D1261" t="str">
        <x:v>Seller 1056</x:v>
      </x:c>
      <x:c r="E1261" t="str">
        <x:v>Bronze</x:v>
      </x:c>
      <x:c r="F1261" t="str">
        <x:v>West</x:v>
      </x:c>
      <x:c r="G1261" t="str">
        <x:v>Apparel</x:v>
      </x:c>
      <x:c r="H1261" t="n">
        <x:v>2</x:v>
      </x:c>
      <x:c r="I1261" s="26" t="n">
        <x:v>2282.4</x:v>
      </x:c>
      <x:c r="J1261" s="26" t="n">
        <x:v>3010.2</x:v>
      </x:c>
      <x:c r="K1261" s="28" t="n">
        <x:v>0.1244</x:v>
      </x:c>
      <x:c r="L1261" s="26" t="n">
        <x:v>374.47</x:v>
      </x:c>
      <x:c r="M1261" t="n">
        <x:v>0</x:v>
      </x:c>
      <x:c r="N1261" s="26" t="n">
        <x:v>0</x:v>
      </x:c>
      <x:c r="O1261" s="26" t="n">
        <x:v>55.69</x:v>
      </x:c>
      <x:c r="P1261" s="26" t="n">
        <x:v>13.55</x:v>
      </x:c>
      <x:c r="Q1261" s="26" t="n">
        <x:v>25.59</x:v>
      </x:c>
      <x:c r="R1261" s="26" t="n">
        <x:v>31.61</x:v>
      </x:c>
      <x:c r="S1261" s="26" t="n">
        <x:v>248.04</x:v>
      </x:c>
    </x:row>
    <x:row r="1262">
      <x:c r="A1262" t="n">
        <x:v>501259</x:v>
      </x:c>
      <x:c r="B1262" s="24" t="n">
        <x:v>45926</x:v>
      </x:c>
      <x:c r="C1262" t="n">
        <x:v>1026</x:v>
      </x:c>
      <x:c r="D1262" t="str">
        <x:v>Seller 1026</x:v>
      </x:c>
      <x:c r="E1262" t="str">
        <x:v>Gold</x:v>
      </x:c>
      <x:c r="F1262" t="str">
        <x:v>East</x:v>
      </x:c>
      <x:c r="G1262" t="str">
        <x:v>Home &amp; Kitchen</x:v>
      </x:c>
      <x:c r="H1262" t="n">
        <x:v>3</x:v>
      </x:c>
      <x:c r="I1262" s="26" t="n">
        <x:v>1900.8</x:v>
      </x:c>
      <x:c r="J1262" s="26" t="n">
        <x:v>6973.8</x:v>
      </x:c>
      <x:c r="K1262" s="28" t="n">
        <x:v>0.1381</x:v>
      </x:c>
      <x:c r="L1262" s="26" t="n">
        <x:v>963.08</x:v>
      </x:c>
      <x:c r="M1262" t="n">
        <x:v>0</x:v>
      </x:c>
      <x:c r="N1262" s="26" t="n">
        <x:v>0</x:v>
      </x:c>
      <x:c r="O1262" s="26" t="n">
        <x:v>129.02</x:v>
      </x:c>
      <x:c r="P1262" s="26" t="n">
        <x:v>31.38</x:v>
      </x:c>
      <x:c r="Q1262" s="26" t="n">
        <x:v>59.28</x:v>
      </x:c>
      <x:c r="R1262" s="26" t="n">
        <x:v>73.22</x:v>
      </x:c>
      <x:c r="S1262" s="26" t="n">
        <x:v>670.18</x:v>
      </x:c>
    </x:row>
    <x:row r="1263">
      <x:c r="A1263" t="n">
        <x:v>501260</x:v>
      </x:c>
      <x:c r="B1263" s="24" t="n">
        <x:v>45909</x:v>
      </x:c>
      <x:c r="C1263" t="n">
        <x:v>1056</x:v>
      </x:c>
      <x:c r="D1263" t="str">
        <x:v>Seller 1056</x:v>
      </x:c>
      <x:c r="E1263" t="str">
        <x:v>Bronze</x:v>
      </x:c>
      <x:c r="F1263" t="str">
        <x:v>West</x:v>
      </x:c>
      <x:c r="G1263" t="str">
        <x:v>Apparel</x:v>
      </x:c>
      <x:c r="H1263" t="n">
        <x:v>1</x:v>
      </x:c>
      <x:c r="I1263" s="26" t="n">
        <x:v>3761.3999999999996</x:v>
      </x:c>
      <x:c r="J1263" s="26" t="n">
        <x:v>2480.4</x:v>
      </x:c>
      <x:c r="K1263" s="28" t="n">
        <x:v>0.1201</x:v>
      </x:c>
      <x:c r="L1263" s="26" t="n">
        <x:v>297.9</x:v>
      </x:c>
      <x:c r="M1263" t="n">
        <x:v>0</x:v>
      </x:c>
      <x:c r="N1263" s="26" t="n">
        <x:v>0</x:v>
      </x:c>
      <x:c r="O1263" s="26" t="n">
        <x:v>45.89</x:v>
      </x:c>
      <x:c r="P1263" s="26" t="n">
        <x:v>11.16</x:v>
      </x:c>
      <x:c r="Q1263" s="26" t="n">
        <x:v>21.08</x:v>
      </x:c>
      <x:c r="R1263" s="26" t="n">
        <x:v>26.04</x:v>
      </x:c>
      <x:c r="S1263" s="26" t="n">
        <x:v>193.72</x:v>
      </x:c>
    </x:row>
    <x:row r="1264">
      <x:c r="A1264" t="n">
        <x:v>501261</x:v>
      </x:c>
      <x:c r="B1264" s="24" t="n">
        <x:v>45900</x:v>
      </x:c>
      <x:c r="C1264" t="n">
        <x:v>1055</x:v>
      </x:c>
      <x:c r="D1264" t="str">
        <x:v>Seller 1055</x:v>
      </x:c>
      <x:c r="E1264" t="str">
        <x:v>Bronze</x:v>
      </x:c>
      <x:c r="F1264" t="str">
        <x:v>Central</x:v>
      </x:c>
      <x:c r="G1264" t="str">
        <x:v>Pet Supplies</x:v>
      </x:c>
      <x:c r="H1264" t="n">
        <x:v>3</x:v>
      </x:c>
      <x:c r="I1264" s="26" t="n">
        <x:v>973.1999999999999</x:v>
      </x:c>
      <x:c r="J1264" s="26" t="n">
        <x:v>1925.4</x:v>
      </x:c>
      <x:c r="K1264" s="28" t="n">
        <x:v>0.1419</x:v>
      </x:c>
      <x:c r="L1264" s="26" t="n">
        <x:v>273.21</x:v>
      </x:c>
      <x:c r="M1264" t="n">
        <x:v>0</x:v>
      </x:c>
      <x:c r="N1264" s="26" t="n">
        <x:v>0</x:v>
      </x:c>
      <x:c r="O1264" s="26" t="n">
        <x:v>35.62</x:v>
      </x:c>
      <x:c r="P1264" s="26" t="n">
        <x:v>8.66</x:v>
      </x:c>
      <x:c r="Q1264" s="26" t="n">
        <x:v>16.37</x:v>
      </x:c>
      <x:c r="R1264" s="26" t="n">
        <x:v>20.22</x:v>
      </x:c>
      <x:c r="S1264" s="26" t="n">
        <x:v>192.35</x:v>
      </x:c>
    </x:row>
    <x:row r="1265">
      <x:c r="A1265" t="n">
        <x:v>501262</x:v>
      </x:c>
      <x:c r="B1265" s="24" t="n">
        <x:v>45916</x:v>
      </x:c>
      <x:c r="C1265" t="n">
        <x:v>1018</x:v>
      </x:c>
      <x:c r="D1265" t="str">
        <x:v>Seller 1018</x:v>
      </x:c>
      <x:c r="E1265" t="str">
        <x:v>Gold</x:v>
      </x:c>
      <x:c r="F1265" t="str">
        <x:v>West</x:v>
      </x:c>
      <x:c r="G1265" t="str">
        <x:v>Electronics</x:v>
      </x:c>
      <x:c r="H1265" t="n">
        <x:v>2</x:v>
      </x:c>
      <x:c r="I1265" s="26" t="n">
        <x:v>4840.8</x:v>
      </x:c>
      <x:c r="J1265" s="26" t="n">
        <x:v>11841.6</x:v>
      </x:c>
      <x:c r="K1265" s="28" t="n">
        <x:v>0.1253</x:v>
      </x:c>
      <x:c r="L1265" s="26" t="n">
        <x:v>1483.75</x:v>
      </x:c>
      <x:c r="M1265" t="n">
        <x:v>0</x:v>
      </x:c>
      <x:c r="N1265" s="26" t="n">
        <x:v>0</x:v>
      </x:c>
      <x:c r="O1265" s="26" t="n">
        <x:v>219.07</x:v>
      </x:c>
      <x:c r="P1265" s="26" t="n">
        <x:v>53.29</x:v>
      </x:c>
      <x:c r="Q1265" s="26" t="n">
        <x:v>100.65</x:v>
      </x:c>
      <x:c r="R1265" s="26" t="n">
        <x:v>124.34</x:v>
      </x:c>
      <x:c r="S1265" s="26" t="n">
        <x:v>986.41</x:v>
      </x:c>
    </x:row>
    <x:row r="1266">
      <x:c r="A1266" t="n">
        <x:v>501263</x:v>
      </x:c>
      <x:c r="B1266" s="24" t="n">
        <x:v>45914</x:v>
      </x:c>
      <x:c r="C1266" t="n">
        <x:v>1038</x:v>
      </x:c>
      <x:c r="D1266" t="str">
        <x:v>Seller 1038</x:v>
      </x:c>
      <x:c r="E1266" t="str">
        <x:v>Silver</x:v>
      </x:c>
      <x:c r="F1266" t="str">
        <x:v>South</x:v>
      </x:c>
      <x:c r="G1266" t="str">
        <x:v>Sports</x:v>
      </x:c>
      <x:c r="H1266" t="n">
        <x:v>2</x:v>
      </x:c>
      <x:c r="I1266" s="26" t="n">
        <x:v>2123.4</x:v>
      </x:c>
      <x:c r="J1266" s="26" t="n">
        <x:v>3975</x:v>
      </x:c>
      <x:c r="K1266" s="28" t="n">
        <x:v>0.1321</x:v>
      </x:c>
      <x:c r="L1266" s="26" t="n">
        <x:v>525.1</x:v>
      </x:c>
      <x:c r="M1266" t="n">
        <x:v>0</x:v>
      </x:c>
      <x:c r="N1266" s="26" t="n">
        <x:v>0</x:v>
      </x:c>
      <x:c r="O1266" s="26" t="n">
        <x:v>73.54</x:v>
      </x:c>
      <x:c r="P1266" s="26" t="n">
        <x:v>17.89</x:v>
      </x:c>
      <x:c r="Q1266" s="26" t="n">
        <x:v>33.79</x:v>
      </x:c>
      <x:c r="R1266" s="26" t="n">
        <x:v>41.74</x:v>
      </x:c>
      <x:c r="S1266" s="26" t="n">
        <x:v>358.15</x:v>
      </x:c>
    </x:row>
    <x:row r="1267">
      <x:c r="A1267" t="n">
        <x:v>501264</x:v>
      </x:c>
      <x:c r="B1267" s="24" t="n">
        <x:v>45907</x:v>
      </x:c>
      <x:c r="C1267" t="n">
        <x:v>1059</x:v>
      </x:c>
      <x:c r="D1267" t="str">
        <x:v>Seller 1059</x:v>
      </x:c>
      <x:c r="E1267" t="str">
        <x:v>Bronze</x:v>
      </x:c>
      <x:c r="F1267" t="str">
        <x:v>Central</x:v>
      </x:c>
      <x:c r="G1267" t="str">
        <x:v>Electronics</x:v>
      </x:c>
      <x:c r="H1267" t="n">
        <x:v>4</x:v>
      </x:c>
      <x:c r="I1267" s="26" t="n">
        <x:v>2616.6</x:v>
      </x:c>
      <x:c r="J1267" s="26" t="n">
        <x:v>6900.6</x:v>
      </x:c>
      <x:c r="K1267" s="28" t="n">
        <x:v>0.1286</x:v>
      </x:c>
      <x:c r="L1267" s="26" t="n">
        <x:v>887.42</x:v>
      </x:c>
      <x:c r="M1267" t="n">
        <x:v>0</x:v>
      </x:c>
      <x:c r="N1267" s="26" t="n">
        <x:v>0</x:v>
      </x:c>
      <x:c r="O1267" s="26" t="n">
        <x:v>127.66</x:v>
      </x:c>
      <x:c r="P1267" s="26" t="n">
        <x:v>31.05</x:v>
      </x:c>
      <x:c r="Q1267" s="26" t="n">
        <x:v>58.66</x:v>
      </x:c>
      <x:c r="R1267" s="26" t="n">
        <x:v>72.46</x:v>
      </x:c>
      <x:c r="S1267" s="26" t="n">
        <x:v>597.59</x:v>
      </x:c>
    </x:row>
    <x:row r="1268">
      <x:c r="A1268" t="n">
        <x:v>501265</x:v>
      </x:c>
      <x:c r="B1268" s="24" t="n">
        <x:v>45899</x:v>
      </x:c>
      <x:c r="C1268" t="n">
        <x:v>1073</x:v>
      </x:c>
      <x:c r="D1268" t="str">
        <x:v>Seller 1073</x:v>
      </x:c>
      <x:c r="E1268" t="str">
        <x:v>Bronze</x:v>
      </x:c>
      <x:c r="F1268" t="str">
        <x:v>Central</x:v>
      </x:c>
      <x:c r="G1268" t="str">
        <x:v>Electronics</x:v>
      </x:c>
      <x:c r="H1268" t="n">
        <x:v>2</x:v>
      </x:c>
      <x:c r="I1268" s="26" t="n">
        <x:v>4565.400000000001</x:v>
      </x:c>
      <x:c r="J1268" s="26" t="n">
        <x:v>6020.4</x:v>
      </x:c>
      <x:c r="K1268" s="28" t="n">
        <x:v>0.1308</x:v>
      </x:c>
      <x:c r="L1268" s="26" t="n">
        <x:v>787.47</x:v>
      </x:c>
      <x:c r="M1268" t="n">
        <x:v>0</x:v>
      </x:c>
      <x:c r="N1268" s="26" t="n">
        <x:v>0</x:v>
      </x:c>
      <x:c r="O1268" s="26" t="n">
        <x:v>111.38</x:v>
      </x:c>
      <x:c r="P1268" s="26" t="n">
        <x:v>27.09</x:v>
      </x:c>
      <x:c r="Q1268" s="26" t="n">
        <x:v>51.17</x:v>
      </x:c>
      <x:c r="R1268" s="26" t="n">
        <x:v>63.21</x:v>
      </x:c>
      <x:c r="S1268" s="26" t="n">
        <x:v>534.61</x:v>
      </x:c>
    </x:row>
    <x:row r="1269">
      <x:c r="A1269" t="n">
        <x:v>501266</x:v>
      </x:c>
      <x:c r="B1269" s="24" t="n">
        <x:v>45902</x:v>
      </x:c>
      <x:c r="C1269" t="n">
        <x:v>1027</x:v>
      </x:c>
      <x:c r="D1269" t="str">
        <x:v>Seller 1027</x:v>
      </x:c>
      <x:c r="E1269" t="str">
        <x:v>Gold</x:v>
      </x:c>
      <x:c r="F1269" t="str">
        <x:v>West</x:v>
      </x:c>
      <x:c r="G1269" t="str">
        <x:v>Apparel</x:v>
      </x:c>
      <x:c r="H1269" t="n">
        <x:v>1</x:v>
      </x:c>
      <x:c r="I1269" s="26" t="n">
        <x:v>3534.6</x:v>
      </x:c>
      <x:c r="J1269" s="26" t="n">
        <x:v>4323</x:v>
      </x:c>
      <x:c r="K1269" s="28" t="n">
        <x:v>0.1113</x:v>
      </x:c>
      <x:c r="L1269" s="26" t="n">
        <x:v>481.15</x:v>
      </x:c>
      <x:c r="M1269" t="n">
        <x:v>0</x:v>
      </x:c>
      <x:c r="N1269" s="26" t="n">
        <x:v>0</x:v>
      </x:c>
      <x:c r="O1269" s="26" t="n">
        <x:v>79.98</x:v>
      </x:c>
      <x:c r="P1269" s="26" t="n">
        <x:v>19.45</x:v>
      </x:c>
      <x:c r="Q1269" s="26" t="n">
        <x:v>36.75</x:v>
      </x:c>
      <x:c r="R1269" s="26" t="n">
        <x:v>45.39</x:v>
      </x:c>
      <x:c r="S1269" s="26" t="n">
        <x:v>299.58</x:v>
      </x:c>
    </x:row>
    <x:row r="1270">
      <x:c r="A1270" t="n">
        <x:v>501267</x:v>
      </x:c>
      <x:c r="B1270" s="24" t="n">
        <x:v>45900</x:v>
      </x:c>
      <x:c r="C1270" t="n">
        <x:v>1039</x:v>
      </x:c>
      <x:c r="D1270" t="str">
        <x:v>Seller 1039</x:v>
      </x:c>
      <x:c r="E1270" t="str">
        <x:v>Silver</x:v>
      </x:c>
      <x:c r="F1270" t="str">
        <x:v>East</x:v>
      </x:c>
      <x:c r="G1270" t="str">
        <x:v>Pet Supplies</x:v>
      </x:c>
      <x:c r="H1270" t="n">
        <x:v>2</x:v>
      </x:c>
      <x:c r="I1270" s="26" t="n">
        <x:v>984.6</x:v>
      </x:c>
      <x:c r="J1270" s="26" t="n">
        <x:v>1843.2</x:v>
      </x:c>
      <x:c r="K1270" s="28" t="n">
        <x:v>0.1393</x:v>
      </x:c>
      <x:c r="L1270" s="26" t="n">
        <x:v>256.76</x:v>
      </x:c>
      <x:c r="M1270" t="n">
        <x:v>0</x:v>
      </x:c>
      <x:c r="N1270" s="26" t="n">
        <x:v>0</x:v>
      </x:c>
      <x:c r="O1270" s="26" t="n">
        <x:v>34.1</x:v>
      </x:c>
      <x:c r="P1270" s="26" t="n">
        <x:v>8.29</x:v>
      </x:c>
      <x:c r="Q1270" s="26" t="n">
        <x:v>15.67</x:v>
      </x:c>
      <x:c r="R1270" s="26" t="n">
        <x:v>19.35</x:v>
      </x:c>
      <x:c r="S1270" s="26" t="n">
        <x:v>179.34</x:v>
      </x:c>
    </x:row>
    <x:row r="1271">
      <x:c r="A1271" t="n">
        <x:v>501268</x:v>
      </x:c>
      <x:c r="B1271" s="24" t="n">
        <x:v>45910</x:v>
      </x:c>
      <x:c r="C1271" t="n">
        <x:v>1001</x:v>
      </x:c>
      <x:c r="D1271" t="str">
        <x:v>Seller 1001</x:v>
      </x:c>
      <x:c r="E1271" t="str">
        <x:v>Platinum</x:v>
      </x:c>
      <x:c r="F1271" t="str">
        <x:v>East</x:v>
      </x:c>
      <x:c r="G1271" t="str">
        <x:v>Electronics</x:v>
      </x:c>
      <x:c r="H1271" t="n">
        <x:v>3</x:v>
      </x:c>
      <x:c r="I1271" s="26" t="n">
        <x:v>2322.6</x:v>
      </x:c>
      <x:c r="J1271" s="26" t="n">
        <x:v>11485.2</x:v>
      </x:c>
      <x:c r="K1271" s="28" t="n">
        <x:v>0.1189</x:v>
      </x:c>
      <x:c r="L1271" s="26" t="n">
        <x:v>1365.59</x:v>
      </x:c>
      <x:c r="M1271" t="n">
        <x:v>1</x:v>
      </x:c>
      <x:c r="N1271" s="26" t="n">
        <x:v>8931</x:v>
      </x:c>
      <x:c r="O1271" s="26" t="n">
        <x:v>212.48</x:v>
      </x:c>
      <x:c r="P1271" s="26" t="n">
        <x:v>51.68</x:v>
      </x:c>
      <x:c r="Q1271" s="26" t="n">
        <x:v>97.62</x:v>
      </x:c>
      <x:c r="R1271" s="26" t="n">
        <x:v>120.59</x:v>
      </x:c>
      <x:c r="S1271" s="26" t="n">
        <x:v>704.59</x:v>
      </x:c>
    </x:row>
    <x:row r="1272">
      <x:c r="A1272" t="n">
        <x:v>501269</x:v>
      </x:c>
      <x:c r="B1272" s="24" t="n">
        <x:v>45924</x:v>
      </x:c>
      <x:c r="C1272" t="n">
        <x:v>1008</x:v>
      </x:c>
      <x:c r="D1272" t="str">
        <x:v>Seller 1008</x:v>
      </x:c>
      <x:c r="E1272" t="str">
        <x:v>Platinum</x:v>
      </x:c>
      <x:c r="F1272" t="str">
        <x:v>West</x:v>
      </x:c>
      <x:c r="G1272" t="str">
        <x:v>Beauty</x:v>
      </x:c>
      <x:c r="H1272" t="n">
        <x:v>1</x:v>
      </x:c>
      <x:c r="I1272" s="26" t="n">
        <x:v>2979.6</x:v>
      </x:c>
      <x:c r="J1272" s="26" t="n">
        <x:v>4911.6</x:v>
      </x:c>
      <x:c r="K1272" s="28" t="n">
        <x:v>0.1527</x:v>
      </x:c>
      <x:c r="L1272" s="26" t="n">
        <x:v>750</x:v>
      </x:c>
      <x:c r="M1272" t="n">
        <x:v>0</x:v>
      </x:c>
      <x:c r="N1272" s="26" t="n">
        <x:v>0</x:v>
      </x:c>
      <x:c r="O1272" s="26" t="n">
        <x:v>90.86</x:v>
      </x:c>
      <x:c r="P1272" s="26" t="n">
        <x:v>22.1</x:v>
      </x:c>
      <x:c r="Q1272" s="26" t="n">
        <x:v>41.75</x:v>
      </x:c>
      <x:c r="R1272" s="26" t="n">
        <x:v>51.57</x:v>
      </x:c>
      <x:c r="S1272" s="26" t="n">
        <x:v>543.71</x:v>
      </x:c>
    </x:row>
    <x:row r="1273">
      <x:c r="A1273" t="n">
        <x:v>501270</x:v>
      </x:c>
      <x:c r="B1273" s="24" t="n">
        <x:v>45924</x:v>
      </x:c>
      <x:c r="C1273" t="n">
        <x:v>1079</x:v>
      </x:c>
      <x:c r="D1273" t="str">
        <x:v>Seller 1079</x:v>
      </x:c>
      <x:c r="E1273" t="str">
        <x:v>Bronze</x:v>
      </x:c>
      <x:c r="F1273" t="str">
        <x:v>South</x:v>
      </x:c>
      <x:c r="G1273" t="str">
        <x:v>Beauty</x:v>
      </x:c>
      <x:c r="H1273" t="n">
        <x:v>3</x:v>
      </x:c>
      <x:c r="I1273" s="26" t="n">
        <x:v>653.4000000000001</x:v>
      </x:c>
      <x:c r="J1273" s="26" t="n">
        <x:v>1293</x:v>
      </x:c>
      <x:c r="K1273" s="28" t="n">
        <x:v>0.1434</x:v>
      </x:c>
      <x:c r="L1273" s="26" t="n">
        <x:v>185.42</x:v>
      </x:c>
      <x:c r="M1273" t="n">
        <x:v>0</x:v>
      </x:c>
      <x:c r="N1273" s="26" t="n">
        <x:v>0</x:v>
      </x:c>
      <x:c r="O1273" s="26" t="n">
        <x:v>23.92</x:v>
      </x:c>
      <x:c r="P1273" s="26" t="n">
        <x:v>5.82</x:v>
      </x:c>
      <x:c r="Q1273" s="26" t="n">
        <x:v>10.99</x:v>
      </x:c>
      <x:c r="R1273" s="26" t="n">
        <x:v>13.58</x:v>
      </x:c>
      <x:c r="S1273" s="26" t="n">
        <x:v>131.11</x:v>
      </x:c>
    </x:row>
    <x:row r="1274">
      <x:c r="A1274" t="n">
        <x:v>501271</x:v>
      </x:c>
      <x:c r="B1274" s="24" t="n">
        <x:v>45916</x:v>
      </x:c>
      <x:c r="C1274" t="n">
        <x:v>1031</x:v>
      </x:c>
      <x:c r="D1274" t="str">
        <x:v>Seller 1031</x:v>
      </x:c>
      <x:c r="E1274" t="str">
        <x:v>Silver</x:v>
      </x:c>
      <x:c r="F1274" t="str">
        <x:v>West</x:v>
      </x:c>
      <x:c r="G1274" t="str">
        <x:v>Home &amp; Kitchen</x:v>
      </x:c>
      <x:c r="H1274" t="n">
        <x:v>2</x:v>
      </x:c>
      <x:c r="I1274" s="26" t="n">
        <x:v>1965.6</x:v>
      </x:c>
      <x:c r="J1274" s="26" t="n">
        <x:v>3679.2</x:v>
      </x:c>
      <x:c r="K1274" s="28" t="n">
        <x:v>0.1344</x:v>
      </x:c>
      <x:c r="L1274" s="26" t="n">
        <x:v>494.48</x:v>
      </x:c>
      <x:c r="M1274" t="n">
        <x:v>0</x:v>
      </x:c>
      <x:c r="N1274" s="26" t="n">
        <x:v>0</x:v>
      </x:c>
      <x:c r="O1274" s="26" t="n">
        <x:v>68.07</x:v>
      </x:c>
      <x:c r="P1274" s="26" t="n">
        <x:v>16.56</x:v>
      </x:c>
      <x:c r="Q1274" s="26" t="n">
        <x:v>31.27</x:v>
      </x:c>
      <x:c r="R1274" s="26" t="n">
        <x:v>38.63</x:v>
      </x:c>
      <x:c r="S1274" s="26" t="n">
        <x:v>339.96</x:v>
      </x:c>
    </x:row>
    <x:row r="1275">
      <x:c r="A1275" t="n">
        <x:v>501272</x:v>
      </x:c>
      <x:c r="B1275" s="24" t="n">
        <x:v>45902</x:v>
      </x:c>
      <x:c r="C1275" t="n">
        <x:v>1064</x:v>
      </x:c>
      <x:c r="D1275" t="str">
        <x:v>Seller 1064</x:v>
      </x:c>
      <x:c r="E1275" t="str">
        <x:v>Bronze</x:v>
      </x:c>
      <x:c r="F1275" t="str">
        <x:v>Central</x:v>
      </x:c>
      <x:c r="G1275" t="str">
        <x:v>Pet Supplies</x:v>
      </x:c>
      <x:c r="H1275" t="n">
        <x:v>2</x:v>
      </x:c>
      <x:c r="I1275" s="26" t="n">
        <x:v>1803.6</x:v>
      </x:c>
      <x:c r="J1275" s="26" t="n">
        <x:v>2378.4</x:v>
      </x:c>
      <x:c r="K1275" s="28" t="n">
        <x:v>0.1392</x:v>
      </x:c>
      <x:c r="L1275" s="26" t="n">
        <x:v>331.07</x:v>
      </x:c>
      <x:c r="M1275" t="n">
        <x:v>0</x:v>
      </x:c>
      <x:c r="N1275" s="26" t="n">
        <x:v>0</x:v>
      </x:c>
      <x:c r="O1275" s="26" t="n">
        <x:v>44</x:v>
      </x:c>
      <x:c r="P1275" s="26" t="n">
        <x:v>10.7</x:v>
      </x:c>
      <x:c r="Q1275" s="26" t="n">
        <x:v>20.22</x:v>
      </x:c>
      <x:c r="R1275" s="26" t="n">
        <x:v>24.97</x:v>
      </x:c>
      <x:c r="S1275" s="26" t="n">
        <x:v>231.18</x:v>
      </x:c>
    </x:row>
    <x:row r="1276">
      <x:c r="A1276" t="n">
        <x:v>501273</x:v>
      </x:c>
      <x:c r="B1276" s="24" t="n">
        <x:v>45919</x:v>
      </x:c>
      <x:c r="C1276" t="n">
        <x:v>1004</x:v>
      </x:c>
      <x:c r="D1276" t="str">
        <x:v>Seller 1004</x:v>
      </x:c>
      <x:c r="E1276" t="str">
        <x:v>Platinum</x:v>
      </x:c>
      <x:c r="F1276" t="str">
        <x:v>East</x:v>
      </x:c>
      <x:c r="G1276" t="str">
        <x:v>Sports</x:v>
      </x:c>
      <x:c r="H1276" t="n">
        <x:v>3</x:v>
      </x:c>
      <x:c r="I1276" s="26" t="n">
        <x:v>1768.1999999999998</x:v>
      </x:c>
      <x:c r="J1276" s="26" t="n">
        <x:v>8744.4</x:v>
      </x:c>
      <x:c r="K1276" s="28" t="n">
        <x:v>0.1299</x:v>
      </x:c>
      <x:c r="L1276" s="26" t="n">
        <x:v>1135.9</x:v>
      </x:c>
      <x:c r="M1276" t="n">
        <x:v>0</x:v>
      </x:c>
      <x:c r="N1276" s="26" t="n">
        <x:v>0</x:v>
      </x:c>
      <x:c r="O1276" s="26" t="n">
        <x:v>161.77</x:v>
      </x:c>
      <x:c r="P1276" s="26" t="n">
        <x:v>39.35</x:v>
      </x:c>
      <x:c r="Q1276" s="26" t="n">
        <x:v>74.33</x:v>
      </x:c>
      <x:c r="R1276" s="26" t="n">
        <x:v>91.82</x:v>
      </x:c>
      <x:c r="S1276" s="26" t="n">
        <x:v>768.63</x:v>
      </x:c>
    </x:row>
    <x:row r="1277">
      <x:c r="A1277" t="n">
        <x:v>501274</x:v>
      </x:c>
      <x:c r="B1277" s="24" t="n">
        <x:v>45898</x:v>
      </x:c>
      <x:c r="C1277" t="n">
        <x:v>1080</x:v>
      </x:c>
      <x:c r="D1277" t="str">
        <x:v>Seller 1080</x:v>
      </x:c>
      <x:c r="E1277" t="str">
        <x:v>Bronze</x:v>
      </x:c>
      <x:c r="F1277" t="str">
        <x:v>South</x:v>
      </x:c>
      <x:c r="G1277" t="str">
        <x:v>Beauty</x:v>
      </x:c>
      <x:c r="H1277" t="n">
        <x:v>3</x:v>
      </x:c>
      <x:c r="I1277" s="26" t="n">
        <x:v>772.1999999999999</x:v>
      </x:c>
      <x:c r="J1277" s="26" t="n">
        <x:v>1527</x:v>
      </x:c>
      <x:c r="K1277" s="28" t="n">
        <x:v>0.1363</x:v>
      </x:c>
      <x:c r="L1277" s="26" t="n">
        <x:v>208.13</x:v>
      </x:c>
      <x:c r="M1277" t="n">
        <x:v>0</x:v>
      </x:c>
      <x:c r="N1277" s="26" t="n">
        <x:v>0</x:v>
      </x:c>
      <x:c r="O1277" s="26" t="n">
        <x:v>28.25</x:v>
      </x:c>
      <x:c r="P1277" s="26" t="n">
        <x:v>6.87</x:v>
      </x:c>
      <x:c r="Q1277" s="26" t="n">
        <x:v>12.98</x:v>
      </x:c>
      <x:c r="R1277" s="26" t="n">
        <x:v>16.03</x:v>
      </x:c>
      <x:c r="S1277" s="26" t="n">
        <x:v>144</x:v>
      </x:c>
    </x:row>
    <x:row r="1278">
      <x:c r="A1278" t="n">
        <x:v>501275</x:v>
      </x:c>
      <x:c r="B1278" s="24" t="n">
        <x:v>45900</x:v>
      </x:c>
      <x:c r="C1278" t="n">
        <x:v>1021</x:v>
      </x:c>
      <x:c r="D1278" t="str">
        <x:v>Seller 1021</x:v>
      </x:c>
      <x:c r="E1278" t="str">
        <x:v>Gold</x:v>
      </x:c>
      <x:c r="F1278" t="str">
        <x:v>Central</x:v>
      </x:c>
      <x:c r="G1278" t="str">
        <x:v>Pet Supplies</x:v>
      </x:c>
      <x:c r="H1278" t="n">
        <x:v>3</x:v>
      </x:c>
      <x:c r="I1278" s="26" t="n">
        <x:v>807.6</x:v>
      </x:c>
      <x:c r="J1278" s="26" t="n">
        <x:v>2963.4</x:v>
      </x:c>
      <x:c r="K1278" s="28" t="n">
        <x:v>0.1284</x:v>
      </x:c>
      <x:c r="L1278" s="26" t="n">
        <x:v>380.5</x:v>
      </x:c>
      <x:c r="M1278" t="n">
        <x:v>0</x:v>
      </x:c>
      <x:c r="N1278" s="26" t="n">
        <x:v>0</x:v>
      </x:c>
      <x:c r="O1278" s="26" t="n">
        <x:v>54.82</x:v>
      </x:c>
      <x:c r="P1278" s="26" t="n">
        <x:v>13.34</x:v>
      </x:c>
      <x:c r="Q1278" s="26" t="n">
        <x:v>25.19</x:v>
      </x:c>
      <x:c r="R1278" s="26" t="n">
        <x:v>31.12</x:v>
      </x:c>
      <x:c r="S1278" s="26" t="n">
        <x:v>256.04</x:v>
      </x:c>
    </x:row>
    <x:row r="1279">
      <x:c r="A1279" t="n">
        <x:v>501276</x:v>
      </x:c>
      <x:c r="B1279" s="24" t="n">
        <x:v>45906</x:v>
      </x:c>
      <x:c r="C1279" t="n">
        <x:v>1023</x:v>
      </x:c>
      <x:c r="D1279" t="str">
        <x:v>Seller 1023</x:v>
      </x:c>
      <x:c r="E1279" t="str">
        <x:v>Gold</x:v>
      </x:c>
      <x:c r="F1279" t="str">
        <x:v>Central</x:v>
      </x:c>
      <x:c r="G1279" t="str">
        <x:v>Home &amp; Kitchen</x:v>
      </x:c>
      <x:c r="H1279" t="n">
        <x:v>1</x:v>
      </x:c>
      <x:c r="I1279" s="26" t="n">
        <x:v>5423.4</x:v>
      </x:c>
      <x:c r="J1279" s="26" t="n">
        <x:v>6632.4</x:v>
      </x:c>
      <x:c r="K1279" s="28" t="n">
        <x:v>0.1311</x:v>
      </x:c>
      <x:c r="L1279" s="26" t="n">
        <x:v>869.51</x:v>
      </x:c>
      <x:c r="M1279" t="n">
        <x:v>0</x:v>
      </x:c>
      <x:c r="N1279" s="26" t="n">
        <x:v>0</x:v>
      </x:c>
      <x:c r="O1279" s="26" t="n">
        <x:v>122.7</x:v>
      </x:c>
      <x:c r="P1279" s="26" t="n">
        <x:v>29.85</x:v>
      </x:c>
      <x:c r="Q1279" s="26" t="n">
        <x:v>56.38</x:v>
      </x:c>
      <x:c r="R1279" s="26" t="n">
        <x:v>69.64</x:v>
      </x:c>
      <x:c r="S1279" s="26" t="n">
        <x:v>590.95</x:v>
      </x:c>
    </x:row>
    <x:row r="1280">
      <x:c r="A1280" t="n">
        <x:v>501277</x:v>
      </x:c>
      <x:c r="B1280" s="24" t="n">
        <x:v>45916</x:v>
      </x:c>
      <x:c r="C1280" t="n">
        <x:v>1039</x:v>
      </x:c>
      <x:c r="D1280" t="str">
        <x:v>Seller 1039</x:v>
      </x:c>
      <x:c r="E1280" t="str">
        <x:v>Silver</x:v>
      </x:c>
      <x:c r="F1280" t="str">
        <x:v>East</x:v>
      </x:c>
      <x:c r="G1280" t="str">
        <x:v>Electronics</x:v>
      </x:c>
      <x:c r="H1280" t="n">
        <x:v>3</x:v>
      </x:c>
      <x:c r="I1280" s="26" t="n">
        <x:v>2396.3999999999996</x:v>
      </x:c>
      <x:c r="J1280" s="26" t="n">
        <x:v>6727.8</x:v>
      </x:c>
      <x:c r="K1280" s="28" t="n">
        <x:v>0.122</x:v>
      </x:c>
      <x:c r="L1280" s="26" t="n">
        <x:v>820.79</x:v>
      </x:c>
      <x:c r="M1280" t="n">
        <x:v>0</x:v>
      </x:c>
      <x:c r="N1280" s="26" t="n">
        <x:v>0</x:v>
      </x:c>
      <x:c r="O1280" s="26" t="n">
        <x:v>124.46</x:v>
      </x:c>
      <x:c r="P1280" s="26" t="n">
        <x:v>30.28</x:v>
      </x:c>
      <x:c r="Q1280" s="26" t="n">
        <x:v>57.19</x:v>
      </x:c>
      <x:c r="R1280" s="26" t="n">
        <x:v>70.64</x:v>
      </x:c>
      <x:c r="S1280" s="26" t="n">
        <x:v>538.22</x:v>
      </x:c>
    </x:row>
    <x:row r="1281">
      <x:c r="A1281" t="n">
        <x:v>501278</x:v>
      </x:c>
      <x:c r="B1281" s="24" t="n">
        <x:v>45924</x:v>
      </x:c>
      <x:c r="C1281" t="n">
        <x:v>1065</x:v>
      </x:c>
      <x:c r="D1281" t="str">
        <x:v>Seller 1065</x:v>
      </x:c>
      <x:c r="E1281" t="str">
        <x:v>Bronze</x:v>
      </x:c>
      <x:c r="F1281" t="str">
        <x:v>South</x:v>
      </x:c>
      <x:c r="G1281" t="str">
        <x:v>Sports</x:v>
      </x:c>
      <x:c r="H1281" t="n">
        <x:v>2</x:v>
      </x:c>
      <x:c r="I1281" s="26" t="n">
        <x:v>2843.4</x:v>
      </x:c>
      <x:c r="J1281" s="26" t="n">
        <x:v>3749.4</x:v>
      </x:c>
      <x:c r="K1281" s="28" t="n">
        <x:v>0.1301</x:v>
      </x:c>
      <x:c r="L1281" s="26" t="n">
        <x:v>487.8</x:v>
      </x:c>
      <x:c r="M1281" t="n">
        <x:v>0</x:v>
      </x:c>
      <x:c r="N1281" s="26" t="n">
        <x:v>0</x:v>
      </x:c>
      <x:c r="O1281" s="26" t="n">
        <x:v>69.36</x:v>
      </x:c>
      <x:c r="P1281" s="26" t="n">
        <x:v>16.87</x:v>
      </x:c>
      <x:c r="Q1281" s="26" t="n">
        <x:v>31.87</x:v>
      </x:c>
      <x:c r="R1281" s="26" t="n">
        <x:v>39.37</x:v>
      </x:c>
      <x:c r="S1281" s="26" t="n">
        <x:v>330.32</x:v>
      </x:c>
    </x:row>
    <x:row r="1282">
      <x:c r="A1282" t="n">
        <x:v>501279</x:v>
      </x:c>
      <x:c r="B1282" s="24" t="n">
        <x:v>45919</x:v>
      </x:c>
      <x:c r="C1282" t="n">
        <x:v>1052</x:v>
      </x:c>
      <x:c r="D1282" t="str">
        <x:v>Seller 1052</x:v>
      </x:c>
      <x:c r="E1282" t="str">
        <x:v>Silver</x:v>
      </x:c>
      <x:c r="F1282" t="str">
        <x:v>Central</x:v>
      </x:c>
      <x:c r="G1282" t="str">
        <x:v>Pet Supplies</x:v>
      </x:c>
      <x:c r="H1282" t="n">
        <x:v>4</x:v>
      </x:c>
      <x:c r="I1282" s="26" t="n">
        <x:v>855</x:v>
      </x:c>
      <x:c r="J1282" s="26" t="n">
        <x:v>3199.8</x:v>
      </x:c>
      <x:c r="K1282" s="28" t="n">
        <x:v>0.1256</x:v>
      </x:c>
      <x:c r="L1282" s="26" t="n">
        <x:v>401.89</x:v>
      </x:c>
      <x:c r="M1282" t="n">
        <x:v>0</x:v>
      </x:c>
      <x:c r="N1282" s="26" t="n">
        <x:v>0</x:v>
      </x:c>
      <x:c r="O1282" s="26" t="n">
        <x:v>59.2</x:v>
      </x:c>
      <x:c r="P1282" s="26" t="n">
        <x:v>14.4</x:v>
      </x:c>
      <x:c r="Q1282" s="26" t="n">
        <x:v>27.2</x:v>
      </x:c>
      <x:c r="R1282" s="26" t="n">
        <x:v>33.6</x:v>
      </x:c>
      <x:c r="S1282" s="26" t="n">
        <x:v>267.5</x:v>
      </x:c>
    </x:row>
    <x:row r="1283">
      <x:c r="A1283" t="n">
        <x:v>501280</x:v>
      </x:c>
      <x:c r="B1283" s="24" t="n">
        <x:v>45926</x:v>
      </x:c>
      <x:c r="C1283" t="n">
        <x:v>1061</x:v>
      </x:c>
      <x:c r="D1283" t="str">
        <x:v>Seller 1061</x:v>
      </x:c>
      <x:c r="E1283" t="str">
        <x:v>Bronze</x:v>
      </x:c>
      <x:c r="F1283" t="str">
        <x:v>Central</x:v>
      </x:c>
      <x:c r="G1283" t="str">
        <x:v>Electronics</x:v>
      </x:c>
      <x:c r="H1283" t="n">
        <x:v>2</x:v>
      </x:c>
      <x:c r="I1283" s="26" t="n">
        <x:v>5538.6</x:v>
      </x:c>
      <x:c r="J1283" s="26" t="n">
        <x:v>7303.8</x:v>
      </x:c>
      <x:c r="K1283" s="28" t="n">
        <x:v>0.135</x:v>
      </x:c>
      <x:c r="L1283" s="26" t="n">
        <x:v>986.01</x:v>
      </x:c>
      <x:c r="M1283" t="n">
        <x:v>0</x:v>
      </x:c>
      <x:c r="N1283" s="26" t="n">
        <x:v>0</x:v>
      </x:c>
      <x:c r="O1283" s="26" t="n">
        <x:v>135.12</x:v>
      </x:c>
      <x:c r="P1283" s="26" t="n">
        <x:v>32.87</x:v>
      </x:c>
      <x:c r="Q1283" s="26" t="n">
        <x:v>62.08</x:v>
      </x:c>
      <x:c r="R1283" s="26" t="n">
        <x:v>76.69</x:v>
      </x:c>
      <x:c r="S1283" s="26" t="n">
        <x:v>679.25</x:v>
      </x:c>
    </x:row>
    <x:row r="1284">
      <x:c r="A1284" t="n">
        <x:v>501281</x:v>
      </x:c>
      <x:c r="B1284" s="24" t="n">
        <x:v>45899</x:v>
      </x:c>
      <x:c r="C1284" t="n">
        <x:v>1023</x:v>
      </x:c>
      <x:c r="D1284" t="str">
        <x:v>Seller 1023</x:v>
      </x:c>
      <x:c r="E1284" t="str">
        <x:v>Gold</x:v>
      </x:c>
      <x:c r="F1284" t="str">
        <x:v>Central</x:v>
      </x:c>
      <x:c r="G1284" t="str">
        <x:v>Home &amp; Kitchen</x:v>
      </x:c>
      <x:c r="H1284" t="n">
        <x:v>1</x:v>
      </x:c>
      <x:c r="I1284" s="26" t="n">
        <x:v>5625.6</x:v>
      </x:c>
      <x:c r="J1284" s="26" t="n">
        <x:v>6879.6</x:v>
      </x:c>
      <x:c r="K1284" s="28" t="n">
        <x:v>0.1451</x:v>
      </x:c>
      <x:c r="L1284" s="26" t="n">
        <x:v>998.23</x:v>
      </x:c>
      <x:c r="M1284" t="n">
        <x:v>0</x:v>
      </x:c>
      <x:c r="N1284" s="26" t="n">
        <x:v>0</x:v>
      </x:c>
      <x:c r="O1284" s="26" t="n">
        <x:v>127.27</x:v>
      </x:c>
      <x:c r="P1284" s="26" t="n">
        <x:v>30.96</x:v>
      </x:c>
      <x:c r="Q1284" s="26" t="n">
        <x:v>58.48</x:v>
      </x:c>
      <x:c r="R1284" s="26" t="n">
        <x:v>72.24</x:v>
      </x:c>
      <x:c r="S1284" s="26" t="n">
        <x:v>709.29</x:v>
      </x:c>
    </x:row>
    <x:row r="1285">
      <x:c r="A1285" t="n">
        <x:v>501282</x:v>
      </x:c>
      <x:c r="B1285" s="24" t="n">
        <x:v>45912</x:v>
      </x:c>
      <x:c r="C1285" t="n">
        <x:v>1010</x:v>
      </x:c>
      <x:c r="D1285" t="str">
        <x:v>Seller 1010</x:v>
      </x:c>
      <x:c r="E1285" t="str">
        <x:v>Platinum</x:v>
      </x:c>
      <x:c r="F1285" t="str">
        <x:v>West</x:v>
      </x:c>
      <x:c r="G1285" t="str">
        <x:v>Home &amp; Kitchen</x:v>
      </x:c>
      <x:c r="H1285" t="n">
        <x:v>1</x:v>
      </x:c>
      <x:c r="I1285" s="26" t="n">
        <x:v>5314.8</x:v>
      </x:c>
      <x:c r="J1285" s="26" t="n">
        <x:v>8761.2</x:v>
      </x:c>
      <x:c r="K1285" s="28" t="n">
        <x:v>0.1237</x:v>
      </x:c>
      <x:c r="L1285" s="26" t="n">
        <x:v>1083.76</x:v>
      </x:c>
      <x:c r="M1285" t="n">
        <x:v>0</x:v>
      </x:c>
      <x:c r="N1285" s="26" t="n">
        <x:v>0</x:v>
      </x:c>
      <x:c r="O1285" s="26" t="n">
        <x:v>162.08</x:v>
      </x:c>
      <x:c r="P1285" s="26" t="n">
        <x:v>39.43</x:v>
      </x:c>
      <x:c r="Q1285" s="26" t="n">
        <x:v>74.47</x:v>
      </x:c>
      <x:c r="R1285" s="26" t="n">
        <x:v>91.99</x:v>
      </x:c>
      <x:c r="S1285" s="26" t="n">
        <x:v>715.79</x:v>
      </x:c>
    </x:row>
    <x:row r="1286">
      <x:c r="A1286" t="n">
        <x:v>501283</x:v>
      </x:c>
      <x:c r="B1286" s="24" t="n">
        <x:v>45905</x:v>
      </x:c>
      <x:c r="C1286" t="n">
        <x:v>1049</x:v>
      </x:c>
      <x:c r="D1286" t="str">
        <x:v>Seller 1049</x:v>
      </x:c>
      <x:c r="E1286" t="str">
        <x:v>Silver</x:v>
      </x:c>
      <x:c r="F1286" t="str">
        <x:v>West</x:v>
      </x:c>
      <x:c r="G1286" t="str">
        <x:v>Home &amp; Kitchen</x:v>
      </x:c>
      <x:c r="H1286" t="n">
        <x:v>1</x:v>
      </x:c>
      <x:c r="I1286" s="26" t="n">
        <x:v>4538.4</x:v>
      </x:c>
      <x:c r="J1286" s="26" t="n">
        <x:v>4247.4</x:v>
      </x:c>
      <x:c r="K1286" s="28" t="n">
        <x:v>0.1277</x:v>
      </x:c>
      <x:c r="L1286" s="26" t="n">
        <x:v>542.39</x:v>
      </x:c>
      <x:c r="M1286" t="n">
        <x:v>0</x:v>
      </x:c>
      <x:c r="N1286" s="26" t="n">
        <x:v>0</x:v>
      </x:c>
      <x:c r="O1286" s="26" t="n">
        <x:v>78.58</x:v>
      </x:c>
      <x:c r="P1286" s="26" t="n">
        <x:v>19.11</x:v>
      </x:c>
      <x:c r="Q1286" s="26" t="n">
        <x:v>36.1</x:v>
      </x:c>
      <x:c r="R1286" s="26" t="n">
        <x:v>44.6</x:v>
      </x:c>
      <x:c r="S1286" s="26" t="n">
        <x:v>364</x:v>
      </x:c>
    </x:row>
    <x:row r="1287">
      <x:c r="A1287" t="n">
        <x:v>501284</x:v>
      </x:c>
      <x:c r="B1287" s="24" t="n">
        <x:v>45919</x:v>
      </x:c>
      <x:c r="C1287" t="n">
        <x:v>1026</x:v>
      </x:c>
      <x:c r="D1287" t="str">
        <x:v>Seller 1026</x:v>
      </x:c>
      <x:c r="E1287" t="str">
        <x:v>Gold</x:v>
      </x:c>
      <x:c r="F1287" t="str">
        <x:v>East</x:v>
      </x:c>
      <x:c r="G1287" t="str">
        <x:v>Apparel</x:v>
      </x:c>
      <x:c r="H1287" t="n">
        <x:v>3</x:v>
      </x:c>
      <x:c r="I1287" s="26" t="n">
        <x:v>765.6</x:v>
      </x:c>
      <x:c r="J1287" s="26" t="n">
        <x:v>2809.2</x:v>
      </x:c>
      <x:c r="K1287" s="28" t="n">
        <x:v>0.1126</x:v>
      </x:c>
      <x:c r="L1287" s="26" t="n">
        <x:v>316.32</x:v>
      </x:c>
      <x:c r="M1287" t="n">
        <x:v>0</x:v>
      </x:c>
      <x:c r="N1287" s="26" t="n">
        <x:v>0</x:v>
      </x:c>
      <x:c r="O1287" s="26" t="n">
        <x:v>51.97</x:v>
      </x:c>
      <x:c r="P1287" s="26" t="n">
        <x:v>12.64</x:v>
      </x:c>
      <x:c r="Q1287" s="26" t="n">
        <x:v>23.88</x:v>
      </x:c>
      <x:c r="R1287" s="26" t="n">
        <x:v>29.5</x:v>
      </x:c>
      <x:c r="S1287" s="26" t="n">
        <x:v>198.33</x:v>
      </x:c>
    </x:row>
    <x:row r="1288">
      <x:c r="A1288" t="n">
        <x:v>501285</x:v>
      </x:c>
      <x:c r="B1288" s="24" t="n">
        <x:v>45900</x:v>
      </x:c>
      <x:c r="C1288" t="n">
        <x:v>1013</x:v>
      </x:c>
      <x:c r="D1288" t="str">
        <x:v>Seller 1013</x:v>
      </x:c>
      <x:c r="E1288" t="str">
        <x:v>Gold</x:v>
      </x:c>
      <x:c r="F1288" t="str">
        <x:v>West</x:v>
      </x:c>
      <x:c r="G1288" t="str">
        <x:v>Electronics</x:v>
      </x:c>
      <x:c r="H1288" t="n">
        <x:v>3</x:v>
      </x:c>
      <x:c r="I1288" s="26" t="n">
        <x:v>1531.2</x:v>
      </x:c>
      <x:c r="J1288" s="26" t="n">
        <x:v>5617.2</x:v>
      </x:c>
      <x:c r="K1288" s="28" t="n">
        <x:v>0.1216</x:v>
      </x:c>
      <x:c r="L1288" s="26" t="n">
        <x:v>683.05</x:v>
      </x:c>
      <x:c r="M1288" t="n">
        <x:v>0</x:v>
      </x:c>
      <x:c r="N1288" s="26" t="n">
        <x:v>0</x:v>
      </x:c>
      <x:c r="O1288" s="26" t="n">
        <x:v>103.92</x:v>
      </x:c>
      <x:c r="P1288" s="26" t="n">
        <x:v>25.28</x:v>
      </x:c>
      <x:c r="Q1288" s="26" t="n">
        <x:v>47.75</x:v>
      </x:c>
      <x:c r="R1288" s="26" t="n">
        <x:v>58.98</x:v>
      </x:c>
      <x:c r="S1288" s="26" t="n">
        <x:v>447.13</x:v>
      </x:c>
    </x:row>
    <x:row r="1289">
      <x:c r="A1289" t="n">
        <x:v>501286</x:v>
      </x:c>
      <x:c r="B1289" s="24" t="n">
        <x:v>45916</x:v>
      </x:c>
      <x:c r="C1289" t="n">
        <x:v>1044</x:v>
      </x:c>
      <x:c r="D1289" t="str">
        <x:v>Seller 1044</x:v>
      </x:c>
      <x:c r="E1289" t="str">
        <x:v>Silver</x:v>
      </x:c>
      <x:c r="F1289" t="str">
        <x:v>East</x:v>
      </x:c>
      <x:c r="G1289" t="str">
        <x:v>Pet Supplies</x:v>
      </x:c>
      <x:c r="H1289" t="n">
        <x:v>2</x:v>
      </x:c>
      <x:c r="I1289" s="26" t="n">
        <x:v>1015.2</x:v>
      </x:c>
      <x:c r="J1289" s="26" t="n">
        <x:v>1900.2</x:v>
      </x:c>
      <x:c r="K1289" s="28" t="n">
        <x:v>0.1354</x:v>
      </x:c>
      <x:c r="L1289" s="26" t="n">
        <x:v>257.29</x:v>
      </x:c>
      <x:c r="M1289" t="n">
        <x:v>0</x:v>
      </x:c>
      <x:c r="N1289" s="26" t="n">
        <x:v>0</x:v>
      </x:c>
      <x:c r="O1289" s="26" t="n">
        <x:v>35.15</x:v>
      </x:c>
      <x:c r="P1289" s="26" t="n">
        <x:v>8.55</x:v>
      </x:c>
      <x:c r="Q1289" s="26" t="n">
        <x:v>16.15</x:v>
      </x:c>
      <x:c r="R1289" s="26" t="n">
        <x:v>19.95</x:v>
      </x:c>
      <x:c r="S1289" s="26" t="n">
        <x:v>177.48</x:v>
      </x:c>
    </x:row>
    <x:row r="1290">
      <x:c r="A1290" t="n">
        <x:v>501287</x:v>
      </x:c>
      <x:c r="B1290" s="24" t="n">
        <x:v>45918</x:v>
      </x:c>
      <x:c r="C1290" t="n">
        <x:v>1061</x:v>
      </x:c>
      <x:c r="D1290" t="str">
        <x:v>Seller 1061</x:v>
      </x:c>
      <x:c r="E1290" t="str">
        <x:v>Bronze</x:v>
      </x:c>
      <x:c r="F1290" t="str">
        <x:v>Central</x:v>
      </x:c>
      <x:c r="G1290" t="str">
        <x:v>Electronics</x:v>
      </x:c>
      <x:c r="H1290" t="n">
        <x:v>1</x:v>
      </x:c>
      <x:c r="I1290" s="26" t="n">
        <x:v>9871.2</x:v>
      </x:c>
      <x:c r="J1290" s="26" t="n">
        <x:v>6508.8</x:v>
      </x:c>
      <x:c r="K1290" s="28" t="n">
        <x:v>0.1335</x:v>
      </x:c>
      <x:c r="L1290" s="26" t="n">
        <x:v>868.92</x:v>
      </x:c>
      <x:c r="M1290" t="n">
        <x:v>0</x:v>
      </x:c>
      <x:c r="N1290" s="26" t="n">
        <x:v>0</x:v>
      </x:c>
      <x:c r="O1290" s="26" t="n">
        <x:v>120.41</x:v>
      </x:c>
      <x:c r="P1290" s="26" t="n">
        <x:v>29.29</x:v>
      </x:c>
      <x:c r="Q1290" s="26" t="n">
        <x:v>55.32</x:v>
      </x:c>
      <x:c r="R1290" s="26" t="n">
        <x:v>68.34</x:v>
      </x:c>
      <x:c r="S1290" s="26" t="n">
        <x:v>595.56</x:v>
      </x:c>
    </x:row>
    <x:row r="1291">
      <x:c r="A1291" t="n">
        <x:v>501288</x:v>
      </x:c>
      <x:c r="B1291" s="24" t="n">
        <x:v>45917</x:v>
      </x:c>
      <x:c r="C1291" t="n">
        <x:v>1049</x:v>
      </x:c>
      <x:c r="D1291" t="str">
        <x:v>Seller 1049</x:v>
      </x:c>
      <x:c r="E1291" t="str">
        <x:v>Silver</x:v>
      </x:c>
      <x:c r="F1291" t="str">
        <x:v>West</x:v>
      </x:c>
      <x:c r="G1291" t="str">
        <x:v>Sports</x:v>
      </x:c>
      <x:c r="H1291" t="n">
        <x:v>3</x:v>
      </x:c>
      <x:c r="I1291" s="26" t="n">
        <x:v>1820.4</x:v>
      </x:c>
      <x:c r="J1291" s="26" t="n">
        <x:v>5110.8</x:v>
      </x:c>
      <x:c r="K1291" s="28" t="n">
        <x:v>0.1232</x:v>
      </x:c>
      <x:c r="L1291" s="26" t="n">
        <x:v>629.65</x:v>
      </x:c>
      <x:c r="M1291" t="n">
        <x:v>0</x:v>
      </x:c>
      <x:c r="N1291" s="26" t="n">
        <x:v>0</x:v>
      </x:c>
      <x:c r="O1291" s="26" t="n">
        <x:v>94.55</x:v>
      </x:c>
      <x:c r="P1291" s="26" t="n">
        <x:v>23</x:v>
      </x:c>
      <x:c r="Q1291" s="26" t="n">
        <x:v>43.44</x:v>
      </x:c>
      <x:c r="R1291" s="26" t="n">
        <x:v>53.66</x:v>
      </x:c>
      <x:c r="S1291" s="26" t="n">
        <x:v>415</x:v>
      </x:c>
    </x:row>
    <x:row r="1292">
      <x:c r="A1292" t="n">
        <x:v>501289</x:v>
      </x:c>
      <x:c r="B1292" s="24" t="n">
        <x:v>45900</x:v>
      </x:c>
      <x:c r="C1292" t="n">
        <x:v>1070</x:v>
      </x:c>
      <x:c r="D1292" t="str">
        <x:v>Seller 1070</x:v>
      </x:c>
      <x:c r="E1292" t="str">
        <x:v>Bronze</x:v>
      </x:c>
      <x:c r="F1292" t="str">
        <x:v>West</x:v>
      </x:c>
      <x:c r="G1292" t="str">
        <x:v>Electronics</x:v>
      </x:c>
      <x:c r="H1292" t="n">
        <x:v>2</x:v>
      </x:c>
      <x:c r="I1292" s="26" t="n">
        <x:v>5982</x:v>
      </x:c>
      <x:c r="J1292" s="26" t="n">
        <x:v>7888.8</x:v>
      </x:c>
      <x:c r="K1292" s="28" t="n">
        <x:v>0.1351</x:v>
      </x:c>
      <x:c r="L1292" s="26" t="n">
        <x:v>1065.78</x:v>
      </x:c>
      <x:c r="M1292" t="n">
        <x:v>0</x:v>
      </x:c>
      <x:c r="N1292" s="26" t="n">
        <x:v>0</x:v>
      </x:c>
      <x:c r="O1292" s="26" t="n">
        <x:v>145.94</x:v>
      </x:c>
      <x:c r="P1292" s="26" t="n">
        <x:v>35.5</x:v>
      </x:c>
      <x:c r="Q1292" s="26" t="n">
        <x:v>67.05</x:v>
      </x:c>
      <x:c r="R1292" s="26" t="n">
        <x:v>82.83</x:v>
      </x:c>
      <x:c r="S1292" s="26" t="n">
        <x:v>734.45</x:v>
      </x:c>
    </x:row>
    <x:row r="1293">
      <x:c r="A1293" t="n">
        <x:v>501290</x:v>
      </x:c>
      <x:c r="B1293" s="24" t="n">
        <x:v>45917</x:v>
      </x:c>
      <x:c r="C1293" t="n">
        <x:v>1021</x:v>
      </x:c>
      <x:c r="D1293" t="str">
        <x:v>Seller 1021</x:v>
      </x:c>
      <x:c r="E1293" t="str">
        <x:v>Gold</x:v>
      </x:c>
      <x:c r="F1293" t="str">
        <x:v>Central</x:v>
      </x:c>
      <x:c r="G1293" t="str">
        <x:v>Electronics</x:v>
      </x:c>
      <x:c r="H1293" t="n">
        <x:v>1</x:v>
      </x:c>
      <x:c r="I1293" s="26" t="n">
        <x:v>8589</x:v>
      </x:c>
      <x:c r="J1293" s="26" t="n">
        <x:v>10504.2</x:v>
      </x:c>
      <x:c r="K1293" s="28" t="n">
        <x:v>0.1254</x:v>
      </x:c>
      <x:c r="L1293" s="26" t="n">
        <x:v>1317.23</x:v>
      </x:c>
      <x:c r="M1293" t="n">
        <x:v>0</x:v>
      </x:c>
      <x:c r="N1293" s="26" t="n">
        <x:v>0</x:v>
      </x:c>
      <x:c r="O1293" s="26" t="n">
        <x:v>194.33</x:v>
      </x:c>
      <x:c r="P1293" s="26" t="n">
        <x:v>47.27</x:v>
      </x:c>
      <x:c r="Q1293" s="26" t="n">
        <x:v>89.29</x:v>
      </x:c>
      <x:c r="R1293" s="26" t="n">
        <x:v>110.29</x:v>
      </x:c>
      <x:c r="S1293" s="26" t="n">
        <x:v>876.05</x:v>
      </x:c>
    </x:row>
    <x:row r="1294">
      <x:c r="A1294" t="n">
        <x:v>501291</x:v>
      </x:c>
      <x:c r="B1294" s="24" t="n">
        <x:v>45899</x:v>
      </x:c>
      <x:c r="C1294" t="n">
        <x:v>1008</x:v>
      </x:c>
      <x:c r="D1294" t="str">
        <x:v>Seller 1008</x:v>
      </x:c>
      <x:c r="E1294" t="str">
        <x:v>Platinum</x:v>
      </x:c>
      <x:c r="F1294" t="str">
        <x:v>West</x:v>
      </x:c>
      <x:c r="G1294" t="str">
        <x:v>Electronics</x:v>
      </x:c>
      <x:c r="H1294" t="n">
        <x:v>3</x:v>
      </x:c>
      <x:c r="I1294" s="26" t="n">
        <x:v>2321.3999999999996</x:v>
      </x:c>
      <x:c r="J1294" s="26" t="n">
        <x:v>11480.4</x:v>
      </x:c>
      <x:c r="K1294" s="28" t="n">
        <x:v>0.1355</x:v>
      </x:c>
      <x:c r="L1294" s="26" t="n">
        <x:v>1555.59</x:v>
      </x:c>
      <x:c r="M1294" t="n">
        <x:v>0</x:v>
      </x:c>
      <x:c r="N1294" s="26" t="n">
        <x:v>0</x:v>
      </x:c>
      <x:c r="O1294" s="26" t="n">
        <x:v>212.39</x:v>
      </x:c>
      <x:c r="P1294" s="26" t="n">
        <x:v>51.66</x:v>
      </x:c>
      <x:c r="Q1294" s="26" t="n">
        <x:v>97.58</x:v>
      </x:c>
      <x:c r="R1294" s="26" t="n">
        <x:v>120.54</x:v>
      </x:c>
      <x:c r="S1294" s="26" t="n">
        <x:v>1073.42</x:v>
      </x:c>
    </x:row>
    <x:row r="1295">
      <x:c r="A1295" t="n">
        <x:v>501292</x:v>
      </x:c>
      <x:c r="B1295" s="24" t="n">
        <x:v>45908</x:v>
      </x:c>
      <x:c r="C1295" t="n">
        <x:v>1044</x:v>
      </x:c>
      <x:c r="D1295" t="str">
        <x:v>Seller 1044</x:v>
      </x:c>
      <x:c r="E1295" t="str">
        <x:v>Silver</x:v>
      </x:c>
      <x:c r="F1295" t="str">
        <x:v>East</x:v>
      </x:c>
      <x:c r="G1295" t="str">
        <x:v>Pet Supplies</x:v>
      </x:c>
      <x:c r="H1295" t="n">
        <x:v>3</x:v>
      </x:c>
      <x:c r="I1295" s="26" t="n">
        <x:v>1537.2</x:v>
      </x:c>
      <x:c r="J1295" s="26" t="n">
        <x:v>4315.8</x:v>
      </x:c>
      <x:c r="K1295" s="28" t="n">
        <x:v>0.1214</x:v>
      </x:c>
      <x:c r="L1295" s="26" t="n">
        <x:v>523.94</x:v>
      </x:c>
      <x:c r="M1295" t="n">
        <x:v>0</x:v>
      </x:c>
      <x:c r="N1295" s="26" t="n">
        <x:v>0</x:v>
      </x:c>
      <x:c r="O1295" s="26" t="n">
        <x:v>79.84</x:v>
      </x:c>
      <x:c r="P1295" s="26" t="n">
        <x:v>19.42</x:v>
      </x:c>
      <x:c r="Q1295" s="26" t="n">
        <x:v>36.68</x:v>
      </x:c>
      <x:c r="R1295" s="26" t="n">
        <x:v>45.32</x:v>
      </x:c>
      <x:c r="S1295" s="26" t="n">
        <x:v>342.67</x:v>
      </x:c>
    </x:row>
    <x:row r="1296">
      <x:c r="A1296" t="n">
        <x:v>501293</x:v>
      </x:c>
      <x:c r="B1296" s="24" t="n">
        <x:v>45899</x:v>
      </x:c>
      <x:c r="C1296" t="n">
        <x:v>1008</x:v>
      </x:c>
      <x:c r="D1296" t="str">
        <x:v>Seller 1008</x:v>
      </x:c>
      <x:c r="E1296" t="str">
        <x:v>Platinum</x:v>
      </x:c>
      <x:c r="F1296" t="str">
        <x:v>West</x:v>
      </x:c>
      <x:c r="G1296" t="str">
        <x:v>Electronics</x:v>
      </x:c>
      <x:c r="H1296" t="n">
        <x:v>4</x:v>
      </x:c>
      <x:c r="I1296" s="26" t="n">
        <x:v>2923.2</x:v>
      </x:c>
      <x:c r="J1296" s="26" t="n">
        <x:v>19276.8</x:v>
      </x:c>
      <x:c r="K1296" s="28" t="n">
        <x:v>0.1347</x:v>
      </x:c>
      <x:c r="L1296" s="26" t="n">
        <x:v>2596.58</x:v>
      </x:c>
      <x:c r="M1296" t="n">
        <x:v>0</x:v>
      </x:c>
      <x:c r="N1296" s="26" t="n">
        <x:v>0</x:v>
      </x:c>
      <x:c r="O1296" s="26" t="n">
        <x:v>356.62</x:v>
      </x:c>
      <x:c r="P1296" s="26" t="n">
        <x:v>86.75</x:v>
      </x:c>
      <x:c r="Q1296" s="26" t="n">
        <x:v>163.85</x:v>
      </x:c>
      <x:c r="R1296" s="26" t="n">
        <x:v>202.41</x:v>
      </x:c>
      <x:c r="S1296" s="26" t="n">
        <x:v>1786.96</x:v>
      </x:c>
    </x:row>
    <x:row r="1297">
      <x:c r="A1297" t="n">
        <x:v>501294</x:v>
      </x:c>
      <x:c r="B1297" s="24" t="n">
        <x:v>45906</x:v>
      </x:c>
      <x:c r="C1297" t="n">
        <x:v>1045</x:v>
      </x:c>
      <x:c r="D1297" t="str">
        <x:v>Seller 1045</x:v>
      </x:c>
      <x:c r="E1297" t="str">
        <x:v>Silver</x:v>
      </x:c>
      <x:c r="F1297" t="str">
        <x:v>Central</x:v>
      </x:c>
      <x:c r="G1297" t="str">
        <x:v>Apparel</x:v>
      </x:c>
      <x:c r="H1297" t="n">
        <x:v>1</x:v>
      </x:c>
      <x:c r="I1297" s="26" t="n">
        <x:v>3595.2000000000003</x:v>
      </x:c>
      <x:c r="J1297" s="26" t="n">
        <x:v>3364.8</x:v>
      </x:c>
      <x:c r="K1297" s="28" t="n">
        <x:v>0.1099</x:v>
      </x:c>
      <x:c r="L1297" s="26" t="n">
        <x:v>369.79</x:v>
      </x:c>
      <x:c r="M1297" t="n">
        <x:v>0</x:v>
      </x:c>
      <x:c r="N1297" s="26" t="n">
        <x:v>0</x:v>
      </x:c>
      <x:c r="O1297" s="26" t="n">
        <x:v>62.25</x:v>
      </x:c>
      <x:c r="P1297" s="26" t="n">
        <x:v>15.14</x:v>
      </x:c>
      <x:c r="Q1297" s="26" t="n">
        <x:v>28.6</x:v>
      </x:c>
      <x:c r="R1297" s="26" t="n">
        <x:v>35.33</x:v>
      </x:c>
      <x:c r="S1297" s="26" t="n">
        <x:v>228.47</x:v>
      </x:c>
    </x:row>
    <x:row r="1298">
      <x:c r="A1298" t="n">
        <x:v>501295</x:v>
      </x:c>
      <x:c r="B1298" s="24" t="n">
        <x:v>45926</x:v>
      </x:c>
      <x:c r="C1298" t="n">
        <x:v>1006</x:v>
      </x:c>
      <x:c r="D1298" t="str">
        <x:v>Seller 1006</x:v>
      </x:c>
      <x:c r="E1298" t="str">
        <x:v>Platinum</x:v>
      </x:c>
      <x:c r="F1298" t="str">
        <x:v>East</x:v>
      </x:c>
      <x:c r="G1298" t="str">
        <x:v>Sports</x:v>
      </x:c>
      <x:c r="H1298" t="n">
        <x:v>1</x:v>
      </x:c>
      <x:c r="I1298" s="26" t="n">
        <x:v>4565.400000000001</x:v>
      </x:c>
      <x:c r="J1298" s="26" t="n">
        <x:v>7525.8</x:v>
      </x:c>
      <x:c r="K1298" s="28" t="n">
        <x:v>0.1244</x:v>
      </x:c>
      <x:c r="L1298" s="26" t="n">
        <x:v>936.21</x:v>
      </x:c>
      <x:c r="M1298" t="n">
        <x:v>0</x:v>
      </x:c>
      <x:c r="N1298" s="26" t="n">
        <x:v>0</x:v>
      </x:c>
      <x:c r="O1298" s="26" t="n">
        <x:v>139.23</x:v>
      </x:c>
      <x:c r="P1298" s="26" t="n">
        <x:v>33.87</x:v>
      </x:c>
      <x:c r="Q1298" s="26" t="n">
        <x:v>63.97</x:v>
      </x:c>
      <x:c r="R1298" s="26" t="n">
        <x:v>79.02</x:v>
      </x:c>
      <x:c r="S1298" s="26" t="n">
        <x:v>620.13</x:v>
      </x:c>
    </x:row>
    <x:row r="1299">
      <x:c r="A1299" t="n">
        <x:v>501296</x:v>
      </x:c>
      <x:c r="B1299" s="24" t="n">
        <x:v>45919</x:v>
      </x:c>
      <x:c r="C1299" t="n">
        <x:v>1030</x:v>
      </x:c>
      <x:c r="D1299" t="str">
        <x:v>Seller 1030</x:v>
      </x:c>
      <x:c r="E1299" t="str">
        <x:v>Gold</x:v>
      </x:c>
      <x:c r="F1299" t="str">
        <x:v>South</x:v>
      </x:c>
      <x:c r="G1299" t="str">
        <x:v>Pet Supplies</x:v>
      </x:c>
      <x:c r="H1299" t="n">
        <x:v>4</x:v>
      </x:c>
      <x:c r="I1299" s="26" t="n">
        <x:v>926.4</x:v>
      </x:c>
      <x:c r="J1299" s="26" t="n">
        <x:v>4533</x:v>
      </x:c>
      <x:c r="K1299" s="28" t="n">
        <x:v>0.1395</x:v>
      </x:c>
      <x:c r="L1299" s="26" t="n">
        <x:v>632.35</x:v>
      </x:c>
      <x:c r="M1299" t="n">
        <x:v>0</x:v>
      </x:c>
      <x:c r="N1299" s="26" t="n">
        <x:v>0</x:v>
      </x:c>
      <x:c r="O1299" s="26" t="n">
        <x:v>83.86</x:v>
      </x:c>
      <x:c r="P1299" s="26" t="n">
        <x:v>20.4</x:v>
      </x:c>
      <x:c r="Q1299" s="26" t="n">
        <x:v>38.53</x:v>
      </x:c>
      <x:c r="R1299" s="26" t="n">
        <x:v>47.6</x:v>
      </x:c>
      <x:c r="S1299" s="26" t="n">
        <x:v>441.97</x:v>
      </x:c>
    </x:row>
    <x:row r="1300">
      <x:c r="A1300" t="n">
        <x:v>501297</x:v>
      </x:c>
      <x:c r="B1300" s="24" t="n">
        <x:v>45902</x:v>
      </x:c>
      <x:c r="C1300" t="n">
        <x:v>1003</x:v>
      </x:c>
      <x:c r="D1300" t="str">
        <x:v>Seller 1003</x:v>
      </x:c>
      <x:c r="E1300" t="str">
        <x:v>Platinum</x:v>
      </x:c>
      <x:c r="F1300" t="str">
        <x:v>East</x:v>
      </x:c>
      <x:c r="G1300" t="str">
        <x:v>Pet Supplies</x:v>
      </x:c>
      <x:c r="H1300" t="n">
        <x:v>4</x:v>
      </x:c>
      <x:c r="I1300" s="26" t="n">
        <x:v>916.8</x:v>
      </x:c>
      <x:c r="J1300" s="26" t="n">
        <x:v>6045</x:v>
      </x:c>
      <x:c r="K1300" s="28" t="n">
        <x:v>0.1367</x:v>
      </x:c>
      <x:c r="L1300" s="26" t="n">
        <x:v>826.35</x:v>
      </x:c>
      <x:c r="M1300" t="n">
        <x:v>0</x:v>
      </x:c>
      <x:c r="N1300" s="26" t="n">
        <x:v>0</x:v>
      </x:c>
      <x:c r="O1300" s="26" t="n">
        <x:v>111.83</x:v>
      </x:c>
      <x:c r="P1300" s="26" t="n">
        <x:v>27.2</x:v>
      </x:c>
      <x:c r="Q1300" s="26" t="n">
        <x:v>51.38</x:v>
      </x:c>
      <x:c r="R1300" s="26" t="n">
        <x:v>63.47</x:v>
      </x:c>
      <x:c r="S1300" s="26" t="n">
        <x:v>572.46</x:v>
      </x:c>
    </x:row>
    <x:row r="1301">
      <x:c r="A1301" t="n">
        <x:v>501298</x:v>
      </x:c>
      <x:c r="B1301" s="24" t="n">
        <x:v>45899</x:v>
      </x:c>
      <x:c r="C1301" t="n">
        <x:v>1015</x:v>
      </x:c>
      <x:c r="D1301" t="str">
        <x:v>Seller 1015</x:v>
      </x:c>
      <x:c r="E1301" t="str">
        <x:v>Gold</x:v>
      </x:c>
      <x:c r="F1301" t="str">
        <x:v>West</x:v>
      </x:c>
      <x:c r="G1301" t="str">
        <x:v>Pet Supplies</x:v>
      </x:c>
      <x:c r="H1301" t="n">
        <x:v>4</x:v>
      </x:c>
      <x:c r="I1301" s="26" t="n">
        <x:v>480</x:v>
      </x:c>
      <x:c r="J1301" s="26" t="n">
        <x:v>2348.4</x:v>
      </x:c>
      <x:c r="K1301" s="28" t="n">
        <x:v>0.1288</x:v>
      </x:c>
      <x:c r="L1301" s="26" t="n">
        <x:v>302.47</x:v>
      </x:c>
      <x:c r="M1301" t="n">
        <x:v>0</x:v>
      </x:c>
      <x:c r="N1301" s="26" t="n">
        <x:v>0</x:v>
      </x:c>
      <x:c r="O1301" s="26" t="n">
        <x:v>43.45</x:v>
      </x:c>
      <x:c r="P1301" s="26" t="n">
        <x:v>10.57</x:v>
      </x:c>
      <x:c r="Q1301" s="26" t="n">
        <x:v>19.96</x:v>
      </x:c>
      <x:c r="R1301" s="26" t="n">
        <x:v>24.66</x:v>
      </x:c>
      <x:c r="S1301" s="26" t="n">
        <x:v>203.84</x:v>
      </x:c>
    </x:row>
    <x:row r="1302">
      <x:c r="A1302" t="n">
        <x:v>501299</x:v>
      </x:c>
      <x:c r="B1302" s="24" t="n">
        <x:v>45916</x:v>
      </x:c>
      <x:c r="C1302" t="n">
        <x:v>1031</x:v>
      </x:c>
      <x:c r="D1302" t="str">
        <x:v>Seller 1031</x:v>
      </x:c>
      <x:c r="E1302" t="str">
        <x:v>Silver</x:v>
      </x:c>
      <x:c r="F1302" t="str">
        <x:v>West</x:v>
      </x:c>
      <x:c r="G1302" t="str">
        <x:v>Home &amp; Kitchen</x:v>
      </x:c>
      <x:c r="H1302" t="n">
        <x:v>2</x:v>
      </x:c>
      <x:c r="I1302" s="26" t="n">
        <x:v>2310.6</x:v>
      </x:c>
      <x:c r="J1302" s="26" t="n">
        <x:v>4324.8</x:v>
      </x:c>
      <x:c r="K1302" s="28" t="n">
        <x:v>0.1409</x:v>
      </x:c>
      <x:c r="L1302" s="26" t="n">
        <x:v>609.36</x:v>
      </x:c>
      <x:c r="M1302" t="n">
        <x:v>0</x:v>
      </x:c>
      <x:c r="N1302" s="26" t="n">
        <x:v>0</x:v>
      </x:c>
      <x:c r="O1302" s="26" t="n">
        <x:v>80.01</x:v>
      </x:c>
      <x:c r="P1302" s="26" t="n">
        <x:v>19.46</x:v>
      </x:c>
      <x:c r="Q1302" s="26" t="n">
        <x:v>36.76</x:v>
      </x:c>
      <x:c r="R1302" s="26" t="n">
        <x:v>45.41</x:v>
      </x:c>
      <x:c r="S1302" s="26" t="n">
        <x:v>427.72</x:v>
      </x:c>
    </x:row>
    <x:row r="1303">
      <x:c r="A1303" t="n">
        <x:v>501300</x:v>
      </x:c>
      <x:c r="B1303" s="24" t="n">
        <x:v>45907</x:v>
      </x:c>
      <x:c r="C1303" t="n">
        <x:v>1006</x:v>
      </x:c>
      <x:c r="D1303" t="str">
        <x:v>Seller 1006</x:v>
      </x:c>
      <x:c r="E1303" t="str">
        <x:v>Platinum</x:v>
      </x:c>
      <x:c r="F1303" t="str">
        <x:v>East</x:v>
      </x:c>
      <x:c r="G1303" t="str">
        <x:v>Electronics</x:v>
      </x:c>
      <x:c r="H1303" t="n">
        <x:v>3</x:v>
      </x:c>
      <x:c r="I1303" s="26" t="n">
        <x:v>2522.4</x:v>
      </x:c>
      <x:c r="J1303" s="26" t="n">
        <x:v>12475.2</x:v>
      </x:c>
      <x:c r="K1303" s="28" t="n">
        <x:v>0.1144</x:v>
      </x:c>
      <x:c r="L1303" s="26" t="n">
        <x:v>1427.16</x:v>
      </x:c>
      <x:c r="M1303" t="n">
        <x:v>0</x:v>
      </x:c>
      <x:c r="N1303" s="26" t="n">
        <x:v>0</x:v>
      </x:c>
      <x:c r="O1303" s="26" t="n">
        <x:v>230.79</x:v>
      </x:c>
      <x:c r="P1303" s="26" t="n">
        <x:v>56.14</x:v>
      </x:c>
      <x:c r="Q1303" s="26" t="n">
        <x:v>106.04</x:v>
      </x:c>
      <x:c r="R1303" s="26" t="n">
        <x:v>130.99</x:v>
      </x:c>
      <x:c r="S1303" s="26" t="n">
        <x:v>903.2</x:v>
      </x:c>
    </x:row>
    <x:row r="1304">
      <x:c r="A1304" t="n">
        <x:v>501301</x:v>
      </x:c>
      <x:c r="B1304" s="24" t="n">
        <x:v>45919</x:v>
      </x:c>
      <x:c r="C1304" t="n">
        <x:v>1006</x:v>
      </x:c>
      <x:c r="D1304" t="str">
        <x:v>Seller 1006</x:v>
      </x:c>
      <x:c r="E1304" t="str">
        <x:v>Platinum</x:v>
      </x:c>
      <x:c r="F1304" t="str">
        <x:v>East</x:v>
      </x:c>
      <x:c r="G1304" t="str">
        <x:v>Sports</x:v>
      </x:c>
      <x:c r="H1304" t="n">
        <x:v>1</x:v>
      </x:c>
      <x:c r="I1304" s="26" t="n">
        <x:v>4099.8</x:v>
      </x:c>
      <x:c r="J1304" s="26" t="n">
        <x:v>6757.8</x:v>
      </x:c>
      <x:c r="K1304" s="28" t="n">
        <x:v>0.14</x:v>
      </x:c>
      <x:c r="L1304" s="26" t="n">
        <x:v>946.09</x:v>
      </x:c>
      <x:c r="M1304" t="n">
        <x:v>0</x:v>
      </x:c>
      <x:c r="N1304" s="26" t="n">
        <x:v>0</x:v>
      </x:c>
      <x:c r="O1304" s="26" t="n">
        <x:v>125.02</x:v>
      </x:c>
      <x:c r="P1304" s="26" t="n">
        <x:v>30.41</x:v>
      </x:c>
      <x:c r="Q1304" s="26" t="n">
        <x:v>57.44</x:v>
      </x:c>
      <x:c r="R1304" s="26" t="n">
        <x:v>70.96</x:v>
      </x:c>
      <x:c r="S1304" s="26" t="n">
        <x:v>662.26</x:v>
      </x:c>
    </x:row>
    <x:row r="1305">
      <x:c r="A1305" t="n">
        <x:v>501302</x:v>
      </x:c>
      <x:c r="B1305" s="24" t="n">
        <x:v>45926</x:v>
      </x:c>
      <x:c r="C1305" t="n">
        <x:v>1016</x:v>
      </x:c>
      <x:c r="D1305" t="str">
        <x:v>Seller 1016</x:v>
      </x:c>
      <x:c r="E1305" t="str">
        <x:v>Gold</x:v>
      </x:c>
      <x:c r="F1305" t="str">
        <x:v>West</x:v>
      </x:c>
      <x:c r="G1305" t="str">
        <x:v>Sports</x:v>
      </x:c>
      <x:c r="H1305" t="n">
        <x:v>4</x:v>
      </x:c>
      <x:c r="I1305" s="26" t="n">
        <x:v>1537.8</x:v>
      </x:c>
      <x:c r="J1305" s="26" t="n">
        <x:v>7522.2</x:v>
      </x:c>
      <x:c r="K1305" s="28" t="n">
        <x:v>0.1209</x:v>
      </x:c>
      <x:c r="L1305" s="26" t="n">
        <x:v>909.43</x:v>
      </x:c>
      <x:c r="M1305" t="n">
        <x:v>0</x:v>
      </x:c>
      <x:c r="N1305" s="26" t="n">
        <x:v>0</x:v>
      </x:c>
      <x:c r="O1305" s="26" t="n">
        <x:v>139.16</x:v>
      </x:c>
      <x:c r="P1305" s="26" t="n">
        <x:v>33.85</x:v>
      </x:c>
      <x:c r="Q1305" s="26" t="n">
        <x:v>63.94</x:v>
      </x:c>
      <x:c r="R1305" s="26" t="n">
        <x:v>78.98</x:v>
      </x:c>
      <x:c r="S1305" s="26" t="n">
        <x:v>593.5</x:v>
      </x:c>
    </x:row>
    <x:row r="1306">
      <x:c r="A1306" t="n">
        <x:v>501303</x:v>
      </x:c>
      <x:c r="B1306" s="24" t="n">
        <x:v>45926</x:v>
      </x:c>
      <x:c r="C1306" t="n">
        <x:v>1029</x:v>
      </x:c>
      <x:c r="D1306" t="str">
        <x:v>Seller 1029</x:v>
      </x:c>
      <x:c r="E1306" t="str">
        <x:v>Gold</x:v>
      </x:c>
      <x:c r="F1306" t="str">
        <x:v>West</x:v>
      </x:c>
      <x:c r="G1306" t="str">
        <x:v>Home &amp; Kitchen</x:v>
      </x:c>
      <x:c r="H1306" t="n">
        <x:v>2</x:v>
      </x:c>
      <x:c r="I1306" s="26" t="n">
        <x:v>2815.8</x:v>
      </x:c>
      <x:c r="J1306" s="26" t="n">
        <x:v>6888</x:v>
      </x:c>
      <x:c r="K1306" s="28" t="n">
        <x:v>0.1362</x:v>
      </x:c>
      <x:c r="L1306" s="26" t="n">
        <x:v>938.15</x:v>
      </x:c>
      <x:c r="M1306" t="n">
        <x:v>0</x:v>
      </x:c>
      <x:c r="N1306" s="26" t="n">
        <x:v>0</x:v>
      </x:c>
      <x:c r="O1306" s="26" t="n">
        <x:v>127.43</x:v>
      </x:c>
      <x:c r="P1306" s="26" t="n">
        <x:v>31</x:v>
      </x:c>
      <x:c r="Q1306" s="26" t="n">
        <x:v>58.55</x:v>
      </x:c>
      <x:c r="R1306" s="26" t="n">
        <x:v>72.32</x:v>
      </x:c>
      <x:c r="S1306" s="26" t="n">
        <x:v>648.85</x:v>
      </x:c>
    </x:row>
    <x:row r="1307">
      <x:c r="A1307" t="n">
        <x:v>501304</x:v>
      </x:c>
      <x:c r="B1307" s="24" t="n">
        <x:v>45913</x:v>
      </x:c>
      <x:c r="C1307" t="n">
        <x:v>1035</x:v>
      </x:c>
      <x:c r="D1307" t="str">
        <x:v>Seller 1035</x:v>
      </x:c>
      <x:c r="E1307" t="str">
        <x:v>Silver</x:v>
      </x:c>
      <x:c r="F1307" t="str">
        <x:v>East</x:v>
      </x:c>
      <x:c r="G1307" t="str">
        <x:v>Electronics</x:v>
      </x:c>
      <x:c r="H1307" t="n">
        <x:v>2</x:v>
      </x:c>
      <x:c r="I1307" s="26" t="n">
        <x:v>4266</x:v>
      </x:c>
      <x:c r="J1307" s="26" t="n">
        <x:v>7984.8</x:v>
      </x:c>
      <x:c r="K1307" s="28" t="n">
        <x:v>0.1213</x:v>
      </x:c>
      <x:c r="L1307" s="26" t="n">
        <x:v>968.56</x:v>
      </x:c>
      <x:c r="M1307" t="n">
        <x:v>0</x:v>
      </x:c>
      <x:c r="N1307" s="26" t="n">
        <x:v>0</x:v>
      </x:c>
      <x:c r="O1307" s="26" t="n">
        <x:v>147.72</x:v>
      </x:c>
      <x:c r="P1307" s="26" t="n">
        <x:v>35.93</x:v>
      </x:c>
      <x:c r="Q1307" s="26" t="n">
        <x:v>67.87</x:v>
      </x:c>
      <x:c r="R1307" s="26" t="n">
        <x:v>83.84</x:v>
      </x:c>
      <x:c r="S1307" s="26" t="n">
        <x:v>633.19</x:v>
      </x:c>
    </x:row>
    <x:row r="1308">
      <x:c r="A1308" t="n">
        <x:v>501305</x:v>
      </x:c>
      <x:c r="B1308" s="24" t="n">
        <x:v>45901</x:v>
      </x:c>
      <x:c r="C1308" t="n">
        <x:v>1036</x:v>
      </x:c>
      <x:c r="D1308" t="str">
        <x:v>Seller 1036</x:v>
      </x:c>
      <x:c r="E1308" t="str">
        <x:v>Silver</x:v>
      </x:c>
      <x:c r="F1308" t="str">
        <x:v>Central</x:v>
      </x:c>
      <x:c r="G1308" t="str">
        <x:v>Pet Supplies</x:v>
      </x:c>
      <x:c r="H1308" t="n">
        <x:v>4</x:v>
      </x:c>
      <x:c r="I1308" s="26" t="n">
        <x:v>528.6</x:v>
      </x:c>
      <x:c r="J1308" s="26" t="n">
        <x:v>1978.8</x:v>
      </x:c>
      <x:c r="K1308" s="28" t="n">
        <x:v>0.1325</x:v>
      </x:c>
      <x:c r="L1308" s="26" t="n">
        <x:v>262.19</x:v>
      </x:c>
      <x:c r="M1308" t="n">
        <x:v>0</x:v>
      </x:c>
      <x:c r="N1308" s="26" t="n">
        <x:v>0</x:v>
      </x:c>
      <x:c r="O1308" s="26" t="n">
        <x:v>36.61</x:v>
      </x:c>
      <x:c r="P1308" s="26" t="n">
        <x:v>8.9</x:v>
      </x:c>
      <x:c r="Q1308" s="26" t="n">
        <x:v>16.82</x:v>
      </x:c>
      <x:c r="R1308" s="26" t="n">
        <x:v>20.78</x:v>
      </x:c>
      <x:c r="S1308" s="26" t="n">
        <x:v>179.08</x:v>
      </x:c>
    </x:row>
    <x:row r="1309">
      <x:c r="A1309" t="n">
        <x:v>501306</x:v>
      </x:c>
      <x:c r="B1309" s="24" t="n">
        <x:v>45901</x:v>
      </x:c>
      <x:c r="C1309" t="n">
        <x:v>1048</x:v>
      </x:c>
      <x:c r="D1309" t="str">
        <x:v>Seller 1048</x:v>
      </x:c>
      <x:c r="E1309" t="str">
        <x:v>Silver</x:v>
      </x:c>
      <x:c r="F1309" t="str">
        <x:v>East</x:v>
      </x:c>
      <x:c r="G1309" t="str">
        <x:v>Electronics</x:v>
      </x:c>
      <x:c r="H1309" t="n">
        <x:v>2</x:v>
      </x:c>
      <x:c r="I1309" s="26" t="n">
        <x:v>4167</x:v>
      </x:c>
      <x:c r="J1309" s="26" t="n">
        <x:v>7800</x:v>
      </x:c>
      <x:c r="K1309" s="28" t="n">
        <x:v>0.1186</x:v>
      </x:c>
      <x:c r="L1309" s="26" t="n">
        <x:v>925.08</x:v>
      </x:c>
      <x:c r="M1309" t="n">
        <x:v>0</x:v>
      </x:c>
      <x:c r="N1309" s="26" t="n">
        <x:v>0</x:v>
      </x:c>
      <x:c r="O1309" s="26" t="n">
        <x:v>144.3</x:v>
      </x:c>
      <x:c r="P1309" s="26" t="n">
        <x:v>35.1</x:v>
      </x:c>
      <x:c r="Q1309" s="26" t="n">
        <x:v>66.3</x:v>
      </x:c>
      <x:c r="R1309" s="26" t="n">
        <x:v>81.9</x:v>
      </x:c>
      <x:c r="S1309" s="26" t="n">
        <x:v>597.48</x:v>
      </x:c>
    </x:row>
    <x:row r="1310">
      <x:c r="A1310" t="n">
        <x:v>501307</x:v>
      </x:c>
      <x:c r="B1310" s="24" t="n">
        <x:v>45906</x:v>
      </x:c>
      <x:c r="C1310" t="n">
        <x:v>1003</x:v>
      </x:c>
      <x:c r="D1310" t="str">
        <x:v>Seller 1003</x:v>
      </x:c>
      <x:c r="E1310" t="str">
        <x:v>Platinum</x:v>
      </x:c>
      <x:c r="F1310" t="str">
        <x:v>East</x:v>
      </x:c>
      <x:c r="G1310" t="str">
        <x:v>Pet Supplies</x:v>
      </x:c>
      <x:c r="H1310" t="n">
        <x:v>3</x:v>
      </x:c>
      <x:c r="I1310" s="26" t="n">
        <x:v>1082.3999999999999</x:v>
      </x:c>
      <x:c r="J1310" s="26" t="n">
        <x:v>5352.6</x:v>
      </x:c>
      <x:c r="K1310" s="28" t="n">
        <x:v>0.1292</x:v>
      </x:c>
      <x:c r="L1310" s="26" t="n">
        <x:v>691.56</x:v>
      </x:c>
      <x:c r="M1310" t="n">
        <x:v>0</x:v>
      </x:c>
      <x:c r="N1310" s="26" t="n">
        <x:v>0</x:v>
      </x:c>
      <x:c r="O1310" s="26" t="n">
        <x:v>99.02</x:v>
      </x:c>
      <x:c r="P1310" s="26" t="n">
        <x:v>24.09</x:v>
      </x:c>
      <x:c r="Q1310" s="26" t="n">
        <x:v>45.5</x:v>
      </x:c>
      <x:c r="R1310" s="26" t="n">
        <x:v>56.2</x:v>
      </x:c>
      <x:c r="S1310" s="26" t="n">
        <x:v>466.75</x:v>
      </x:c>
    </x:row>
    <x:row r="1311">
      <x:c r="A1311" t="n">
        <x:v>501308</x:v>
      </x:c>
      <x:c r="B1311" s="24" t="n">
        <x:v>45919</x:v>
      </x:c>
      <x:c r="C1311" t="n">
        <x:v>1079</x:v>
      </x:c>
      <x:c r="D1311" t="str">
        <x:v>Seller 1079</x:v>
      </x:c>
      <x:c r="E1311" t="str">
        <x:v>Bronze</x:v>
      </x:c>
      <x:c r="F1311" t="str">
        <x:v>South</x:v>
      </x:c>
      <x:c r="G1311" t="str">
        <x:v>Beauty</x:v>
      </x:c>
      <x:c r="H1311" t="n">
        <x:v>3</x:v>
      </x:c>
      <x:c r="I1311" s="26" t="n">
        <x:v>904.8</x:v>
      </x:c>
      <x:c r="J1311" s="26" t="n">
        <x:v>1789.2</x:v>
      </x:c>
      <x:c r="K1311" s="28" t="n">
        <x:v>0.1437</x:v>
      </x:c>
      <x:c r="L1311" s="26" t="n">
        <x:v>257.11</x:v>
      </x:c>
      <x:c r="M1311" t="n">
        <x:v>0</x:v>
      </x:c>
      <x:c r="N1311" s="26" t="n">
        <x:v>0</x:v>
      </x:c>
      <x:c r="O1311" s="26" t="n">
        <x:v>33.1</x:v>
      </x:c>
      <x:c r="P1311" s="26" t="n">
        <x:v>8.05</x:v>
      </x:c>
      <x:c r="Q1311" s="26" t="n">
        <x:v>15.21</x:v>
      </x:c>
      <x:c r="R1311" s="26" t="n">
        <x:v>18.79</x:v>
      </x:c>
      <x:c r="S1311" s="26" t="n">
        <x:v>181.96</x:v>
      </x:c>
    </x:row>
    <x:row r="1312">
      <x:c r="A1312" t="n">
        <x:v>501309</x:v>
      </x:c>
      <x:c r="B1312" s="24" t="n">
        <x:v>45922</x:v>
      </x:c>
      <x:c r="C1312" t="n">
        <x:v>1056</x:v>
      </x:c>
      <x:c r="D1312" t="str">
        <x:v>Seller 1056</x:v>
      </x:c>
      <x:c r="E1312" t="str">
        <x:v>Bronze</x:v>
      </x:c>
      <x:c r="F1312" t="str">
        <x:v>West</x:v>
      </x:c>
      <x:c r="G1312" t="str">
        <x:v>Apparel</x:v>
      </x:c>
      <x:c r="H1312" t="n">
        <x:v>2</x:v>
      </x:c>
      <x:c r="I1312" s="26" t="n">
        <x:v>1854.6</x:v>
      </x:c>
      <x:c r="J1312" s="26" t="n">
        <x:v>2445.6</x:v>
      </x:c>
      <x:c r="K1312" s="28" t="n">
        <x:v>0.1263</x:v>
      </x:c>
      <x:c r="L1312" s="26" t="n">
        <x:v>308.88</x:v>
      </x:c>
      <x:c r="M1312" t="n">
        <x:v>0</x:v>
      </x:c>
      <x:c r="N1312" s="26" t="n">
        <x:v>0</x:v>
      </x:c>
      <x:c r="O1312" s="26" t="n">
        <x:v>45.24</x:v>
      </x:c>
      <x:c r="P1312" s="26" t="n">
        <x:v>11.01</x:v>
      </x:c>
      <x:c r="Q1312" s="26" t="n">
        <x:v>20.79</x:v>
      </x:c>
      <x:c r="R1312" s="26" t="n">
        <x:v>25.68</x:v>
      </x:c>
      <x:c r="S1312" s="26" t="n">
        <x:v>206.16</x:v>
      </x:c>
    </x:row>
    <x:row r="1313">
      <x:c r="A1313" t="n">
        <x:v>501310</x:v>
      </x:c>
      <x:c r="B1313" s="24" t="n">
        <x:v>45911</x:v>
      </x:c>
      <x:c r="C1313" t="n">
        <x:v>1044</x:v>
      </x:c>
      <x:c r="D1313" t="str">
        <x:v>Seller 1044</x:v>
      </x:c>
      <x:c r="E1313" t="str">
        <x:v>Silver</x:v>
      </x:c>
      <x:c r="F1313" t="str">
        <x:v>East</x:v>
      </x:c>
      <x:c r="G1313" t="str">
        <x:v>Beauty</x:v>
      </x:c>
      <x:c r="H1313" t="n">
        <x:v>3</x:v>
      </x:c>
      <x:c r="I1313" s="26" t="n">
        <x:v>617.4</x:v>
      </x:c>
      <x:c r="J1313" s="26" t="n">
        <x:v>1734</x:v>
      </x:c>
      <x:c r="K1313" s="28" t="n">
        <x:v>0.1512</x:v>
      </x:c>
      <x:c r="L1313" s="26" t="n">
        <x:v>262.18</x:v>
      </x:c>
      <x:c r="M1313" t="n">
        <x:v>0</x:v>
      </x:c>
      <x:c r="N1313" s="26" t="n">
        <x:v>0</x:v>
      </x:c>
      <x:c r="O1313" s="26" t="n">
        <x:v>32.08</x:v>
      </x:c>
      <x:c r="P1313" s="26" t="n">
        <x:v>7.8</x:v>
      </x:c>
      <x:c r="Q1313" s="26" t="n">
        <x:v>14.74</x:v>
      </x:c>
      <x:c r="R1313" s="26" t="n">
        <x:v>18.21</x:v>
      </x:c>
      <x:c r="S1313" s="26" t="n">
        <x:v>189.35</x:v>
      </x:c>
    </x:row>
    <x:row r="1314">
      <x:c r="A1314" t="n">
        <x:v>501311</x:v>
      </x:c>
      <x:c r="B1314" s="24" t="n">
        <x:v>45907</x:v>
      </x:c>
      <x:c r="C1314" t="n">
        <x:v>1055</x:v>
      </x:c>
      <x:c r="D1314" t="str">
        <x:v>Seller 1055</x:v>
      </x:c>
      <x:c r="E1314" t="str">
        <x:v>Bronze</x:v>
      </x:c>
      <x:c r="F1314" t="str">
        <x:v>Central</x:v>
      </x:c>
      <x:c r="G1314" t="str">
        <x:v>Pet Supplies</x:v>
      </x:c>
      <x:c r="H1314" t="n">
        <x:v>2</x:v>
      </x:c>
      <x:c r="I1314" s="26" t="n">
        <x:v>1107</x:v>
      </x:c>
      <x:c r="J1314" s="26" t="n">
        <x:v>1459.8</x:v>
      </x:c>
      <x:c r="K1314" s="28" t="n">
        <x:v>0.1333</x:v>
      </x:c>
      <x:c r="L1314" s="26" t="n">
        <x:v>194.59</x:v>
      </x:c>
      <x:c r="M1314" t="n">
        <x:v>0</x:v>
      </x:c>
      <x:c r="N1314" s="26" t="n">
        <x:v>0</x:v>
      </x:c>
      <x:c r="O1314" s="26" t="n">
        <x:v>27.01</x:v>
      </x:c>
      <x:c r="P1314" s="26" t="n">
        <x:v>6.57</x:v>
      </x:c>
      <x:c r="Q1314" s="26" t="n">
        <x:v>12.41</x:v>
      </x:c>
      <x:c r="R1314" s="26" t="n">
        <x:v>15.33</x:v>
      </x:c>
      <x:c r="S1314" s="26" t="n">
        <x:v>133.28</x:v>
      </x:c>
    </x:row>
    <x:row r="1315">
      <x:c r="A1315" t="n">
        <x:v>501312</x:v>
      </x:c>
      <x:c r="B1315" s="24" t="n">
        <x:v>45921</x:v>
      </x:c>
      <x:c r="C1315" t="n">
        <x:v>1069</x:v>
      </x:c>
      <x:c r="D1315" t="str">
        <x:v>Seller 1069</x:v>
      </x:c>
      <x:c r="E1315" t="str">
        <x:v>Bronze</x:v>
      </x:c>
      <x:c r="F1315" t="str">
        <x:v>East</x:v>
      </x:c>
      <x:c r="G1315" t="str">
        <x:v>Electronics</x:v>
      </x:c>
      <x:c r="H1315" t="n">
        <x:v>1</x:v>
      </x:c>
      <x:c r="I1315" s="26" t="n">
        <x:v>8302.8</x:v>
      </x:c>
      <x:c r="J1315" s="26" t="n">
        <x:v>5474.4</x:v>
      </x:c>
      <x:c r="K1315" s="28" t="n">
        <x:v>0.1255</x:v>
      </x:c>
      <x:c r="L1315" s="26" t="n">
        <x:v>687.04</x:v>
      </x:c>
      <x:c r="M1315" t="n">
        <x:v>0</x:v>
      </x:c>
      <x:c r="N1315" s="26" t="n">
        <x:v>0</x:v>
      </x:c>
      <x:c r="O1315" s="26" t="n">
        <x:v>101.28</x:v>
      </x:c>
      <x:c r="P1315" s="26" t="n">
        <x:v>24.63</x:v>
      </x:c>
      <x:c r="Q1315" s="26" t="n">
        <x:v>46.53</x:v>
      </x:c>
      <x:c r="R1315" s="26" t="n">
        <x:v>57.48</x:v>
      </x:c>
      <x:c r="S1315" s="26" t="n">
        <x:v>457.11</x:v>
      </x:c>
    </x:row>
    <x:row r="1316">
      <x:c r="A1316" t="n">
        <x:v>501313</x:v>
      </x:c>
      <x:c r="B1316" s="24" t="n">
        <x:v>45915</x:v>
      </x:c>
      <x:c r="C1316" t="n">
        <x:v>1031</x:v>
      </x:c>
      <x:c r="D1316" t="str">
        <x:v>Seller 1031</x:v>
      </x:c>
      <x:c r="E1316" t="str">
        <x:v>Silver</x:v>
      </x:c>
      <x:c r="F1316" t="str">
        <x:v>West</x:v>
      </x:c>
      <x:c r="G1316" t="str">
        <x:v>Home &amp; Kitchen</x:v>
      </x:c>
      <x:c r="H1316" t="n">
        <x:v>4</x:v>
      </x:c>
      <x:c r="I1316" s="26" t="n">
        <x:v>1297.2</x:v>
      </x:c>
      <x:c r="J1316" s="26" t="n">
        <x:v>4856.4</x:v>
      </x:c>
      <x:c r="K1316" s="28" t="n">
        <x:v>0.1458</x:v>
      </x:c>
      <x:c r="L1316" s="26" t="n">
        <x:v>708.06</x:v>
      </x:c>
      <x:c r="M1316" t="n">
        <x:v>0</x:v>
      </x:c>
      <x:c r="N1316" s="26" t="n">
        <x:v>0</x:v>
      </x:c>
      <x:c r="O1316" s="26" t="n">
        <x:v>89.84</x:v>
      </x:c>
      <x:c r="P1316" s="26" t="n">
        <x:v>21.85</x:v>
      </x:c>
      <x:c r="Q1316" s="26" t="n">
        <x:v>41.28</x:v>
      </x:c>
      <x:c r="R1316" s="26" t="n">
        <x:v>50.99</x:v>
      </x:c>
      <x:c r="S1316" s="26" t="n">
        <x:v>504.09</x:v>
      </x:c>
    </x:row>
    <x:row r="1317">
      <x:c r="A1317" t="n">
        <x:v>501314</x:v>
      </x:c>
      <x:c r="B1317" s="24" t="n">
        <x:v>45923</x:v>
      </x:c>
      <x:c r="C1317" t="n">
        <x:v>1038</x:v>
      </x:c>
      <x:c r="D1317" t="str">
        <x:v>Seller 1038</x:v>
      </x:c>
      <x:c r="E1317" t="str">
        <x:v>Silver</x:v>
      </x:c>
      <x:c r="F1317" t="str">
        <x:v>South</x:v>
      </x:c>
      <x:c r="G1317" t="str">
        <x:v>Sports</x:v>
      </x:c>
      <x:c r="H1317" t="n">
        <x:v>1</x:v>
      </x:c>
      <x:c r="I1317" s="26" t="n">
        <x:v>4870.2</x:v>
      </x:c>
      <x:c r="J1317" s="26" t="n">
        <x:v>4557.6</x:v>
      </x:c>
      <x:c r="K1317" s="28" t="n">
        <x:v>0.1247</x:v>
      </x:c>
      <x:c r="L1317" s="26" t="n">
        <x:v>568.33</x:v>
      </x:c>
      <x:c r="M1317" t="n">
        <x:v>0</x:v>
      </x:c>
      <x:c r="N1317" s="26" t="n">
        <x:v>0</x:v>
      </x:c>
      <x:c r="O1317" s="26" t="n">
        <x:v>84.32</x:v>
      </x:c>
      <x:c r="P1317" s="26" t="n">
        <x:v>20.51</x:v>
      </x:c>
      <x:c r="Q1317" s="26" t="n">
        <x:v>38.74</x:v>
      </x:c>
      <x:c r="R1317" s="26" t="n">
        <x:v>47.85</x:v>
      </x:c>
      <x:c r="S1317" s="26" t="n">
        <x:v>376.91</x:v>
      </x:c>
    </x:row>
    <x:row r="1318">
      <x:c r="A1318" t="n">
        <x:v>501315</x:v>
      </x:c>
      <x:c r="B1318" s="24" t="n">
        <x:v>45898</x:v>
      </x:c>
      <x:c r="C1318" t="n">
        <x:v>1078</x:v>
      </x:c>
      <x:c r="D1318" t="str">
        <x:v>Seller 1078</x:v>
      </x:c>
      <x:c r="E1318" t="str">
        <x:v>Bronze</x:v>
      </x:c>
      <x:c r="F1318" t="str">
        <x:v>East</x:v>
      </x:c>
      <x:c r="G1318" t="str">
        <x:v>Home &amp; Kitchen</x:v>
      </x:c>
      <x:c r="H1318" t="n">
        <x:v>2</x:v>
      </x:c>
      <x:c r="I1318" s="26" t="n">
        <x:v>3002.4</x:v>
      </x:c>
      <x:c r="J1318" s="26" t="n">
        <x:v>3958.8</x:v>
      </x:c>
      <x:c r="K1318" s="28" t="n">
        <x:v>0.1431</x:v>
      </x:c>
      <x:c r="L1318" s="26" t="n">
        <x:v>566.5</x:v>
      </x:c>
      <x:c r="M1318" t="n">
        <x:v>0</x:v>
      </x:c>
      <x:c r="N1318" s="26" t="n">
        <x:v>0</x:v>
      </x:c>
      <x:c r="O1318" s="26" t="n">
        <x:v>73.24</x:v>
      </x:c>
      <x:c r="P1318" s="26" t="n">
        <x:v>17.81</x:v>
      </x:c>
      <x:c r="Q1318" s="26" t="n">
        <x:v>33.65</x:v>
      </x:c>
      <x:c r="R1318" s="26" t="n">
        <x:v>41.57</x:v>
      </x:c>
      <x:c r="S1318" s="26" t="n">
        <x:v>400.23</x:v>
      </x:c>
    </x:row>
    <x:row r="1319">
      <x:c r="A1319" t="n">
        <x:v>501316</x:v>
      </x:c>
      <x:c r="B1319" s="24" t="n">
        <x:v>45916</x:v>
      </x:c>
      <x:c r="C1319" t="n">
        <x:v>1057</x:v>
      </x:c>
      <x:c r="D1319" t="str">
        <x:v>Seller 1057</x:v>
      </x:c>
      <x:c r="E1319" t="str">
        <x:v>Bronze</x:v>
      </x:c>
      <x:c r="F1319" t="str">
        <x:v>South</x:v>
      </x:c>
      <x:c r="G1319" t="str">
        <x:v>Electronics</x:v>
      </x:c>
      <x:c r="H1319" t="n">
        <x:v>3</x:v>
      </x:c>
      <x:c r="I1319" s="26" t="n">
        <x:v>3051</x:v>
      </x:c>
      <x:c r="J1319" s="26" t="n">
        <x:v>6035.4</x:v>
      </x:c>
      <x:c r="K1319" s="28" t="n">
        <x:v>0.1283</x:v>
      </x:c>
      <x:c r="L1319" s="26" t="n">
        <x:v>774.34</x:v>
      </x:c>
      <x:c r="M1319" t="n">
        <x:v>0</x:v>
      </x:c>
      <x:c r="N1319" s="26" t="n">
        <x:v>0</x:v>
      </x:c>
      <x:c r="O1319" s="26" t="n">
        <x:v>111.65</x:v>
      </x:c>
      <x:c r="P1319" s="26" t="n">
        <x:v>27.16</x:v>
      </x:c>
      <x:c r="Q1319" s="26" t="n">
        <x:v>51.3</x:v>
      </x:c>
      <x:c r="R1319" s="26" t="n">
        <x:v>63.37</x:v>
      </x:c>
      <x:c r="S1319" s="26" t="n">
        <x:v>520.86</x:v>
      </x:c>
    </x:row>
    <x:row r="1320">
      <x:c r="A1320" t="n">
        <x:v>501317</x:v>
      </x:c>
      <x:c r="B1320" s="24" t="n">
        <x:v>45906</x:v>
      </x:c>
      <x:c r="C1320" t="n">
        <x:v>1011</x:v>
      </x:c>
      <x:c r="D1320" t="str">
        <x:v>Seller 1011</x:v>
      </x:c>
      <x:c r="E1320" t="str">
        <x:v>Platinum</x:v>
      </x:c>
      <x:c r="F1320" t="str">
        <x:v>West</x:v>
      </x:c>
      <x:c r="G1320" t="str">
        <x:v>Electronics</x:v>
      </x:c>
      <x:c r="H1320" t="n">
        <x:v>1</x:v>
      </x:c>
      <x:c r="I1320" s="26" t="n">
        <x:v>8313.6</x:v>
      </x:c>
      <x:c r="J1320" s="26" t="n">
        <x:v>13704.6</x:v>
      </x:c>
      <x:c r="K1320" s="28" t="n">
        <x:v>0.1145</x:v>
      </x:c>
      <x:c r="L1320" s="26" t="n">
        <x:v>1569.18</x:v>
      </x:c>
      <x:c r="M1320" t="n">
        <x:v>0</x:v>
      </x:c>
      <x:c r="N1320" s="26" t="n">
        <x:v>0</x:v>
      </x:c>
      <x:c r="O1320" s="26" t="n">
        <x:v>253.54</x:v>
      </x:c>
      <x:c r="P1320" s="26" t="n">
        <x:v>61.67</x:v>
      </x:c>
      <x:c r="Q1320" s="26" t="n">
        <x:v>116.49</x:v>
      </x:c>
      <x:c r="R1320" s="26" t="n">
        <x:v>143.9</x:v>
      </x:c>
      <x:c r="S1320" s="26" t="n">
        <x:v>993.58</x:v>
      </x:c>
    </x:row>
    <x:row r="1321">
      <x:c r="A1321" t="n">
        <x:v>501318</x:v>
      </x:c>
      <x:c r="B1321" s="24" t="n">
        <x:v>45918</x:v>
      </x:c>
      <x:c r="C1321" t="n">
        <x:v>1034</x:v>
      </x:c>
      <x:c r="D1321" t="str">
        <x:v>Seller 1034</x:v>
      </x:c>
      <x:c r="E1321" t="str">
        <x:v>Silver</x:v>
      </x:c>
      <x:c r="F1321" t="str">
        <x:v>Central</x:v>
      </x:c>
      <x:c r="G1321" t="str">
        <x:v>Home &amp; Kitchen</x:v>
      </x:c>
      <x:c r="H1321" t="n">
        <x:v>2</x:v>
      </x:c>
      <x:c r="I1321" s="26" t="n">
        <x:v>2701.2000000000003</x:v>
      </x:c>
      <x:c r="J1321" s="26" t="n">
        <x:v>5056.2</x:v>
      </x:c>
      <x:c r="K1321" s="28" t="n">
        <x:v>0.1439</x:v>
      </x:c>
      <x:c r="L1321" s="26" t="n">
        <x:v>727.59</x:v>
      </x:c>
      <x:c r="M1321" t="n">
        <x:v>0</x:v>
      </x:c>
      <x:c r="N1321" s="26" t="n">
        <x:v>0</x:v>
      </x:c>
      <x:c r="O1321" s="26" t="n">
        <x:v>93.54</x:v>
      </x:c>
      <x:c r="P1321" s="26" t="n">
        <x:v>22.75</x:v>
      </x:c>
      <x:c r="Q1321" s="26" t="n">
        <x:v>42.98</x:v>
      </x:c>
      <x:c r="R1321" s="26" t="n">
        <x:v>53.09</x:v>
      </x:c>
      <x:c r="S1321" s="26" t="n">
        <x:v>515.23</x:v>
      </x:c>
    </x:row>
    <x:row r="1322">
      <x:c r="A1322" t="n">
        <x:v>501319</x:v>
      </x:c>
      <x:c r="B1322" s="24" t="n">
        <x:v>45920</x:v>
      </x:c>
      <x:c r="C1322" t="n">
        <x:v>1005</x:v>
      </x:c>
      <x:c r="D1322" t="str">
        <x:v>Seller 1005</x:v>
      </x:c>
      <x:c r="E1322" t="str">
        <x:v>Platinum</x:v>
      </x:c>
      <x:c r="F1322" t="str">
        <x:v>East</x:v>
      </x:c>
      <x:c r="G1322" t="str">
        <x:v>Electronics</x:v>
      </x:c>
      <x:c r="H1322" t="n">
        <x:v>1</x:v>
      </x:c>
      <x:c r="I1322" s="26" t="n">
        <x:v>8668.2</x:v>
      </x:c>
      <x:c r="J1322" s="26" t="n">
        <x:v>14289</x:v>
      </x:c>
      <x:c r="K1322" s="28" t="n">
        <x:v>0.1206</x:v>
      </x:c>
      <x:c r="L1322" s="26" t="n">
        <x:v>1723.25</x:v>
      </x:c>
      <x:c r="M1322" t="n">
        <x:v>0</x:v>
      </x:c>
      <x:c r="N1322" s="26" t="n">
        <x:v>0</x:v>
      </x:c>
      <x:c r="O1322" s="26" t="n">
        <x:v>264.35</x:v>
      </x:c>
      <x:c r="P1322" s="26" t="n">
        <x:v>64.3</x:v>
      </x:c>
      <x:c r="Q1322" s="26" t="n">
        <x:v>121.46</x:v>
      </x:c>
      <x:c r="R1322" s="26" t="n">
        <x:v>150.03</x:v>
      </x:c>
      <x:c r="S1322" s="26" t="n">
        <x:v>1123.12</x:v>
      </x:c>
    </x:row>
    <x:row r="1323">
      <x:c r="A1323" t="n">
        <x:v>501320</x:v>
      </x:c>
      <x:c r="B1323" s="24" t="n">
        <x:v>45909</x:v>
      </x:c>
      <x:c r="C1323" t="n">
        <x:v>1034</x:v>
      </x:c>
      <x:c r="D1323" t="str">
        <x:v>Seller 1034</x:v>
      </x:c>
      <x:c r="E1323" t="str">
        <x:v>Silver</x:v>
      </x:c>
      <x:c r="F1323" t="str">
        <x:v>Central</x:v>
      </x:c>
      <x:c r="G1323" t="str">
        <x:v>Electronics</x:v>
      </x:c>
      <x:c r="H1323" t="n">
        <x:v>1</x:v>
      </x:c>
      <x:c r="I1323" s="26" t="n">
        <x:v>7462.799999999999</x:v>
      </x:c>
      <x:c r="J1323" s="26" t="n">
        <x:v>6984</x:v>
      </x:c>
      <x:c r="K1323" s="28" t="n">
        <x:v>0.1215</x:v>
      </x:c>
      <x:c r="L1323" s="26" t="n">
        <x:v>848.56</x:v>
      </x:c>
      <x:c r="M1323" t="n">
        <x:v>0</x:v>
      </x:c>
      <x:c r="N1323" s="26" t="n">
        <x:v>0</x:v>
      </x:c>
      <x:c r="O1323" s="26" t="n">
        <x:v>129.2</x:v>
      </x:c>
      <x:c r="P1323" s="26" t="n">
        <x:v>31.43</x:v>
      </x:c>
      <x:c r="Q1323" s="26" t="n">
        <x:v>59.36</x:v>
      </x:c>
      <x:c r="R1323" s="26" t="n">
        <x:v>73.33</x:v>
      </x:c>
      <x:c r="S1323" s="26" t="n">
        <x:v>555.23</x:v>
      </x:c>
    </x:row>
    <x:row r="1324">
      <x:c r="A1324" t="n">
        <x:v>501321</x:v>
      </x:c>
      <x:c r="B1324" s="24" t="n">
        <x:v>45924</x:v>
      </x:c>
      <x:c r="C1324" t="n">
        <x:v>1014</x:v>
      </x:c>
      <x:c r="D1324" t="str">
        <x:v>Seller 1014</x:v>
      </x:c>
      <x:c r="E1324" t="str">
        <x:v>Gold</x:v>
      </x:c>
      <x:c r="F1324" t="str">
        <x:v>East</x:v>
      </x:c>
      <x:c r="G1324" t="str">
        <x:v>Apparel</x:v>
      </x:c>
      <x:c r="H1324" t="n">
        <x:v>1</x:v>
      </x:c>
      <x:c r="I1324" s="26" t="n">
        <x:v>3967.2000000000003</x:v>
      </x:c>
      <x:c r="J1324" s="26" t="n">
        <x:v>4851.6</x:v>
      </x:c>
      <x:c r="K1324" s="28" t="n">
        <x:v>0.1137</x:v>
      </x:c>
      <x:c r="L1324" s="26" t="n">
        <x:v>551.63</x:v>
      </x:c>
      <x:c r="M1324" t="n">
        <x:v>0</x:v>
      </x:c>
      <x:c r="N1324" s="26" t="n">
        <x:v>0</x:v>
      </x:c>
      <x:c r="O1324" s="26" t="n">
        <x:v>89.75</x:v>
      </x:c>
      <x:c r="P1324" s="26" t="n">
        <x:v>21.83</x:v>
      </x:c>
      <x:c r="Q1324" s="26" t="n">
        <x:v>41.24</x:v>
      </x:c>
      <x:c r="R1324" s="26" t="n">
        <x:v>50.94</x:v>
      </x:c>
      <x:c r="S1324" s="26" t="n">
        <x:v>347.86</x:v>
      </x:c>
    </x:row>
    <x:row r="1325">
      <x:c r="A1325" t="n">
        <x:v>501322</x:v>
      </x:c>
      <x:c r="B1325" s="24" t="n">
        <x:v>45911</x:v>
      </x:c>
      <x:c r="C1325" t="n">
        <x:v>1054</x:v>
      </x:c>
      <x:c r="D1325" t="str">
        <x:v>Seller 1054</x:v>
      </x:c>
      <x:c r="E1325" t="str">
        <x:v>Silver</x:v>
      </x:c>
      <x:c r="F1325" t="str">
        <x:v>South</x:v>
      </x:c>
      <x:c r="G1325" t="str">
        <x:v>Home &amp; Kitchen</x:v>
      </x:c>
      <x:c r="H1325" t="n">
        <x:v>1</x:v>
      </x:c>
      <x:c r="I1325" s="26" t="n">
        <x:v>5063.4</x:v>
      </x:c>
      <x:c r="J1325" s="26" t="n">
        <x:v>4738.2</x:v>
      </x:c>
      <x:c r="K1325" s="28" t="n">
        <x:v>0.1236</x:v>
      </x:c>
      <x:c r="L1325" s="26" t="n">
        <x:v>585.64</x:v>
      </x:c>
      <x:c r="M1325" t="n">
        <x:v>0</x:v>
      </x:c>
      <x:c r="N1325" s="26" t="n">
        <x:v>0</x:v>
      </x:c>
      <x:c r="O1325" s="26" t="n">
        <x:v>87.66</x:v>
      </x:c>
      <x:c r="P1325" s="26" t="n">
        <x:v>21.32</x:v>
      </x:c>
      <x:c r="Q1325" s="26" t="n">
        <x:v>40.27</x:v>
      </x:c>
      <x:c r="R1325" s="26" t="n">
        <x:v>49.75</x:v>
      </x:c>
      <x:c r="S1325" s="26" t="n">
        <x:v>386.64</x:v>
      </x:c>
    </x:row>
    <x:row r="1326">
      <x:c r="A1326" t="n">
        <x:v>501323</x:v>
      </x:c>
      <x:c r="B1326" s="24" t="n">
        <x:v>45927</x:v>
      </x:c>
      <x:c r="C1326" t="n">
        <x:v>1048</x:v>
      </x:c>
      <x:c r="D1326" t="str">
        <x:v>Seller 1048</x:v>
      </x:c>
      <x:c r="E1326" t="str">
        <x:v>Silver</x:v>
      </x:c>
      <x:c r="F1326" t="str">
        <x:v>East</x:v>
      </x:c>
      <x:c r="G1326" t="str">
        <x:v>Electronics</x:v>
      </x:c>
      <x:c r="H1326" t="n">
        <x:v>3</x:v>
      </x:c>
      <x:c r="I1326" s="26" t="n">
        <x:v>2739</x:v>
      </x:c>
      <x:c r="J1326" s="26" t="n">
        <x:v>7690.2</x:v>
      </x:c>
      <x:c r="K1326" s="28" t="n">
        <x:v>0.1168</x:v>
      </x:c>
      <x:c r="L1326" s="26" t="n">
        <x:v>898.22</x:v>
      </x:c>
      <x:c r="M1326" t="n">
        <x:v>0</x:v>
      </x:c>
      <x:c r="N1326" s="26" t="n">
        <x:v>0</x:v>
      </x:c>
      <x:c r="O1326" s="26" t="n">
        <x:v>142.27</x:v>
      </x:c>
      <x:c r="P1326" s="26" t="n">
        <x:v>34.61</x:v>
      </x:c>
      <x:c r="Q1326" s="26" t="n">
        <x:v>65.37</x:v>
      </x:c>
      <x:c r="R1326" s="26" t="n">
        <x:v>80.75</x:v>
      </x:c>
      <x:c r="S1326" s="26" t="n">
        <x:v>575.23</x:v>
      </x:c>
    </x:row>
    <x:row r="1327">
      <x:c r="A1327" t="n">
        <x:v>501324</x:v>
      </x:c>
      <x:c r="B1327" s="24" t="n">
        <x:v>45916</x:v>
      </x:c>
      <x:c r="C1327" t="n">
        <x:v>1076</x:v>
      </x:c>
      <x:c r="D1327" t="str">
        <x:v>Seller 1076</x:v>
      </x:c>
      <x:c r="E1327" t="str">
        <x:v>Bronze</x:v>
      </x:c>
      <x:c r="F1327" t="str">
        <x:v>Central</x:v>
      </x:c>
      <x:c r="G1327" t="str">
        <x:v>Home &amp; Kitchen</x:v>
      </x:c>
      <x:c r="H1327" t="n">
        <x:v>1</x:v>
      </x:c>
      <x:c r="I1327" s="26" t="n">
        <x:v>4467.599999999999</x:v>
      </x:c>
      <x:c r="J1327" s="26" t="n">
        <x:v>2946</x:v>
      </x:c>
      <x:c r="K1327" s="28" t="n">
        <x:v>0.1353</x:v>
      </x:c>
      <x:c r="L1327" s="26" t="n">
        <x:v>398.59</x:v>
      </x:c>
      <x:c r="M1327" t="n">
        <x:v>0</x:v>
      </x:c>
      <x:c r="N1327" s="26" t="n">
        <x:v>0</x:v>
      </x:c>
      <x:c r="O1327" s="26" t="n">
        <x:v>54.5</x:v>
      </x:c>
      <x:c r="P1327" s="26" t="n">
        <x:v>13.26</x:v>
      </x:c>
      <x:c r="Q1327" s="26" t="n">
        <x:v>25.04</x:v>
      </x:c>
      <x:c r="R1327" s="26" t="n">
        <x:v>30.93</x:v>
      </x:c>
      <x:c r="S1327" s="26" t="n">
        <x:v>274.86</x:v>
      </x:c>
    </x:row>
    <x:row r="1328">
      <x:c r="A1328" t="n">
        <x:v>501325</x:v>
      </x:c>
      <x:c r="B1328" s="24" t="n">
        <x:v>45900</x:v>
      </x:c>
      <x:c r="C1328" t="n">
        <x:v>1045</x:v>
      </x:c>
      <x:c r="D1328" t="str">
        <x:v>Seller 1045</x:v>
      </x:c>
      <x:c r="E1328" t="str">
        <x:v>Silver</x:v>
      </x:c>
      <x:c r="F1328" t="str">
        <x:v>Central</x:v>
      </x:c>
      <x:c r="G1328" t="str">
        <x:v>Apparel</x:v>
      </x:c>
      <x:c r="H1328" t="n">
        <x:v>2</x:v>
      </x:c>
      <x:c r="I1328" s="26" t="n">
        <x:v>1851</x:v>
      </x:c>
      <x:c r="J1328" s="26" t="n">
        <x:v>3464.4</x:v>
      </x:c>
      <x:c r="K1328" s="28" t="n">
        <x:v>0.1254</x:v>
      </x:c>
      <x:c r="L1328" s="26" t="n">
        <x:v>434.44</x:v>
      </x:c>
      <x:c r="M1328" t="n">
        <x:v>0</x:v>
      </x:c>
      <x:c r="N1328" s="26" t="n">
        <x:v>0</x:v>
      </x:c>
      <x:c r="O1328" s="26" t="n">
        <x:v>64.09</x:v>
      </x:c>
      <x:c r="P1328" s="26" t="n">
        <x:v>15.59</x:v>
      </x:c>
      <x:c r="Q1328" s="26" t="n">
        <x:v>29.45</x:v>
      </x:c>
      <x:c r="R1328" s="26" t="n">
        <x:v>36.38</x:v>
      </x:c>
      <x:c r="S1328" s="26" t="n">
        <x:v>288.93</x:v>
      </x:c>
    </x:row>
    <x:row r="1329">
      <x:c r="A1329" t="n">
        <x:v>501326</x:v>
      </x:c>
      <x:c r="B1329" s="24" t="n">
        <x:v>45901</x:v>
      </x:c>
      <x:c r="C1329" t="n">
        <x:v>1010</x:v>
      </x:c>
      <x:c r="D1329" t="str">
        <x:v>Seller 1010</x:v>
      </x:c>
      <x:c r="E1329" t="str">
        <x:v>Platinum</x:v>
      </x:c>
      <x:c r="F1329" t="str">
        <x:v>West</x:v>
      </x:c>
      <x:c r="G1329" t="str">
        <x:v>Home &amp; Kitchen</x:v>
      </x:c>
      <x:c r="H1329" t="n">
        <x:v>1</x:v>
      </x:c>
      <x:c r="I1329" s="26" t="n">
        <x:v>4369.8</x:v>
      </x:c>
      <x:c r="J1329" s="26" t="n">
        <x:v>7203</x:v>
      </x:c>
      <x:c r="K1329" s="28" t="n">
        <x:v>0.1381</x:v>
      </x:c>
      <x:c r="L1329" s="26" t="n">
        <x:v>994.73</x:v>
      </x:c>
      <x:c r="M1329" t="n">
        <x:v>0</x:v>
      </x:c>
      <x:c r="N1329" s="26" t="n">
        <x:v>0</x:v>
      </x:c>
      <x:c r="O1329" s="26" t="n">
        <x:v>133.26</x:v>
      </x:c>
      <x:c r="P1329" s="26" t="n">
        <x:v>32.41</x:v>
      </x:c>
      <x:c r="Q1329" s="26" t="n">
        <x:v>61.23</x:v>
      </x:c>
      <x:c r="R1329" s="26" t="n">
        <x:v>75.63</x:v>
      </x:c>
      <x:c r="S1329" s="26" t="n">
        <x:v>692.21</x:v>
      </x:c>
    </x:row>
    <x:row r="1330">
      <x:c r="A1330" t="n">
        <x:v>501327</x:v>
      </x:c>
      <x:c r="B1330" s="24" t="n">
        <x:v>45907</x:v>
      </x:c>
      <x:c r="C1330" t="n">
        <x:v>1068</x:v>
      </x:c>
      <x:c r="D1330" t="str">
        <x:v>Seller 1068</x:v>
      </x:c>
      <x:c r="E1330" t="str">
        <x:v>Bronze</x:v>
      </x:c>
      <x:c r="F1330" t="str">
        <x:v>South</x:v>
      </x:c>
      <x:c r="G1330" t="str">
        <x:v>Sports</x:v>
      </x:c>
      <x:c r="H1330" t="n">
        <x:v>1</x:v>
      </x:c>
      <x:c r="I1330" s="26" t="n">
        <x:v>4636.8</x:v>
      </x:c>
      <x:c r="J1330" s="26" t="n">
        <x:v>3057.6</x:v>
      </x:c>
      <x:c r="K1330" s="28" t="n">
        <x:v>0.1266</x:v>
      </x:c>
      <x:c r="L1330" s="26" t="n">
        <x:v>387.09</x:v>
      </x:c>
      <x:c r="M1330" t="n">
        <x:v>0</x:v>
      </x:c>
      <x:c r="N1330" s="26" t="n">
        <x:v>0</x:v>
      </x:c>
      <x:c r="O1330" s="26" t="n">
        <x:v>56.57</x:v>
      </x:c>
      <x:c r="P1330" s="26" t="n">
        <x:v>13.76</x:v>
      </x:c>
      <x:c r="Q1330" s="26" t="n">
        <x:v>25.99</x:v>
      </x:c>
      <x:c r="R1330" s="26" t="n">
        <x:v>32.1</x:v>
      </x:c>
      <x:c r="S1330" s="26" t="n">
        <x:v>258.67</x:v>
      </x:c>
    </x:row>
    <x:row r="1331">
      <x:c r="A1331" t="n">
        <x:v>501328</x:v>
      </x:c>
      <x:c r="B1331" s="24" t="n">
        <x:v>45920</x:v>
      </x:c>
      <x:c r="C1331" t="n">
        <x:v>1032</x:v>
      </x:c>
      <x:c r="D1331" t="str">
        <x:v>Seller 1032</x:v>
      </x:c>
      <x:c r="E1331" t="str">
        <x:v>Silver</x:v>
      </x:c>
      <x:c r="F1331" t="str">
        <x:v>West</x:v>
      </x:c>
      <x:c r="G1331" t="str">
        <x:v>Pet Supplies</x:v>
      </x:c>
      <x:c r="H1331" t="n">
        <x:v>3</x:v>
      </x:c>
      <x:c r="I1331" s="26" t="n">
        <x:v>480</x:v>
      </x:c>
      <x:c r="J1331" s="26" t="n">
        <x:v>1347.6</x:v>
      </x:c>
      <x:c r="K1331" s="28" t="n">
        <x:v>0.1255</x:v>
      </x:c>
      <x:c r="L1331" s="26" t="n">
        <x:v>169.12</x:v>
      </x:c>
      <x:c r="M1331" t="n">
        <x:v>0</x:v>
      </x:c>
      <x:c r="N1331" s="26" t="n">
        <x:v>0</x:v>
      </x:c>
      <x:c r="O1331" s="26" t="n">
        <x:v>24.93</x:v>
      </x:c>
      <x:c r="P1331" s="26" t="n">
        <x:v>6.06</x:v>
      </x:c>
      <x:c r="Q1331" s="26" t="n">
        <x:v>11.45</x:v>
      </x:c>
      <x:c r="R1331" s="26" t="n">
        <x:v>14.15</x:v>
      </x:c>
      <x:c r="S1331" s="26" t="n">
        <x:v>112.52</x:v>
      </x:c>
    </x:row>
    <x:row r="1332">
      <x:c r="A1332" t="n">
        <x:v>501329</x:v>
      </x:c>
      <x:c r="B1332" s="24" t="n">
        <x:v>45909</x:v>
      </x:c>
      <x:c r="C1332" t="n">
        <x:v>1031</x:v>
      </x:c>
      <x:c r="D1332" t="str">
        <x:v>Seller 1031</x:v>
      </x:c>
      <x:c r="E1332" t="str">
        <x:v>Silver</x:v>
      </x:c>
      <x:c r="F1332" t="str">
        <x:v>West</x:v>
      </x:c>
      <x:c r="G1332" t="str">
        <x:v>Home &amp; Kitchen</x:v>
      </x:c>
      <x:c r="H1332" t="n">
        <x:v>3</x:v>
      </x:c>
      <x:c r="I1332" s="26" t="n">
        <x:v>1533.6</x:v>
      </x:c>
      <x:c r="J1332" s="26" t="n">
        <x:v>4305.6</x:v>
      </x:c>
      <x:c r="K1332" s="28" t="n">
        <x:v>0.1249</x:v>
      </x:c>
      <x:c r="L1332" s="26" t="n">
        <x:v>537.77</x:v>
      </x:c>
      <x:c r="M1332" t="n">
        <x:v>0</x:v>
      </x:c>
      <x:c r="N1332" s="26" t="n">
        <x:v>0</x:v>
      </x:c>
      <x:c r="O1332" s="26" t="n">
        <x:v>79.65</x:v>
      </x:c>
      <x:c r="P1332" s="26" t="n">
        <x:v>19.38</x:v>
      </x:c>
      <x:c r="Q1332" s="26" t="n">
        <x:v>36.6</x:v>
      </x:c>
      <x:c r="R1332" s="26" t="n">
        <x:v>45.21</x:v>
      </x:c>
      <x:c r="S1332" s="26" t="n">
        <x:v>356.93</x:v>
      </x:c>
    </x:row>
    <x:row r="1333">
      <x:c r="A1333" t="n">
        <x:v>501330</x:v>
      </x:c>
      <x:c r="B1333" s="24" t="n">
        <x:v>45915</x:v>
      </x:c>
      <x:c r="C1333" t="n">
        <x:v>1062</x:v>
      </x:c>
      <x:c r="D1333" t="str">
        <x:v>Seller 1062</x:v>
      </x:c>
      <x:c r="E1333" t="str">
        <x:v>Bronze</x:v>
      </x:c>
      <x:c r="F1333" t="str">
        <x:v>West</x:v>
      </x:c>
      <x:c r="G1333" t="str">
        <x:v>Electronics</x:v>
      </x:c>
      <x:c r="H1333" t="n">
        <x:v>1</x:v>
      </x:c>
      <x:c r="I1333" s="26" t="n">
        <x:v>8928.6</x:v>
      </x:c>
      <x:c r="J1333" s="26" t="n">
        <x:v>5887.2</x:v>
      </x:c>
      <x:c r="K1333" s="28" t="n">
        <x:v>0.1267</x:v>
      </x:c>
      <x:c r="L1333" s="26" t="n">
        <x:v>745.91</x:v>
      </x:c>
      <x:c r="M1333" t="n">
        <x:v>0</x:v>
      </x:c>
      <x:c r="N1333" s="26" t="n">
        <x:v>0</x:v>
      </x:c>
      <x:c r="O1333" s="26" t="n">
        <x:v>108.91</x:v>
      </x:c>
      <x:c r="P1333" s="26" t="n">
        <x:v>26.49</x:v>
      </x:c>
      <x:c r="Q1333" s="26" t="n">
        <x:v>50.04</x:v>
      </x:c>
      <x:c r="R1333" s="26" t="n">
        <x:v>61.82</x:v>
      </x:c>
      <x:c r="S1333" s="26" t="n">
        <x:v>498.65</x:v>
      </x:c>
    </x:row>
    <x:row r="1334">
      <x:c r="A1334" t="n">
        <x:v>501331</x:v>
      </x:c>
      <x:c r="B1334" s="24" t="n">
        <x:v>45901</x:v>
      </x:c>
      <x:c r="C1334" t="n">
        <x:v>1032</x:v>
      </x:c>
      <x:c r="D1334" t="str">
        <x:v>Seller 1032</x:v>
      </x:c>
      <x:c r="E1334" t="str">
        <x:v>Silver</x:v>
      </x:c>
      <x:c r="F1334" t="str">
        <x:v>West</x:v>
      </x:c>
      <x:c r="G1334" t="str">
        <x:v>Apparel</x:v>
      </x:c>
      <x:c r="H1334" t="n">
        <x:v>1</x:v>
      </x:c>
      <x:c r="I1334" s="26" t="n">
        <x:v>3435.6</x:v>
      </x:c>
      <x:c r="J1334" s="26" t="n">
        <x:v>3215.4</x:v>
      </x:c>
      <x:c r="K1334" s="28" t="n">
        <x:v>0.1225</x:v>
      </x:c>
      <x:c r="L1334" s="26" t="n">
        <x:v>393.89</x:v>
      </x:c>
      <x:c r="M1334" t="n">
        <x:v>0</x:v>
      </x:c>
      <x:c r="N1334" s="26" t="n">
        <x:v>0</x:v>
      </x:c>
      <x:c r="O1334" s="26" t="n">
        <x:v>59.48</x:v>
      </x:c>
      <x:c r="P1334" s="26" t="n">
        <x:v>14.47</x:v>
      </x:c>
      <x:c r="Q1334" s="26" t="n">
        <x:v>27.33</x:v>
      </x:c>
      <x:c r="R1334" s="26" t="n">
        <x:v>33.76</x:v>
      </x:c>
      <x:c r="S1334" s="26" t="n">
        <x:v>258.84</x:v>
      </x:c>
    </x:row>
    <x:row r="1335">
      <x:c r="A1335" t="n">
        <x:v>501332</x:v>
      </x:c>
      <x:c r="B1335" s="24" t="n">
        <x:v>45903</x:v>
      </x:c>
      <x:c r="C1335" t="n">
        <x:v>1011</x:v>
      </x:c>
      <x:c r="D1335" t="str">
        <x:v>Seller 1011</x:v>
      </x:c>
      <x:c r="E1335" t="str">
        <x:v>Platinum</x:v>
      </x:c>
      <x:c r="F1335" t="str">
        <x:v>West</x:v>
      </x:c>
      <x:c r="G1335" t="str">
        <x:v>Electronics</x:v>
      </x:c>
      <x:c r="H1335" t="n">
        <x:v>2</x:v>
      </x:c>
      <x:c r="I1335" s="26" t="n">
        <x:v>4337.400000000001</x:v>
      </x:c>
      <x:c r="J1335" s="26" t="n">
        <x:v>14300.4</x:v>
      </x:c>
      <x:c r="K1335" s="28" t="n">
        <x:v>0.1249</x:v>
      </x:c>
      <x:c r="L1335" s="26" t="n">
        <x:v>1786.12</x:v>
      </x:c>
      <x:c r="M1335" t="n">
        <x:v>0</x:v>
      </x:c>
      <x:c r="N1335" s="26" t="n">
        <x:v>0</x:v>
      </x:c>
      <x:c r="O1335" s="26" t="n">
        <x:v>264.56</x:v>
      </x:c>
      <x:c r="P1335" s="26" t="n">
        <x:v>64.35</x:v>
      </x:c>
      <x:c r="Q1335" s="26" t="n">
        <x:v>121.55</x:v>
      </x:c>
      <x:c r="R1335" s="26" t="n">
        <x:v>150.15</x:v>
      </x:c>
      <x:c r="S1335" s="26" t="n">
        <x:v>1185.5</x:v>
      </x:c>
    </x:row>
    <x:row r="1336">
      <x:c r="A1336" t="n">
        <x:v>501333</x:v>
      </x:c>
      <x:c r="B1336" s="24" t="n">
        <x:v>45902</x:v>
      </x:c>
      <x:c r="C1336" t="n">
        <x:v>1059</x:v>
      </x:c>
      <x:c r="D1336" t="str">
        <x:v>Seller 1059</x:v>
      </x:c>
      <x:c r="E1336" t="str">
        <x:v>Bronze</x:v>
      </x:c>
      <x:c r="F1336" t="str">
        <x:v>Central</x:v>
      </x:c>
      <x:c r="G1336" t="str">
        <x:v>Sports</x:v>
      </x:c>
      <x:c r="H1336" t="n">
        <x:v>3</x:v>
      </x:c>
      <x:c r="I1336" s="26" t="n">
        <x:v>1716</x:v>
      </x:c>
      <x:c r="J1336" s="26" t="n">
        <x:v>3394.8</x:v>
      </x:c>
      <x:c r="K1336" s="28" t="n">
        <x:v>0.1293</x:v>
      </x:c>
      <x:c r="L1336" s="26" t="n">
        <x:v>438.95</x:v>
      </x:c>
      <x:c r="M1336" t="n">
        <x:v>0</x:v>
      </x:c>
      <x:c r="N1336" s="26" t="n">
        <x:v>0</x:v>
      </x:c>
      <x:c r="O1336" s="26" t="n">
        <x:v>62.8</x:v>
      </x:c>
      <x:c r="P1336" s="26" t="n">
        <x:v>15.28</x:v>
      </x:c>
      <x:c r="Q1336" s="26" t="n">
        <x:v>28.86</x:v>
      </x:c>
      <x:c r="R1336" s="26" t="n">
        <x:v>35.65</x:v>
      </x:c>
      <x:c r="S1336" s="26" t="n">
        <x:v>296.37</x:v>
      </x:c>
    </x:row>
    <x:row r="1337">
      <x:c r="A1337" t="n">
        <x:v>501334</x:v>
      </x:c>
      <x:c r="B1337" s="24" t="n">
        <x:v>45926</x:v>
      </x:c>
      <x:c r="C1337" t="n">
        <x:v>1005</x:v>
      </x:c>
      <x:c r="D1337" t="str">
        <x:v>Seller 1005</x:v>
      </x:c>
      <x:c r="E1337" t="str">
        <x:v>Platinum</x:v>
      </x:c>
      <x:c r="F1337" t="str">
        <x:v>East</x:v>
      </x:c>
      <x:c r="G1337" t="str">
        <x:v>Electronics</x:v>
      </x:c>
      <x:c r="H1337" t="n">
        <x:v>1</x:v>
      </x:c>
      <x:c r="I1337" s="26" t="n">
        <x:v>6737.400000000001</x:v>
      </x:c>
      <x:c r="J1337" s="26" t="n">
        <x:v>11106</x:v>
      </x:c>
      <x:c r="K1337" s="28" t="n">
        <x:v>0.1162</x:v>
      </x:c>
      <x:c r="L1337" s="26" t="n">
        <x:v>1290.52</x:v>
      </x:c>
      <x:c r="M1337" t="n">
        <x:v>0</x:v>
      </x:c>
      <x:c r="N1337" s="26" t="n">
        <x:v>0</x:v>
      </x:c>
      <x:c r="O1337" s="26" t="n">
        <x:v>205.46</x:v>
      </x:c>
      <x:c r="P1337" s="26" t="n">
        <x:v>49.98</x:v>
      </x:c>
      <x:c r="Q1337" s="26" t="n">
        <x:v>94.4</x:v>
      </x:c>
      <x:c r="R1337" s="26" t="n">
        <x:v>116.61</x:v>
      </x:c>
      <x:c r="S1337" s="26" t="n">
        <x:v>824.07</x:v>
      </x:c>
    </x:row>
    <x:row r="1338">
      <x:c r="A1338" t="n">
        <x:v>501335</x:v>
      </x:c>
      <x:c r="B1338" s="24" t="n">
        <x:v>45926</x:v>
      </x:c>
      <x:c r="C1338" t="n">
        <x:v>1055</x:v>
      </x:c>
      <x:c r="D1338" t="str">
        <x:v>Seller 1055</x:v>
      </x:c>
      <x:c r="E1338" t="str">
        <x:v>Bronze</x:v>
      </x:c>
      <x:c r="F1338" t="str">
        <x:v>Central</x:v>
      </x:c>
      <x:c r="G1338" t="str">
        <x:v>Pet Supplies</x:v>
      </x:c>
      <x:c r="H1338" t="n">
        <x:v>1</x:v>
      </x:c>
      <x:c r="I1338" s="26" t="n">
        <x:v>3303.6000000000004</x:v>
      </x:c>
      <x:c r="J1338" s="26" t="n">
        <x:v>2178</x:v>
      </x:c>
      <x:c r="K1338" s="28" t="n">
        <x:v>0.1371</x:v>
      </x:c>
      <x:c r="L1338" s="26" t="n">
        <x:v>298.6</x:v>
      </x:c>
      <x:c r="M1338" t="n">
        <x:v>0</x:v>
      </x:c>
      <x:c r="N1338" s="26" t="n">
        <x:v>0</x:v>
      </x:c>
      <x:c r="O1338" s="26" t="n">
        <x:v>40.29</x:v>
      </x:c>
      <x:c r="P1338" s="26" t="n">
        <x:v>9.8</x:v>
      </x:c>
      <x:c r="Q1338" s="26" t="n">
        <x:v>18.51</x:v>
      </x:c>
      <x:c r="R1338" s="26" t="n">
        <x:v>22.87</x:v>
      </x:c>
      <x:c r="S1338" s="26" t="n">
        <x:v>207.13</x:v>
      </x:c>
    </x:row>
    <x:row r="1339">
      <x:c r="A1339" t="n">
        <x:v>501336</x:v>
      </x:c>
      <x:c r="B1339" s="24" t="n">
        <x:v>45912</x:v>
      </x:c>
      <x:c r="C1339" t="n">
        <x:v>1044</x:v>
      </x:c>
      <x:c r="D1339" t="str">
        <x:v>Seller 1044</x:v>
      </x:c>
      <x:c r="E1339" t="str">
        <x:v>Silver</x:v>
      </x:c>
      <x:c r="F1339" t="str">
        <x:v>East</x:v>
      </x:c>
      <x:c r="G1339" t="str">
        <x:v>Pet Supplies</x:v>
      </x:c>
      <x:c r="H1339" t="n">
        <x:v>1</x:v>
      </x:c>
      <x:c r="I1339" s="26" t="n">
        <x:v>2584.7999999999997</x:v>
      </x:c>
      <x:c r="J1339" s="26" t="n">
        <x:v>2419.2</x:v>
      </x:c>
      <x:c r="K1339" s="28" t="n">
        <x:v>0.1211</x:v>
      </x:c>
      <x:c r="L1339" s="26" t="n">
        <x:v>292.97</x:v>
      </x:c>
      <x:c r="M1339" t="n">
        <x:v>0</x:v>
      </x:c>
      <x:c r="N1339" s="26" t="n">
        <x:v>0</x:v>
      </x:c>
      <x:c r="O1339" s="26" t="n">
        <x:v>44.76</x:v>
      </x:c>
      <x:c r="P1339" s="26" t="n">
        <x:v>10.89</x:v>
      </x:c>
      <x:c r="Q1339" s="26" t="n">
        <x:v>20.56</x:v>
      </x:c>
      <x:c r="R1339" s="26" t="n">
        <x:v>25.4</x:v>
      </x:c>
      <x:c r="S1339" s="26" t="n">
        <x:v>191.36</x:v>
      </x:c>
    </x:row>
    <x:row r="1340">
      <x:c r="A1340" t="n">
        <x:v>501337</x:v>
      </x:c>
      <x:c r="B1340" s="24" t="n">
        <x:v>45921</x:v>
      </x:c>
      <x:c r="C1340" t="n">
        <x:v>1053</x:v>
      </x:c>
      <x:c r="D1340" t="str">
        <x:v>Seller 1053</x:v>
      </x:c>
      <x:c r="E1340" t="str">
        <x:v>Silver</x:v>
      </x:c>
      <x:c r="F1340" t="str">
        <x:v>Central</x:v>
      </x:c>
      <x:c r="G1340" t="str">
        <x:v>Beauty</x:v>
      </x:c>
      <x:c r="H1340" t="n">
        <x:v>2</x:v>
      </x:c>
      <x:c r="I1340" s="26" t="n">
        <x:v>1094.3999999999999</x:v>
      </x:c>
      <x:c r="J1340" s="26" t="n">
        <x:v>2048.4</x:v>
      </x:c>
      <x:c r="K1340" s="28" t="n">
        <x:v>0.1512</x:v>
      </x:c>
      <x:c r="L1340" s="26" t="n">
        <x:v>309.72</x:v>
      </x:c>
      <x:c r="M1340" t="n">
        <x:v>0</x:v>
      </x:c>
      <x:c r="N1340" s="26" t="n">
        <x:v>0</x:v>
      </x:c>
      <x:c r="O1340" s="26" t="n">
        <x:v>37.9</x:v>
      </x:c>
      <x:c r="P1340" s="26" t="n">
        <x:v>9.22</x:v>
      </x:c>
      <x:c r="Q1340" s="26" t="n">
        <x:v>17.41</x:v>
      </x:c>
      <x:c r="R1340" s="26" t="n">
        <x:v>21.51</x:v>
      </x:c>
      <x:c r="S1340" s="26" t="n">
        <x:v>223.69</x:v>
      </x:c>
    </x:row>
    <x:row r="1341">
      <x:c r="A1341" t="n">
        <x:v>501338</x:v>
      </x:c>
      <x:c r="B1341" s="24" t="n">
        <x:v>45910</x:v>
      </x:c>
      <x:c r="C1341" t="n">
        <x:v>1076</x:v>
      </x:c>
      <x:c r="D1341" t="str">
        <x:v>Seller 1076</x:v>
      </x:c>
      <x:c r="E1341" t="str">
        <x:v>Bronze</x:v>
      </x:c>
      <x:c r="F1341" t="str">
        <x:v>Central</x:v>
      </x:c>
      <x:c r="G1341" t="str">
        <x:v>Sports</x:v>
      </x:c>
      <x:c r="H1341" t="n">
        <x:v>4</x:v>
      </x:c>
      <x:c r="I1341" s="26" t="n">
        <x:v>1529.3999999999999</x:v>
      </x:c>
      <x:c r="J1341" s="26" t="n">
        <x:v>4034.4</x:v>
      </x:c>
      <x:c r="K1341" s="28" t="n">
        <x:v>0.1302</x:v>
      </x:c>
      <x:c r="L1341" s="26" t="n">
        <x:v>525.28</x:v>
      </x:c>
      <x:c r="M1341" t="n">
        <x:v>0</x:v>
      </x:c>
      <x:c r="N1341" s="26" t="n">
        <x:v>0</x:v>
      </x:c>
      <x:c r="O1341" s="26" t="n">
        <x:v>74.64</x:v>
      </x:c>
      <x:c r="P1341" s="26" t="n">
        <x:v>18.15</x:v>
      </x:c>
      <x:c r="Q1341" s="26" t="n">
        <x:v>34.29</x:v>
      </x:c>
      <x:c r="R1341" s="26" t="n">
        <x:v>42.36</x:v>
      </x:c>
      <x:c r="S1341" s="26" t="n">
        <x:v>355.83</x:v>
      </x:c>
    </x:row>
    <x:row r="1342">
      <x:c r="A1342" t="n">
        <x:v>501339</x:v>
      </x:c>
      <x:c r="B1342" s="24" t="n">
        <x:v>45908</x:v>
      </x:c>
      <x:c r="C1342" t="n">
        <x:v>1042</x:v>
      </x:c>
      <x:c r="D1342" t="str">
        <x:v>Seller 1042</x:v>
      </x:c>
      <x:c r="E1342" t="str">
        <x:v>Silver</x:v>
      </x:c>
      <x:c r="F1342" t="str">
        <x:v>East</x:v>
      </x:c>
      <x:c r="G1342" t="str">
        <x:v>Pet Supplies</x:v>
      </x:c>
      <x:c r="H1342" t="n">
        <x:v>1</x:v>
      </x:c>
      <x:c r="I1342" s="26" t="n">
        <x:v>3102</x:v>
      </x:c>
      <x:c r="J1342" s="26" t="n">
        <x:v>2902.8</x:v>
      </x:c>
      <x:c r="K1342" s="28" t="n">
        <x:v>0.1427</x:v>
      </x:c>
      <x:c r="L1342" s="26" t="n">
        <x:v>414.23</x:v>
      </x:c>
      <x:c r="M1342" t="n">
        <x:v>0</x:v>
      </x:c>
      <x:c r="N1342" s="26" t="n">
        <x:v>0</x:v>
      </x:c>
      <x:c r="O1342" s="26" t="n">
        <x:v>53.7</x:v>
      </x:c>
      <x:c r="P1342" s="26" t="n">
        <x:v>13.06</x:v>
      </x:c>
      <x:c r="Q1342" s="26" t="n">
        <x:v>24.67</x:v>
      </x:c>
      <x:c r="R1342" s="26" t="n">
        <x:v>30.48</x:v>
      </x:c>
      <x:c r="S1342" s="26" t="n">
        <x:v>292.31</x:v>
      </x:c>
    </x:row>
    <x:row r="1343">
      <x:c r="A1343" t="n">
        <x:v>501340</x:v>
      </x:c>
      <x:c r="B1343" s="24" t="n">
        <x:v>45908</x:v>
      </x:c>
      <x:c r="C1343" t="n">
        <x:v>1007</x:v>
      </x:c>
      <x:c r="D1343" t="str">
        <x:v>Seller 1007</x:v>
      </x:c>
      <x:c r="E1343" t="str">
        <x:v>Platinum</x:v>
      </x:c>
      <x:c r="F1343" t="str">
        <x:v>South</x:v>
      </x:c>
      <x:c r="G1343" t="str">
        <x:v>Home &amp; Kitchen</x:v>
      </x:c>
      <x:c r="H1343" t="n">
        <x:v>3</x:v>
      </x:c>
      <x:c r="I1343" s="26" t="n">
        <x:v>1328.4</x:v>
      </x:c>
      <x:c r="J1343" s="26" t="n">
        <x:v>6568.8</x:v>
      </x:c>
      <x:c r="K1343" s="28" t="n">
        <x:v>0.1433</x:v>
      </x:c>
      <x:c r="L1343" s="26" t="n">
        <x:v>941.31</x:v>
      </x:c>
      <x:c r="M1343" t="n">
        <x:v>0</x:v>
      </x:c>
      <x:c r="N1343" s="26" t="n">
        <x:v>0</x:v>
      </x:c>
      <x:c r="O1343" s="26" t="n">
        <x:v>121.52</x:v>
      </x:c>
      <x:c r="P1343" s="26" t="n">
        <x:v>29.56</x:v>
      </x:c>
      <x:c r="Q1343" s="26" t="n">
        <x:v>55.83</x:v>
      </x:c>
      <x:c r="R1343" s="26" t="n">
        <x:v>68.97</x:v>
      </x:c>
      <x:c r="S1343" s="26" t="n">
        <x:v>665.42</x:v>
      </x:c>
    </x:row>
    <x:row r="1344">
      <x:c r="A1344" t="n">
        <x:v>501341</x:v>
      </x:c>
      <x:c r="B1344" s="24" t="n">
        <x:v>45916</x:v>
      </x:c>
      <x:c r="C1344" t="n">
        <x:v>1023</x:v>
      </x:c>
      <x:c r="D1344" t="str">
        <x:v>Seller 1023</x:v>
      </x:c>
      <x:c r="E1344" t="str">
        <x:v>Gold</x:v>
      </x:c>
      <x:c r="F1344" t="str">
        <x:v>Central</x:v>
      </x:c>
      <x:c r="G1344" t="str">
        <x:v>Electronics</x:v>
      </x:c>
      <x:c r="H1344" t="n">
        <x:v>3</x:v>
      </x:c>
      <x:c r="I1344" s="26" t="n">
        <x:v>1857</x:v>
      </x:c>
      <x:c r="J1344" s="26" t="n">
        <x:v>6812.4</x:v>
      </x:c>
      <x:c r="K1344" s="28" t="n">
        <x:v>0.1367</x:v>
      </x:c>
      <x:c r="L1344" s="26" t="n">
        <x:v>931.26</x:v>
      </x:c>
      <x:c r="M1344" t="n">
        <x:v>0</x:v>
      </x:c>
      <x:c r="N1344" s="26" t="n">
        <x:v>0</x:v>
      </x:c>
      <x:c r="O1344" s="26" t="n">
        <x:v>126.03</x:v>
      </x:c>
      <x:c r="P1344" s="26" t="n">
        <x:v>30.66</x:v>
      </x:c>
      <x:c r="Q1344" s="26" t="n">
        <x:v>57.91</x:v>
      </x:c>
      <x:c r="R1344" s="26" t="n">
        <x:v>71.53</x:v>
      </x:c>
      <x:c r="S1344" s="26" t="n">
        <x:v>645.13</x:v>
      </x:c>
    </x:row>
    <x:row r="1345">
      <x:c r="A1345" t="n">
        <x:v>501342</x:v>
      </x:c>
      <x:c r="B1345" s="24" t="n">
        <x:v>45903</x:v>
      </x:c>
      <x:c r="C1345" t="n">
        <x:v>1079</x:v>
      </x:c>
      <x:c r="D1345" t="str">
        <x:v>Seller 1079</x:v>
      </x:c>
      <x:c r="E1345" t="str">
        <x:v>Bronze</x:v>
      </x:c>
      <x:c r="F1345" t="str">
        <x:v>South</x:v>
      </x:c>
      <x:c r="G1345" t="str">
        <x:v>Beauty</x:v>
      </x:c>
      <x:c r="H1345" t="n">
        <x:v>2</x:v>
      </x:c>
      <x:c r="I1345" s="26" t="n">
        <x:v>1423.8</x:v>
      </x:c>
      <x:c r="J1345" s="26" t="n">
        <x:v>1878</x:v>
      </x:c>
      <x:c r="K1345" s="28" t="n">
        <x:v>0.1399</x:v>
      </x:c>
      <x:c r="L1345" s="26" t="n">
        <x:v>262.73</x:v>
      </x:c>
      <x:c r="M1345" t="n">
        <x:v>0</x:v>
      </x:c>
      <x:c r="N1345" s="26" t="n">
        <x:v>0</x:v>
      </x:c>
      <x:c r="O1345" s="26" t="n">
        <x:v>34.74</x:v>
      </x:c>
      <x:c r="P1345" s="26" t="n">
        <x:v>8.45</x:v>
      </x:c>
      <x:c r="Q1345" s="26" t="n">
        <x:v>15.96</x:v>
      </x:c>
      <x:c r="R1345" s="26" t="n">
        <x:v>19.72</x:v>
      </x:c>
      <x:c r="S1345" s="26" t="n">
        <x:v>183.86</x:v>
      </x:c>
    </x:row>
    <x:row r="1346">
      <x:c r="A1346" t="n">
        <x:v>501343</x:v>
      </x:c>
      <x:c r="B1346" s="24" t="n">
        <x:v>45904</x:v>
      </x:c>
      <x:c r="C1346" t="n">
        <x:v>1037</x:v>
      </x:c>
      <x:c r="D1346" t="str">
        <x:v>Seller 1037</x:v>
      </x:c>
      <x:c r="E1346" t="str">
        <x:v>Silver</x:v>
      </x:c>
      <x:c r="F1346" t="str">
        <x:v>East</x:v>
      </x:c>
      <x:c r="G1346" t="str">
        <x:v>Beauty</x:v>
      </x:c>
      <x:c r="H1346" t="n">
        <x:v>4</x:v>
      </x:c>
      <x:c r="I1346" s="26" t="n">
        <x:v>635.4</x:v>
      </x:c>
      <x:c r="J1346" s="26" t="n">
        <x:v>2377.8</x:v>
      </x:c>
      <x:c r="K1346" s="28" t="n">
        <x:v>0.1552</x:v>
      </x:c>
      <x:c r="L1346" s="26" t="n">
        <x:v>369.03</x:v>
      </x:c>
      <x:c r="M1346" t="n">
        <x:v>0</x:v>
      </x:c>
      <x:c r="N1346" s="26" t="n">
        <x:v>0</x:v>
      </x:c>
      <x:c r="O1346" s="26" t="n">
        <x:v>43.99</x:v>
      </x:c>
      <x:c r="P1346" s="26" t="n">
        <x:v>10.7</x:v>
      </x:c>
      <x:c r="Q1346" s="26" t="n">
        <x:v>20.21</x:v>
      </x:c>
      <x:c r="R1346" s="26" t="n">
        <x:v>24.97</x:v>
      </x:c>
      <x:c r="S1346" s="26" t="n">
        <x:v>269.17</x:v>
      </x:c>
    </x:row>
    <x:row r="1347">
      <x:c r="A1347" t="n">
        <x:v>501344</x:v>
      </x:c>
      <x:c r="B1347" s="24" t="n">
        <x:v>45898</x:v>
      </x:c>
      <x:c r="C1347" t="n">
        <x:v>1071</x:v>
      </x:c>
      <x:c r="D1347" t="str">
        <x:v>Seller 1071</x:v>
      </x:c>
      <x:c r="E1347" t="str">
        <x:v>Bronze</x:v>
      </x:c>
      <x:c r="F1347" t="str">
        <x:v>Central</x:v>
      </x:c>
      <x:c r="G1347" t="str">
        <x:v>Home &amp; Kitchen</x:v>
      </x:c>
      <x:c r="H1347" t="n">
        <x:v>4</x:v>
      </x:c>
      <x:c r="I1347" s="26" t="n">
        <x:v>1375.2</x:v>
      </x:c>
      <x:c r="J1347" s="26" t="n">
        <x:v>3627</x:v>
      </x:c>
      <x:c r="K1347" s="28" t="n">
        <x:v>0.146</x:v>
      </x:c>
      <x:c r="L1347" s="26" t="n">
        <x:v>529.54</x:v>
      </x:c>
      <x:c r="M1347" t="n">
        <x:v>0</x:v>
      </x:c>
      <x:c r="N1347" s="26" t="n">
        <x:v>0</x:v>
      </x:c>
      <x:c r="O1347" s="26" t="n">
        <x:v>67.1</x:v>
      </x:c>
      <x:c r="P1347" s="26" t="n">
        <x:v>16.32</x:v>
      </x:c>
      <x:c r="Q1347" s="26" t="n">
        <x:v>30.83</x:v>
      </x:c>
      <x:c r="R1347" s="26" t="n">
        <x:v>38.08</x:v>
      </x:c>
      <x:c r="S1347" s="26" t="n">
        <x:v>377.21</x:v>
      </x:c>
    </x:row>
    <x:row r="1348">
      <x:c r="A1348" t="n">
        <x:v>501345</x:v>
      </x:c>
      <x:c r="B1348" s="24" t="n">
        <x:v>45902</x:v>
      </x:c>
      <x:c r="C1348" t="n">
        <x:v>1063</x:v>
      </x:c>
      <x:c r="D1348" t="str">
        <x:v>Seller 1063</x:v>
      </x:c>
      <x:c r="E1348" t="str">
        <x:v>Bronze</x:v>
      </x:c>
      <x:c r="F1348" t="str">
        <x:v>West</x:v>
      </x:c>
      <x:c r="G1348" t="str">
        <x:v>Electronics</x:v>
      </x:c>
      <x:c r="H1348" t="n">
        <x:v>2</x:v>
      </x:c>
      <x:c r="I1348" s="26" t="n">
        <x:v>4764</x:v>
      </x:c>
      <x:c r="J1348" s="26" t="n">
        <x:v>6282.6</x:v>
      </x:c>
      <x:c r="K1348" s="28" t="n">
        <x:v>0.1357</x:v>
      </x:c>
      <x:c r="L1348" s="26" t="n">
        <x:v>852.55</x:v>
      </x:c>
      <x:c r="M1348" t="n">
        <x:v>0</x:v>
      </x:c>
      <x:c r="N1348" s="26" t="n">
        <x:v>0</x:v>
      </x:c>
      <x:c r="O1348" s="26" t="n">
        <x:v>116.23</x:v>
      </x:c>
      <x:c r="P1348" s="26" t="n">
        <x:v>28.27</x:v>
      </x:c>
      <x:c r="Q1348" s="26" t="n">
        <x:v>53.4</x:v>
      </x:c>
      <x:c r="R1348" s="26" t="n">
        <x:v>65.97</x:v>
      </x:c>
      <x:c r="S1348" s="26" t="n">
        <x:v>588.68</x:v>
      </x:c>
    </x:row>
    <x:row r="1349">
      <x:c r="A1349" t="n">
        <x:v>501346</x:v>
      </x:c>
      <x:c r="B1349" s="24" t="n">
        <x:v>45906</x:v>
      </x:c>
      <x:c r="C1349" t="n">
        <x:v>1059</x:v>
      </x:c>
      <x:c r="D1349" t="str">
        <x:v>Seller 1059</x:v>
      </x:c>
      <x:c r="E1349" t="str">
        <x:v>Bronze</x:v>
      </x:c>
      <x:c r="F1349" t="str">
        <x:v>Central</x:v>
      </x:c>
      <x:c r="G1349" t="str">
        <x:v>Sports</x:v>
      </x:c>
      <x:c r="H1349" t="n">
        <x:v>3</x:v>
      </x:c>
      <x:c r="I1349" s="26" t="n">
        <x:v>1882.8</x:v>
      </x:c>
      <x:c r="J1349" s="26" t="n">
        <x:v>3724.8</x:v>
      </x:c>
      <x:c r="K1349" s="28" t="n">
        <x:v>0.1363</x:v>
      </x:c>
      <x:c r="L1349" s="26" t="n">
        <x:v>507.69</x:v>
      </x:c>
      <x:c r="M1349" t="n">
        <x:v>0</x:v>
      </x:c>
      <x:c r="N1349" s="26" t="n">
        <x:v>0</x:v>
      </x:c>
      <x:c r="O1349" s="26" t="n">
        <x:v>68.91</x:v>
      </x:c>
      <x:c r="P1349" s="26" t="n">
        <x:v>16.76</x:v>
      </x:c>
      <x:c r="Q1349" s="26" t="n">
        <x:v>31.66</x:v>
      </x:c>
      <x:c r="R1349" s="26" t="n">
        <x:v>39.11</x:v>
      </x:c>
      <x:c r="S1349" s="26" t="n">
        <x:v>351.25</x:v>
      </x:c>
    </x:row>
    <x:row r="1350">
      <x:c r="A1350" t="n">
        <x:v>501347</x:v>
      </x:c>
      <x:c r="B1350" s="24" t="n">
        <x:v>45921</x:v>
      </x:c>
      <x:c r="C1350" t="n">
        <x:v>1012</x:v>
      </x:c>
      <x:c r="D1350" t="str">
        <x:v>Seller 1012</x:v>
      </x:c>
      <x:c r="E1350" t="str">
        <x:v>Platinum</x:v>
      </x:c>
      <x:c r="F1350" t="str">
        <x:v>East</x:v>
      </x:c>
      <x:c r="G1350" t="str">
        <x:v>Beauty</x:v>
      </x:c>
      <x:c r="H1350" t="n">
        <x:v>2</x:v>
      </x:c>
      <x:c r="I1350" s="26" t="n">
        <x:v>1215.6000000000001</x:v>
      </x:c>
      <x:c r="J1350" s="26" t="n">
        <x:v>4007.4</x:v>
      </x:c>
      <x:c r="K1350" s="28" t="n">
        <x:v>0.1415</x:v>
      </x:c>
      <x:c r="L1350" s="26" t="n">
        <x:v>567.05</x:v>
      </x:c>
      <x:c r="M1350" t="n">
        <x:v>0</x:v>
      </x:c>
      <x:c r="N1350" s="26" t="n">
        <x:v>0</x:v>
      </x:c>
      <x:c r="O1350" s="26" t="n">
        <x:v>74.14</x:v>
      </x:c>
      <x:c r="P1350" s="26" t="n">
        <x:v>18.03</x:v>
      </x:c>
      <x:c r="Q1350" s="26" t="n">
        <x:v>34.06</x:v>
      </x:c>
      <x:c r="R1350" s="26" t="n">
        <x:v>42.08</x:v>
      </x:c>
      <x:c r="S1350" s="26" t="n">
        <x:v>398.74</x:v>
      </x:c>
    </x:row>
    <x:row r="1351">
      <x:c r="A1351" t="n">
        <x:v>501348</x:v>
      </x:c>
      <x:c r="B1351" s="24" t="n">
        <x:v>45920</x:v>
      </x:c>
      <x:c r="C1351" t="n">
        <x:v>1010</x:v>
      </x:c>
      <x:c r="D1351" t="str">
        <x:v>Seller 1010</x:v>
      </x:c>
      <x:c r="E1351" t="str">
        <x:v>Platinum</x:v>
      </x:c>
      <x:c r="F1351" t="str">
        <x:v>West</x:v>
      </x:c>
      <x:c r="G1351" t="str">
        <x:v>Home &amp; Kitchen</x:v>
      </x:c>
      <x:c r="H1351" t="n">
        <x:v>1</x:v>
      </x:c>
      <x:c r="I1351" s="26" t="n">
        <x:v>4906.2</x:v>
      </x:c>
      <x:c r="J1351" s="26" t="n">
        <x:v>8086.8</x:v>
      </x:c>
      <x:c r="K1351" s="28" t="n">
        <x:v>0.1381</x:v>
      </x:c>
      <x:c r="L1351" s="26" t="n">
        <x:v>1116.79</x:v>
      </x:c>
      <x:c r="M1351" t="n">
        <x:v>0</x:v>
      </x:c>
      <x:c r="N1351" s="26" t="n">
        <x:v>0</x:v>
      </x:c>
      <x:c r="O1351" s="26" t="n">
        <x:v>149.61</x:v>
      </x:c>
      <x:c r="P1351" s="26" t="n">
        <x:v>36.39</x:v>
      </x:c>
      <x:c r="Q1351" s="26" t="n">
        <x:v>68.74</x:v>
      </x:c>
      <x:c r="R1351" s="26" t="n">
        <x:v>84.91</x:v>
      </x:c>
      <x:c r="S1351" s="26" t="n">
        <x:v>777.14</x:v>
      </x:c>
    </x:row>
    <x:row r="1352">
      <x:c r="A1352" t="n">
        <x:v>501349</x:v>
      </x:c>
      <x:c r="B1352" s="24" t="n">
        <x:v>45919</x:v>
      </x:c>
      <x:c r="C1352" t="n">
        <x:v>1041</x:v>
      </x:c>
      <x:c r="D1352" t="str">
        <x:v>Seller 1041</x:v>
      </x:c>
      <x:c r="E1352" t="str">
        <x:v>Silver</x:v>
      </x:c>
      <x:c r="F1352" t="str">
        <x:v>West</x:v>
      </x:c>
      <x:c r="G1352" t="str">
        <x:v>Electronics</x:v>
      </x:c>
      <x:c r="H1352" t="n">
        <x:v>1</x:v>
      </x:c>
      <x:c r="I1352" s="26" t="n">
        <x:v>9356.4</x:v>
      </x:c>
      <x:c r="J1352" s="26" t="n">
        <x:v>8756.4</x:v>
      </x:c>
      <x:c r="K1352" s="28" t="n">
        <x:v>0.1321</x:v>
      </x:c>
      <x:c r="L1352" s="26" t="n">
        <x:v>1156.72</x:v>
      </x:c>
      <x:c r="M1352" t="n">
        <x:v>0</x:v>
      </x:c>
      <x:c r="N1352" s="26" t="n">
        <x:v>0</x:v>
      </x:c>
      <x:c r="O1352" s="26" t="n">
        <x:v>161.99</x:v>
      </x:c>
      <x:c r="P1352" s="26" t="n">
        <x:v>39.4</x:v>
      </x:c>
      <x:c r="Q1352" s="26" t="n">
        <x:v>74.43</x:v>
      </x:c>
      <x:c r="R1352" s="26" t="n">
        <x:v>91.94</x:v>
      </x:c>
      <x:c r="S1352" s="26" t="n">
        <x:v>788.95</x:v>
      </x:c>
    </x:row>
    <x:row r="1353">
      <x:c r="A1353" t="n">
        <x:v>501350</x:v>
      </x:c>
      <x:c r="B1353" s="24" t="n">
        <x:v>45906</x:v>
      </x:c>
      <x:c r="C1353" t="n">
        <x:v>1005</x:v>
      </x:c>
      <x:c r="D1353" t="str">
        <x:v>Seller 1005</x:v>
      </x:c>
      <x:c r="E1353" t="str">
        <x:v>Platinum</x:v>
      </x:c>
      <x:c r="F1353" t="str">
        <x:v>East</x:v>
      </x:c>
      <x:c r="G1353" t="str">
        <x:v>Pet Supplies</x:v>
      </x:c>
      <x:c r="H1353" t="n">
        <x:v>3</x:v>
      </x:c>
      <x:c r="I1353" s="26" t="n">
        <x:v>1047</x:v>
      </x:c>
      <x:c r="J1353" s="26" t="n">
        <x:v>5176.8</x:v>
      </x:c>
      <x:c r="K1353" s="28" t="n">
        <x:v>0.129</x:v>
      </x:c>
      <x:c r="L1353" s="26" t="n">
        <x:v>667.81</x:v>
      </x:c>
      <x:c r="M1353" t="n">
        <x:v>0</x:v>
      </x:c>
      <x:c r="N1353" s="26" t="n">
        <x:v>0</x:v>
      </x:c>
      <x:c r="O1353" s="26" t="n">
        <x:v>95.77</x:v>
      </x:c>
      <x:c r="P1353" s="26" t="n">
        <x:v>23.3</x:v>
      </x:c>
      <x:c r="Q1353" s="26" t="n">
        <x:v>44</x:v>
      </x:c>
      <x:c r="R1353" s="26" t="n">
        <x:v>54.36</x:v>
      </x:c>
      <x:c r="S1353" s="26" t="n">
        <x:v>450.38</x:v>
      </x:c>
    </x:row>
    <x:row r="1354">
      <x:c r="A1354" t="n">
        <x:v>501351</x:v>
      </x:c>
      <x:c r="B1354" s="24" t="n">
        <x:v>45914</x:v>
      </x:c>
      <x:c r="C1354" t="n">
        <x:v>1061</x:v>
      </x:c>
      <x:c r="D1354" t="str">
        <x:v>Seller 1061</x:v>
      </x:c>
      <x:c r="E1354" t="str">
        <x:v>Bronze</x:v>
      </x:c>
      <x:c r="F1354" t="str">
        <x:v>Central</x:v>
      </x:c>
      <x:c r="G1354" t="str">
        <x:v>Electronics</x:v>
      </x:c>
      <x:c r="H1354" t="n">
        <x:v>3</x:v>
      </x:c>
      <x:c r="I1354" s="26" t="n">
        <x:v>1858.1999999999998</x:v>
      </x:c>
      <x:c r="J1354" s="26" t="n">
        <x:v>3675</x:v>
      </x:c>
      <x:c r="K1354" s="28" t="n">
        <x:v>0.1198</x:v>
      </x:c>
      <x:c r="L1354" s="26" t="n">
        <x:v>440.26</x:v>
      </x:c>
      <x:c r="M1354" t="n">
        <x:v>0</x:v>
      </x:c>
      <x:c r="N1354" s="26" t="n">
        <x:v>0</x:v>
      </x:c>
      <x:c r="O1354" s="26" t="n">
        <x:v>67.99</x:v>
      </x:c>
      <x:c r="P1354" s="26" t="n">
        <x:v>16.54</x:v>
      </x:c>
      <x:c r="Q1354" s="26" t="n">
        <x:v>31.24</x:v>
      </x:c>
      <x:c r="R1354" s="26" t="n">
        <x:v>38.59</x:v>
      </x:c>
      <x:c r="S1354" s="26" t="n">
        <x:v>285.91</x:v>
      </x:c>
    </x:row>
    <x:row r="1355">
      <x:c r="A1355" t="n">
        <x:v>501352</x:v>
      </x:c>
      <x:c r="B1355" s="24" t="n">
        <x:v>45906</x:v>
      </x:c>
      <x:c r="C1355" t="n">
        <x:v>1028</x:v>
      </x:c>
      <x:c r="D1355" t="str">
        <x:v>Seller 1028</x:v>
      </x:c>
      <x:c r="E1355" t="str">
        <x:v>Gold</x:v>
      </x:c>
      <x:c r="F1355" t="str">
        <x:v>Central</x:v>
      </x:c>
      <x:c r="G1355" t="str">
        <x:v>Sports</x:v>
      </x:c>
      <x:c r="H1355" t="n">
        <x:v>3</x:v>
      </x:c>
      <x:c r="I1355" s="26" t="n">
        <x:v>1711.2</x:v>
      </x:c>
      <x:c r="J1355" s="26" t="n">
        <x:v>6278.4</x:v>
      </x:c>
      <x:c r="K1355" s="28" t="n">
        <x:v>0.121</x:v>
      </x:c>
      <x:c r="L1355" s="26" t="n">
        <x:v>759.69</x:v>
      </x:c>
      <x:c r="M1355" t="n">
        <x:v>0</x:v>
      </x:c>
      <x:c r="N1355" s="26" t="n">
        <x:v>0</x:v>
      </x:c>
      <x:c r="O1355" s="26" t="n">
        <x:v>116.15</x:v>
      </x:c>
      <x:c r="P1355" s="26" t="n">
        <x:v>28.25</x:v>
      </x:c>
      <x:c r="Q1355" s="26" t="n">
        <x:v>53.37</x:v>
      </x:c>
      <x:c r="R1355" s="26" t="n">
        <x:v>65.92</x:v>
      </x:c>
      <x:c r="S1355" s="26" t="n">
        <x:v>495.99</x:v>
      </x:c>
    </x:row>
    <x:row r="1356">
      <x:c r="A1356" t="n">
        <x:v>501353</x:v>
      </x:c>
      <x:c r="B1356" s="24" t="n">
        <x:v>45907</x:v>
      </x:c>
      <x:c r="C1356" t="n">
        <x:v>1079</x:v>
      </x:c>
      <x:c r="D1356" t="str">
        <x:v>Seller 1079</x:v>
      </x:c>
      <x:c r="E1356" t="str">
        <x:v>Bronze</x:v>
      </x:c>
      <x:c r="F1356" t="str">
        <x:v>South</x:v>
      </x:c>
      <x:c r="G1356" t="str">
        <x:v>Beauty</x:v>
      </x:c>
      <x:c r="H1356" t="n">
        <x:v>1</x:v>
      </x:c>
      <x:c r="I1356" s="26" t="n">
        <x:v>2488.7999999999997</x:v>
      </x:c>
      <x:c r="J1356" s="26" t="n">
        <x:v>1641</x:v>
      </x:c>
      <x:c r="K1356" s="28" t="n">
        <x:v>0.1446</x:v>
      </x:c>
      <x:c r="L1356" s="26" t="n">
        <x:v>237.29</x:v>
      </x:c>
      <x:c r="M1356" t="n">
        <x:v>0</x:v>
      </x:c>
      <x:c r="N1356" s="26" t="n">
        <x:v>0</x:v>
      </x:c>
      <x:c r="O1356" s="26" t="n">
        <x:v>30.36</x:v>
      </x:c>
      <x:c r="P1356" s="26" t="n">
        <x:v>7.38</x:v>
      </x:c>
      <x:c r="Q1356" s="26" t="n">
        <x:v>13.95</x:v>
      </x:c>
      <x:c r="R1356" s="26" t="n">
        <x:v>17.23</x:v>
      </x:c>
      <x:c r="S1356" s="26" t="n">
        <x:v>168.37</x:v>
      </x:c>
    </x:row>
    <x:row r="1357">
      <x:c r="A1357" t="n">
        <x:v>501354</x:v>
      </x:c>
      <x:c r="B1357" s="24" t="n">
        <x:v>45901</x:v>
      </x:c>
      <x:c r="C1357" t="n">
        <x:v>1030</x:v>
      </x:c>
      <x:c r="D1357" t="str">
        <x:v>Seller 1030</x:v>
      </x:c>
      <x:c r="E1357" t="str">
        <x:v>Gold</x:v>
      </x:c>
      <x:c r="F1357" t="str">
        <x:v>South</x:v>
      </x:c>
      <x:c r="G1357" t="str">
        <x:v>Pet Supplies</x:v>
      </x:c>
      <x:c r="H1357" t="n">
        <x:v>1</x:v>
      </x:c>
      <x:c r="I1357" s="26" t="n">
        <x:v>3162</x:v>
      </x:c>
      <x:c r="J1357" s="26" t="n">
        <x:v>3867</x:v>
      </x:c>
      <x:c r="K1357" s="28" t="n">
        <x:v>0.1294</x:v>
      </x:c>
      <x:c r="L1357" s="26" t="n">
        <x:v>500.39</x:v>
      </x:c>
      <x:c r="M1357" t="n">
        <x:v>0</x:v>
      </x:c>
      <x:c r="N1357" s="26" t="n">
        <x:v>0</x:v>
      </x:c>
      <x:c r="O1357" s="26" t="n">
        <x:v>71.54</x:v>
      </x:c>
      <x:c r="P1357" s="26" t="n">
        <x:v>17.4</x:v>
      </x:c>
      <x:c r="Q1357" s="26" t="n">
        <x:v>32.87</x:v>
      </x:c>
      <x:c r="R1357" s="26" t="n">
        <x:v>40.6</x:v>
      </x:c>
      <x:c r="S1357" s="26" t="n">
        <x:v>337.98</x:v>
      </x:c>
    </x:row>
    <x:row r="1358">
      <x:c r="A1358" t="n">
        <x:v>501355</x:v>
      </x:c>
      <x:c r="B1358" s="24" t="n">
        <x:v>45919</x:v>
      </x:c>
      <x:c r="C1358" t="n">
        <x:v>1029</x:v>
      </x:c>
      <x:c r="D1358" t="str">
        <x:v>Seller 1029</x:v>
      </x:c>
      <x:c r="E1358" t="str">
        <x:v>Gold</x:v>
      </x:c>
      <x:c r="F1358" t="str">
        <x:v>West</x:v>
      </x:c>
      <x:c r="G1358" t="str">
        <x:v>Home &amp; Kitchen</x:v>
      </x:c>
      <x:c r="H1358" t="n">
        <x:v>3</x:v>
      </x:c>
      <x:c r="I1358" s="26" t="n">
        <x:v>1191</x:v>
      </x:c>
      <x:c r="J1358" s="26" t="n">
        <x:v>4369.2</x:v>
      </x:c>
      <x:c r="K1358" s="28" t="n">
        <x:v>0.1299</x:v>
      </x:c>
      <x:c r="L1358" s="26" t="n">
        <x:v>567.56</x:v>
      </x:c>
      <x:c r="M1358" t="n">
        <x:v>0</x:v>
      </x:c>
      <x:c r="N1358" s="26" t="n">
        <x:v>0</x:v>
      </x:c>
      <x:c r="O1358" s="26" t="n">
        <x:v>80.83</x:v>
      </x:c>
      <x:c r="P1358" s="26" t="n">
        <x:v>19.66</x:v>
      </x:c>
      <x:c r="Q1358" s="26" t="n">
        <x:v>37.14</x:v>
      </x:c>
      <x:c r="R1358" s="26" t="n">
        <x:v>45.88</x:v>
      </x:c>
      <x:c r="S1358" s="26" t="n">
        <x:v>384.05</x:v>
      </x:c>
    </x:row>
    <x:row r="1359">
      <x:c r="A1359" t="n">
        <x:v>501356</x:v>
      </x:c>
      <x:c r="B1359" s="24" t="n">
        <x:v>45922</x:v>
      </x:c>
      <x:c r="C1359" t="n">
        <x:v>1055</x:v>
      </x:c>
      <x:c r="D1359" t="str">
        <x:v>Seller 1055</x:v>
      </x:c>
      <x:c r="E1359" t="str">
        <x:v>Bronze</x:v>
      </x:c>
      <x:c r="F1359" t="str">
        <x:v>Central</x:v>
      </x:c>
      <x:c r="G1359" t="str">
        <x:v>Pet Supplies</x:v>
      </x:c>
      <x:c r="H1359" t="n">
        <x:v>1</x:v>
      </x:c>
      <x:c r="I1359" s="26" t="n">
        <x:v>3168</x:v>
      </x:c>
      <x:c r="J1359" s="26" t="n">
        <x:v>2089.2</x:v>
      </x:c>
      <x:c r="K1359" s="28" t="n">
        <x:v>0.1227</x:v>
      </x:c>
      <x:c r="L1359" s="26" t="n">
        <x:v>256.34</x:v>
      </x:c>
      <x:c r="M1359" t="n">
        <x:v>0</x:v>
      </x:c>
      <x:c r="N1359" s="26" t="n">
        <x:v>0</x:v>
      </x:c>
      <x:c r="O1359" s="26" t="n">
        <x:v>38.65</x:v>
      </x:c>
      <x:c r="P1359" s="26" t="n">
        <x:v>9.4</x:v>
      </x:c>
      <x:c r="Q1359" s="26" t="n">
        <x:v>17.76</x:v>
      </x:c>
      <x:c r="R1359" s="26" t="n">
        <x:v>21.94</x:v>
      </x:c>
      <x:c r="S1359" s="26" t="n">
        <x:v>168.6</x:v>
      </x:c>
    </x:row>
    <x:row r="1360">
      <x:c r="A1360" t="n">
        <x:v>501357</x:v>
      </x:c>
      <x:c r="B1360" s="24" t="n">
        <x:v>45925</x:v>
      </x:c>
      <x:c r="C1360" t="n">
        <x:v>1062</x:v>
      </x:c>
      <x:c r="D1360" t="str">
        <x:v>Seller 1062</x:v>
      </x:c>
      <x:c r="E1360" t="str">
        <x:v>Bronze</x:v>
      </x:c>
      <x:c r="F1360" t="str">
        <x:v>West</x:v>
      </x:c>
      <x:c r="G1360" t="str">
        <x:v>Apparel</x:v>
      </x:c>
      <x:c r="H1360" t="n">
        <x:v>1</x:v>
      </x:c>
      <x:c r="I1360" s="26" t="n">
        <x:v>3562.2</x:v>
      </x:c>
      <x:c r="J1360" s="26" t="n">
        <x:v>2349</x:v>
      </x:c>
      <x:c r="K1360" s="28" t="n">
        <x:v>0.1087</x:v>
      </x:c>
      <x:c r="L1360" s="26" t="n">
        <x:v>255.34</x:v>
      </x:c>
      <x:c r="M1360" t="n">
        <x:v>0</x:v>
      </x:c>
      <x:c r="N1360" s="26" t="n">
        <x:v>0</x:v>
      </x:c>
      <x:c r="O1360" s="26" t="n">
        <x:v>43.46</x:v>
      </x:c>
      <x:c r="P1360" s="26" t="n">
        <x:v>10.57</x:v>
      </x:c>
      <x:c r="Q1360" s="26" t="n">
        <x:v>19.97</x:v>
      </x:c>
      <x:c r="R1360" s="26" t="n">
        <x:v>24.66</x:v>
      </x:c>
      <x:c r="S1360" s="26" t="n">
        <x:v>156.68</x:v>
      </x:c>
    </x:row>
    <x:row r="1361">
      <x:c r="A1361" t="n">
        <x:v>501358</x:v>
      </x:c>
      <x:c r="B1361" s="24" t="n">
        <x:v>45910</x:v>
      </x:c>
      <x:c r="C1361" t="n">
        <x:v>1053</x:v>
      </x:c>
      <x:c r="D1361" t="str">
        <x:v>Seller 1053</x:v>
      </x:c>
      <x:c r="E1361" t="str">
        <x:v>Silver</x:v>
      </x:c>
      <x:c r="F1361" t="str">
        <x:v>Central</x:v>
      </x:c>
      <x:c r="G1361" t="str">
        <x:v>Beauty</x:v>
      </x:c>
      <x:c r="H1361" t="n">
        <x:v>2</x:v>
      </x:c>
      <x:c r="I1361" s="26" t="n">
        <x:v>1156.8000000000002</x:v>
      </x:c>
      <x:c r="J1361" s="26" t="n">
        <x:v>2166</x:v>
      </x:c>
      <x:c r="K1361" s="28" t="n">
        <x:v>0.1406</x:v>
      </x:c>
      <x:c r="L1361" s="26" t="n">
        <x:v>304.54</x:v>
      </x:c>
      <x:c r="M1361" t="n">
        <x:v>0</x:v>
      </x:c>
      <x:c r="N1361" s="26" t="n">
        <x:v>0</x:v>
      </x:c>
      <x:c r="O1361" s="26" t="n">
        <x:v>40.07</x:v>
      </x:c>
      <x:c r="P1361" s="26" t="n">
        <x:v>9.75</x:v>
      </x:c>
      <x:c r="Q1361" s="26" t="n">
        <x:v>18.41</x:v>
      </x:c>
      <x:c r="R1361" s="26" t="n">
        <x:v>22.74</x:v>
      </x:c>
      <x:c r="S1361" s="26" t="n">
        <x:v>213.57</x:v>
      </x:c>
    </x:row>
    <x:row r="1362">
      <x:c r="A1362" t="n">
        <x:v>501359</x:v>
      </x:c>
      <x:c r="B1362" s="24" t="n">
        <x:v>45905</x:v>
      </x:c>
      <x:c r="C1362" t="n">
        <x:v>1034</x:v>
      </x:c>
      <x:c r="D1362" t="str">
        <x:v>Seller 1034</x:v>
      </x:c>
      <x:c r="E1362" t="str">
        <x:v>Silver</x:v>
      </x:c>
      <x:c r="F1362" t="str">
        <x:v>Central</x:v>
      </x:c>
      <x:c r="G1362" t="str">
        <x:v>Beauty</x:v>
      </x:c>
      <x:c r="H1362" t="n">
        <x:v>1</x:v>
      </x:c>
      <x:c r="I1362" s="26" t="n">
        <x:v>2653.7999999999997</x:v>
      </x:c>
      <x:c r="J1362" s="26" t="n">
        <x:v>2483.4</x:v>
      </x:c>
      <x:c r="K1362" s="28" t="n">
        <x:v>0.1483</x:v>
      </x:c>
      <x:c r="L1362" s="26" t="n">
        <x:v>368.29</x:v>
      </x:c>
      <x:c r="M1362" t="n">
        <x:v>0</x:v>
      </x:c>
      <x:c r="N1362" s="26" t="n">
        <x:v>0</x:v>
      </x:c>
      <x:c r="O1362" s="26" t="n">
        <x:v>45.94</x:v>
      </x:c>
      <x:c r="P1362" s="26" t="n">
        <x:v>11.18</x:v>
      </x:c>
      <x:c r="Q1362" s="26" t="n">
        <x:v>21.11</x:v>
      </x:c>
      <x:c r="R1362" s="26" t="n">
        <x:v>26.08</x:v>
      </x:c>
      <x:c r="S1362" s="26" t="n">
        <x:v>263.99</x:v>
      </x:c>
    </x:row>
    <x:row r="1363">
      <x:c r="A1363" t="n">
        <x:v>501360</x:v>
      </x:c>
      <x:c r="B1363" s="24" t="n">
        <x:v>45917</x:v>
      </x:c>
      <x:c r="C1363" t="n">
        <x:v>1074</x:v>
      </x:c>
      <x:c r="D1363" t="str">
        <x:v>Seller 1074</x:v>
      </x:c>
      <x:c r="E1363" t="str">
        <x:v>Bronze</x:v>
      </x:c>
      <x:c r="F1363" t="str">
        <x:v>East</x:v>
      </x:c>
      <x:c r="G1363" t="str">
        <x:v>Sports</x:v>
      </x:c>
      <x:c r="H1363" t="n">
        <x:v>2</x:v>
      </x:c>
      <x:c r="I1363" s="26" t="n">
        <x:v>2772</x:v>
      </x:c>
      <x:c r="J1363" s="26" t="n">
        <x:v>3655.2</x:v>
      </x:c>
      <x:c r="K1363" s="28" t="n">
        <x:v>0.1387</x:v>
      </x:c>
      <x:c r="L1363" s="26" t="n">
        <x:v>506.98</x:v>
      </x:c>
      <x:c r="M1363" t="n">
        <x:v>0</x:v>
      </x:c>
      <x:c r="N1363" s="26" t="n">
        <x:v>0</x:v>
      </x:c>
      <x:c r="O1363" s="26" t="n">
        <x:v>67.62</x:v>
      </x:c>
      <x:c r="P1363" s="26" t="n">
        <x:v>16.45</x:v>
      </x:c>
      <x:c r="Q1363" s="26" t="n">
        <x:v>31.07</x:v>
      </x:c>
      <x:c r="R1363" s="26" t="n">
        <x:v>38.38</x:v>
      </x:c>
      <x:c r="S1363" s="26" t="n">
        <x:v>353.46</x:v>
      </x:c>
    </x:row>
    <x:row r="1364">
      <x:c r="A1364" t="n">
        <x:v>501361</x:v>
      </x:c>
      <x:c r="B1364" s="24" t="n">
        <x:v>45922</x:v>
      </x:c>
      <x:c r="C1364" t="n">
        <x:v>1070</x:v>
      </x:c>
      <x:c r="D1364" t="str">
        <x:v>Seller 1070</x:v>
      </x:c>
      <x:c r="E1364" t="str">
        <x:v>Bronze</x:v>
      </x:c>
      <x:c r="F1364" t="str">
        <x:v>West</x:v>
      </x:c>
      <x:c r="G1364" t="str">
        <x:v>Electronics</x:v>
      </x:c>
      <x:c r="H1364" t="n">
        <x:v>2</x:v>
      </x:c>
      <x:c r="I1364" s="26" t="n">
        <x:v>3115.8</x:v>
      </x:c>
      <x:c r="J1364" s="26" t="n">
        <x:v>4108.8</x:v>
      </x:c>
      <x:c r="K1364" s="28" t="n">
        <x:v>0.1152</x:v>
      </x:c>
      <x:c r="L1364" s="26" t="n">
        <x:v>473.33</x:v>
      </x:c>
      <x:c r="M1364" t="n">
        <x:v>0</x:v>
      </x:c>
      <x:c r="N1364" s="26" t="n">
        <x:v>0</x:v>
      </x:c>
      <x:c r="O1364" s="26" t="n">
        <x:v>76.01</x:v>
      </x:c>
      <x:c r="P1364" s="26" t="n">
        <x:v>18.49</x:v>
      </x:c>
      <x:c r="Q1364" s="26" t="n">
        <x:v>34.92</x:v>
      </x:c>
      <x:c r="R1364" s="26" t="n">
        <x:v>43.14</x:v>
      </x:c>
      <x:c r="S1364" s="26" t="n">
        <x:v>300.76</x:v>
      </x:c>
    </x:row>
    <x:row r="1365">
      <x:c r="A1365" t="n">
        <x:v>501362</x:v>
      </x:c>
      <x:c r="B1365" s="24" t="n">
        <x:v>45910</x:v>
      </x:c>
      <x:c r="C1365" t="n">
        <x:v>1071</x:v>
      </x:c>
      <x:c r="D1365" t="str">
        <x:v>Seller 1071</x:v>
      </x:c>
      <x:c r="E1365" t="str">
        <x:v>Bronze</x:v>
      </x:c>
      <x:c r="F1365" t="str">
        <x:v>Central</x:v>
      </x:c>
      <x:c r="G1365" t="str">
        <x:v>Sports</x:v>
      </x:c>
      <x:c r="H1365" t="n">
        <x:v>3</x:v>
      </x:c>
      <x:c r="I1365" s="26" t="n">
        <x:v>1596.6</x:v>
      </x:c>
      <x:c r="J1365" s="26" t="n">
        <x:v>3157.8</x:v>
      </x:c>
      <x:c r="K1365" s="28" t="n">
        <x:v>0.1289</x:v>
      </x:c>
      <x:c r="L1365" s="26" t="n">
        <x:v>407.04</x:v>
      </x:c>
      <x:c r="M1365" t="n">
        <x:v>0</x:v>
      </x:c>
      <x:c r="N1365" s="26" t="n">
        <x:v>0</x:v>
      </x:c>
      <x:c r="O1365" s="26" t="n">
        <x:v>58.42</x:v>
      </x:c>
      <x:c r="P1365" s="26" t="n">
        <x:v>14.21</x:v>
      </x:c>
      <x:c r="Q1365" s="26" t="n">
        <x:v>26.84</x:v>
      </x:c>
      <x:c r="R1365" s="26" t="n">
        <x:v>33.16</x:v>
      </x:c>
      <x:c r="S1365" s="26" t="n">
        <x:v>274.41</x:v>
      </x:c>
    </x:row>
    <x:row r="1366">
      <x:c r="A1366" t="n">
        <x:v>501363</x:v>
      </x:c>
      <x:c r="B1366" s="24" t="n">
        <x:v>45898</x:v>
      </x:c>
      <x:c r="C1366" t="n">
        <x:v>1030</x:v>
      </x:c>
      <x:c r="D1366" t="str">
        <x:v>Seller 1030</x:v>
      </x:c>
      <x:c r="E1366" t="str">
        <x:v>Gold</x:v>
      </x:c>
      <x:c r="F1366" t="str">
        <x:v>South</x:v>
      </x:c>
      <x:c r="G1366" t="str">
        <x:v>Pet Supplies</x:v>
      </x:c>
      <x:c r="H1366" t="n">
        <x:v>3</x:v>
      </x:c>
      <x:c r="I1366" s="26" t="n">
        <x:v>1245</x:v>
      </x:c>
      <x:c r="J1366" s="26" t="n">
        <x:v>4568.4</x:v>
      </x:c>
      <x:c r="K1366" s="28" t="n">
        <x:v>0.1299</x:v>
      </x:c>
      <x:c r="L1366" s="26" t="n">
        <x:v>593.44</x:v>
      </x:c>
      <x:c r="M1366" t="n">
        <x:v>0</x:v>
      </x:c>
      <x:c r="N1366" s="26" t="n">
        <x:v>0</x:v>
      </x:c>
      <x:c r="O1366" s="26" t="n">
        <x:v>84.52</x:v>
      </x:c>
      <x:c r="P1366" s="26" t="n">
        <x:v>20.56</x:v>
      </x:c>
      <x:c r="Q1366" s="26" t="n">
        <x:v>38.83</x:v>
      </x:c>
      <x:c r="R1366" s="26" t="n">
        <x:v>47.97</x:v>
      </x:c>
      <x:c r="S1366" s="26" t="n">
        <x:v>401.56</x:v>
      </x:c>
    </x:row>
    <x:row r="1367">
      <x:c r="A1367" t="n">
        <x:v>501364</x:v>
      </x:c>
      <x:c r="B1367" s="24" t="n">
        <x:v>45905</x:v>
      </x:c>
      <x:c r="C1367" t="n">
        <x:v>1005</x:v>
      </x:c>
      <x:c r="D1367" t="str">
        <x:v>Seller 1005</x:v>
      </x:c>
      <x:c r="E1367" t="str">
        <x:v>Platinum</x:v>
      </x:c>
      <x:c r="F1367" t="str">
        <x:v>East</x:v>
      </x:c>
      <x:c r="G1367" t="str">
        <x:v>Sports</x:v>
      </x:c>
      <x:c r="H1367" t="n">
        <x:v>3</x:v>
      </x:c>
      <x:c r="I1367" s="26" t="n">
        <x:v>1740.6000000000001</x:v>
      </x:c>
      <x:c r="J1367" s="26" t="n">
        <x:v>8608.2</x:v>
      </x:c>
      <x:c r="K1367" s="28" t="n">
        <x:v>0.1276</x:v>
      </x:c>
      <x:c r="L1367" s="26" t="n">
        <x:v>1098.41</x:v>
      </x:c>
      <x:c r="M1367" t="n">
        <x:v>0</x:v>
      </x:c>
      <x:c r="N1367" s="26" t="n">
        <x:v>0</x:v>
      </x:c>
      <x:c r="O1367" s="26" t="n">
        <x:v>159.25</x:v>
      </x:c>
      <x:c r="P1367" s="26" t="n">
        <x:v>38.74</x:v>
      </x:c>
      <x:c r="Q1367" s="26" t="n">
        <x:v>73.17</x:v>
      </x:c>
      <x:c r="R1367" s="26" t="n">
        <x:v>90.39</x:v>
      </x:c>
      <x:c r="S1367" s="26" t="n">
        <x:v>736.86</x:v>
      </x:c>
    </x:row>
    <x:row r="1368">
      <x:c r="A1368" t="n">
        <x:v>501365</x:v>
      </x:c>
      <x:c r="B1368" s="24" t="n">
        <x:v>45926</x:v>
      </x:c>
      <x:c r="C1368" t="n">
        <x:v>1032</x:v>
      </x:c>
      <x:c r="D1368" t="str">
        <x:v>Seller 1032</x:v>
      </x:c>
      <x:c r="E1368" t="str">
        <x:v>Silver</x:v>
      </x:c>
      <x:c r="F1368" t="str">
        <x:v>West</x:v>
      </x:c>
      <x:c r="G1368" t="str">
        <x:v>Pet Supplies</x:v>
      </x:c>
      <x:c r="H1368" t="n">
        <x:v>2</x:v>
      </x:c>
      <x:c r="I1368" s="26" t="n">
        <x:v>1102.8</x:v>
      </x:c>
      <x:c r="J1368" s="26" t="n">
        <x:v>2064.6</x:v>
      </x:c>
      <x:c r="K1368" s="28" t="n">
        <x:v>0.1291</x:v>
      </x:c>
      <x:c r="L1368" s="26" t="n">
        <x:v>266.54</x:v>
      </x:c>
      <x:c r="M1368" t="n">
        <x:v>0</x:v>
      </x:c>
      <x:c r="N1368" s="26" t="n">
        <x:v>0</x:v>
      </x:c>
      <x:c r="O1368" s="26" t="n">
        <x:v>38.2</x:v>
      </x:c>
      <x:c r="P1368" s="26" t="n">
        <x:v>9.29</x:v>
      </x:c>
      <x:c r="Q1368" s="26" t="n">
        <x:v>17.55</x:v>
      </x:c>
      <x:c r="R1368" s="26" t="n">
        <x:v>21.68</x:v>
      </x:c>
      <x:c r="S1368" s="26" t="n">
        <x:v>179.83</x:v>
      </x:c>
    </x:row>
    <x:row r="1369">
      <x:c r="A1369" t="n">
        <x:v>501366</x:v>
      </x:c>
      <x:c r="B1369" s="24" t="n">
        <x:v>45917</x:v>
      </x:c>
      <x:c r="C1369" t="n">
        <x:v>1035</x:v>
      </x:c>
      <x:c r="D1369" t="str">
        <x:v>Seller 1035</x:v>
      </x:c>
      <x:c r="E1369" t="str">
        <x:v>Silver</x:v>
      </x:c>
      <x:c r="F1369" t="str">
        <x:v>East</x:v>
      </x:c>
      <x:c r="G1369" t="str">
        <x:v>Electronics</x:v>
      </x:c>
      <x:c r="H1369" t="n">
        <x:v>3</x:v>
      </x:c>
      <x:c r="I1369" s="26" t="n">
        <x:v>3399</x:v>
      </x:c>
      <x:c r="J1369" s="26" t="n">
        <x:v>9542.4</x:v>
      </x:c>
      <x:c r="K1369" s="28" t="n">
        <x:v>0.1313</x:v>
      </x:c>
      <x:c r="L1369" s="26" t="n">
        <x:v>1252.92</x:v>
      </x:c>
      <x:c r="M1369" t="n">
        <x:v>1</x:v>
      </x:c>
      <x:c r="N1369" s="26" t="n">
        <x:v>8813.4</x:v>
      </x:c>
      <x:c r="O1369" s="26" t="n">
        <x:v>176.53</x:v>
      </x:c>
      <x:c r="P1369" s="26" t="n">
        <x:v>42.94</x:v>
      </x:c>
      <x:c r="Q1369" s="26" t="n">
        <x:v>81.11</x:v>
      </x:c>
      <x:c r="R1369" s="26" t="n">
        <x:v>100.2</x:v>
      </x:c>
      <x:c r="S1369" s="26" t="n">
        <x:v>675.87</x:v>
      </x:c>
    </x:row>
    <x:row r="1370">
      <x:c r="A1370" t="n">
        <x:v>501367</x:v>
      </x:c>
      <x:c r="B1370" s="24" t="n">
        <x:v>45911</x:v>
      </x:c>
      <x:c r="C1370" t="n">
        <x:v>1020</x:v>
      </x:c>
      <x:c r="D1370" t="str">
        <x:v>Seller 1020</x:v>
      </x:c>
      <x:c r="E1370" t="str">
        <x:v>Gold</x:v>
      </x:c>
      <x:c r="F1370" t="str">
        <x:v>West</x:v>
      </x:c>
      <x:c r="G1370" t="str">
        <x:v>Home &amp; Kitchen</x:v>
      </x:c>
      <x:c r="H1370" t="n">
        <x:v>1</x:v>
      </x:c>
      <x:c r="I1370" s="26" t="n">
        <x:v>4713.6</x:v>
      </x:c>
      <x:c r="J1370" s="26" t="n">
        <x:v>5764.8</x:v>
      </x:c>
      <x:c r="K1370" s="28" t="n">
        <x:v>0.143</x:v>
      </x:c>
      <x:c r="L1370" s="26" t="n">
        <x:v>824.37</x:v>
      </x:c>
      <x:c r="M1370" t="n">
        <x:v>0</x:v>
      </x:c>
      <x:c r="N1370" s="26" t="n">
        <x:v>0</x:v>
      </x:c>
      <x:c r="O1370" s="26" t="n">
        <x:v>106.65</x:v>
      </x:c>
      <x:c r="P1370" s="26" t="n">
        <x:v>25.94</x:v>
      </x:c>
      <x:c r="Q1370" s="26" t="n">
        <x:v>49</x:v>
      </x:c>
      <x:c r="R1370" s="26" t="n">
        <x:v>60.53</x:v>
      </x:c>
      <x:c r="S1370" s="26" t="n">
        <x:v>582.24</x:v>
      </x:c>
    </x:row>
    <x:row r="1371">
      <x:c r="A1371" t="n">
        <x:v>501368</x:v>
      </x:c>
      <x:c r="B1371" s="24" t="n">
        <x:v>45907</x:v>
      </x:c>
      <x:c r="C1371" t="n">
        <x:v>1066</x:v>
      </x:c>
      <x:c r="D1371" t="str">
        <x:v>Seller 1066</x:v>
      </x:c>
      <x:c r="E1371" t="str">
        <x:v>Bronze</x:v>
      </x:c>
      <x:c r="F1371" t="str">
        <x:v>South</x:v>
      </x:c>
      <x:c r="G1371" t="str">
        <x:v>Beauty</x:v>
      </x:c>
      <x:c r="H1371" t="n">
        <x:v>2</x:v>
      </x:c>
      <x:c r="I1371" s="26" t="n">
        <x:v>1460.4</x:v>
      </x:c>
      <x:c r="J1371" s="26" t="n">
        <x:v>1926</x:v>
      </x:c>
      <x:c r="K1371" s="28" t="n">
        <x:v>0.1393</x:v>
      </x:c>
      <x:c r="L1371" s="26" t="n">
        <x:v>268.29</x:v>
      </x:c>
      <x:c r="M1371" t="n">
        <x:v>0</x:v>
      </x:c>
      <x:c r="N1371" s="26" t="n">
        <x:v>0</x:v>
      </x:c>
      <x:c r="O1371" s="26" t="n">
        <x:v>35.63</x:v>
      </x:c>
      <x:c r="P1371" s="26" t="n">
        <x:v>8.67</x:v>
      </x:c>
      <x:c r="Q1371" s="26" t="n">
        <x:v>16.37</x:v>
      </x:c>
      <x:c r="R1371" s="26" t="n">
        <x:v>20.22</x:v>
      </x:c>
      <x:c r="S1371" s="26" t="n">
        <x:v>187.4</x:v>
      </x:c>
    </x:row>
    <x:row r="1372">
      <x:c r="A1372" t="n">
        <x:v>501369</x:v>
      </x:c>
      <x:c r="B1372" s="24" t="n">
        <x:v>45905</x:v>
      </x:c>
      <x:c r="C1372" t="n">
        <x:v>1055</x:v>
      </x:c>
      <x:c r="D1372" t="str">
        <x:v>Seller 1055</x:v>
      </x:c>
      <x:c r="E1372" t="str">
        <x:v>Bronze</x:v>
      </x:c>
      <x:c r="F1372" t="str">
        <x:v>Central</x:v>
      </x:c>
      <x:c r="G1372" t="str">
        <x:v>Pet Supplies</x:v>
      </x:c>
      <x:c r="H1372" t="n">
        <x:v>3</x:v>
      </x:c>
      <x:c r="I1372" s="26" t="n">
        <x:v>973.8000000000001</x:v>
      </x:c>
      <x:c r="J1372" s="26" t="n">
        <x:v>1926.6</x:v>
      </x:c>
      <x:c r="K1372" s="28" t="n">
        <x:v>0.1316</x:v>
      </x:c>
      <x:c r="L1372" s="26" t="n">
        <x:v>253.54</x:v>
      </x:c>
      <x:c r="M1372" t="n">
        <x:v>0</x:v>
      </x:c>
      <x:c r="N1372" s="26" t="n">
        <x:v>0</x:v>
      </x:c>
      <x:c r="O1372" s="26" t="n">
        <x:v>35.64</x:v>
      </x:c>
      <x:c r="P1372" s="26" t="n">
        <x:v>8.67</x:v>
      </x:c>
      <x:c r="Q1372" s="26" t="n">
        <x:v>16.38</x:v>
      </x:c>
      <x:c r="R1372" s="26" t="n">
        <x:v>20.23</x:v>
      </x:c>
      <x:c r="S1372" s="26" t="n">
        <x:v>172.62</x:v>
      </x:c>
    </x:row>
    <x:row r="1373">
      <x:c r="A1373" t="n">
        <x:v>501370</x:v>
      </x:c>
      <x:c r="B1373" s="24" t="n">
        <x:v>45905</x:v>
      </x:c>
      <x:c r="C1373" t="n">
        <x:v>1049</x:v>
      </x:c>
      <x:c r="D1373" t="str">
        <x:v>Seller 1049</x:v>
      </x:c>
      <x:c r="E1373" t="str">
        <x:v>Silver</x:v>
      </x:c>
      <x:c r="F1373" t="str">
        <x:v>West</x:v>
      </x:c>
      <x:c r="G1373" t="str">
        <x:v>Home &amp; Kitchen</x:v>
      </x:c>
      <x:c r="H1373" t="n">
        <x:v>1</x:v>
      </x:c>
      <x:c r="I1373" s="26" t="n">
        <x:v>4927.200000000001</x:v>
      </x:c>
      <x:c r="J1373" s="26" t="n">
        <x:v>4611.6</x:v>
      </x:c>
      <x:c r="K1373" s="28" t="n">
        <x:v>0.1319</x:v>
      </x:c>
      <x:c r="L1373" s="26" t="n">
        <x:v>608.27</x:v>
      </x:c>
      <x:c r="M1373" t="n">
        <x:v>0</x:v>
      </x:c>
      <x:c r="N1373" s="26" t="n">
        <x:v>0</x:v>
      </x:c>
      <x:c r="O1373" s="26" t="n">
        <x:v>85.31</x:v>
      </x:c>
      <x:c r="P1373" s="26" t="n">
        <x:v>20.75</x:v>
      </x:c>
      <x:c r="Q1373" s="26" t="n">
        <x:v>39.2</x:v>
      </x:c>
      <x:c r="R1373" s="26" t="n">
        <x:v>48.42</x:v>
      </x:c>
      <x:c r="S1373" s="26" t="n">
        <x:v>414.58</x:v>
      </x:c>
    </x:row>
    <x:row r="1374">
      <x:c r="A1374" t="n">
        <x:v>501371</x:v>
      </x:c>
      <x:c r="B1374" s="24" t="n">
        <x:v>45902</x:v>
      </x:c>
      <x:c r="C1374" t="n">
        <x:v>1074</x:v>
      </x:c>
      <x:c r="D1374" t="str">
        <x:v>Seller 1074</x:v>
      </x:c>
      <x:c r="E1374" t="str">
        <x:v>Bronze</x:v>
      </x:c>
      <x:c r="F1374" t="str">
        <x:v>East</x:v>
      </x:c>
      <x:c r="G1374" t="str">
        <x:v>Apparel</x:v>
      </x:c>
      <x:c r="H1374" t="n">
        <x:v>2</x:v>
      </x:c>
      <x:c r="I1374" s="26" t="n">
        <x:v>1588.8</x:v>
      </x:c>
      <x:c r="J1374" s="26" t="n">
        <x:v>2094.6</x:v>
      </x:c>
      <x:c r="K1374" s="28" t="n">
        <x:v>0.1194</x:v>
      </x:c>
      <x:c r="L1374" s="26" t="n">
        <x:v>250.1</x:v>
      </x:c>
      <x:c r="M1374" t="n">
        <x:v>0</x:v>
      </x:c>
      <x:c r="N1374" s="26" t="n">
        <x:v>0</x:v>
      </x:c>
      <x:c r="O1374" s="26" t="n">
        <x:v>38.75</x:v>
      </x:c>
      <x:c r="P1374" s="26" t="n">
        <x:v>9.43</x:v>
      </x:c>
      <x:c r="Q1374" s="26" t="n">
        <x:v>17.8</x:v>
      </x:c>
      <x:c r="R1374" s="26" t="n">
        <x:v>21.99</x:v>
      </x:c>
      <x:c r="S1374" s="26" t="n">
        <x:v>162.12</x:v>
      </x:c>
    </x:row>
    <x:row r="1375">
      <x:c r="A1375" t="n">
        <x:v>501372</x:v>
      </x:c>
      <x:c r="B1375" s="24" t="n">
        <x:v>45917</x:v>
      </x:c>
      <x:c r="C1375" t="n">
        <x:v>1011</x:v>
      </x:c>
      <x:c r="D1375" t="str">
        <x:v>Seller 1011</x:v>
      </x:c>
      <x:c r="E1375" t="str">
        <x:v>Platinum</x:v>
      </x:c>
      <x:c r="F1375" t="str">
        <x:v>West</x:v>
      </x:c>
      <x:c r="G1375" t="str">
        <x:v>Electronics</x:v>
      </x:c>
      <x:c r="H1375" t="n">
        <x:v>3</x:v>
      </x:c>
      <x:c r="I1375" s="26" t="n">
        <x:v>4117.200000000001</x:v>
      </x:c>
      <x:c r="J1375" s="26" t="n">
        <x:v>20359.8</x:v>
      </x:c>
      <x:c r="K1375" s="28" t="n">
        <x:v>0.1248</x:v>
      </x:c>
      <x:c r="L1375" s="26" t="n">
        <x:v>2540.9</x:v>
      </x:c>
      <x:c r="M1375" t="n">
        <x:v>0</x:v>
      </x:c>
      <x:c r="N1375" s="26" t="n">
        <x:v>0</x:v>
      </x:c>
      <x:c r="O1375" s="26" t="n">
        <x:v>376.66</x:v>
      </x:c>
      <x:c r="P1375" s="26" t="n">
        <x:v>91.62</x:v>
      </x:c>
      <x:c r="Q1375" s="26" t="n">
        <x:v>173.06</x:v>
      </x:c>
      <x:c r="R1375" s="26" t="n">
        <x:v>213.78</x:v>
      </x:c>
      <x:c r="S1375" s="26" t="n">
        <x:v>1685.79</x:v>
      </x:c>
    </x:row>
    <x:row r="1376">
      <x:c r="A1376" t="n">
        <x:v>501373</x:v>
      </x:c>
      <x:c r="B1376" s="24" t="n">
        <x:v>45921</x:v>
      </x:c>
      <x:c r="C1376" t="n">
        <x:v>1061</x:v>
      </x:c>
      <x:c r="D1376" t="str">
        <x:v>Seller 1061</x:v>
      </x:c>
      <x:c r="E1376" t="str">
        <x:v>Bronze</x:v>
      </x:c>
      <x:c r="F1376" t="str">
        <x:v>Central</x:v>
      </x:c>
      <x:c r="G1376" t="str">
        <x:v>Electronics</x:v>
      </x:c>
      <x:c r="H1376" t="n">
        <x:v>3</x:v>
      </x:c>
      <x:c r="I1376" s="26" t="n">
        <x:v>1905</x:v>
      </x:c>
      <x:c r="J1376" s="26" t="n">
        <x:v>3768</x:v>
      </x:c>
      <x:c r="K1376" s="28" t="n">
        <x:v>0.1144</x:v>
      </x:c>
      <x:c r="L1376" s="26" t="n">
        <x:v>431.06</x:v>
      </x:c>
      <x:c r="M1376" t="n">
        <x:v>0</x:v>
      </x:c>
      <x:c r="N1376" s="26" t="n">
        <x:v>0</x:v>
      </x:c>
      <x:c r="O1376" s="26" t="n">
        <x:v>69.71</x:v>
      </x:c>
      <x:c r="P1376" s="26" t="n">
        <x:v>16.96</x:v>
      </x:c>
      <x:c r="Q1376" s="26" t="n">
        <x:v>32.03</x:v>
      </x:c>
      <x:c r="R1376" s="26" t="n">
        <x:v>39.56</x:v>
      </x:c>
      <x:c r="S1376" s="26" t="n">
        <x:v>272.8</x:v>
      </x:c>
    </x:row>
    <x:row r="1377">
      <x:c r="A1377" t="n">
        <x:v>501374</x:v>
      </x:c>
      <x:c r="B1377" s="24" t="n">
        <x:v>45922</x:v>
      </x:c>
      <x:c r="C1377" t="n">
        <x:v>1044</x:v>
      </x:c>
      <x:c r="D1377" t="str">
        <x:v>Seller 1044</x:v>
      </x:c>
      <x:c r="E1377" t="str">
        <x:v>Silver</x:v>
      </x:c>
      <x:c r="F1377" t="str">
        <x:v>East</x:v>
      </x:c>
      <x:c r="G1377" t="str">
        <x:v>Electronics</x:v>
      </x:c>
      <x:c r="H1377" t="n">
        <x:v>2</x:v>
      </x:c>
      <x:c r="I1377" s="26" t="n">
        <x:v>5159.4</x:v>
      </x:c>
      <x:c r="J1377" s="26" t="n">
        <x:v>9657</x:v>
      </x:c>
      <x:c r="K1377" s="28" t="n">
        <x:v>0.1228</x:v>
      </x:c>
      <x:c r="L1377" s="26" t="n">
        <x:v>1185.88</x:v>
      </x:c>
      <x:c r="M1377" t="n">
        <x:v>0</x:v>
      </x:c>
      <x:c r="N1377" s="26" t="n">
        <x:v>0</x:v>
      </x:c>
      <x:c r="O1377" s="26" t="n">
        <x:v>178.65</x:v>
      </x:c>
      <x:c r="P1377" s="26" t="n">
        <x:v>43.46</x:v>
      </x:c>
      <x:c r="Q1377" s="26" t="n">
        <x:v>82.08</x:v>
      </x:c>
      <x:c r="R1377" s="26" t="n">
        <x:v>101.4</x:v>
      </x:c>
      <x:c r="S1377" s="26" t="n">
        <x:v>780.29</x:v>
      </x:c>
    </x:row>
    <x:row r="1378">
      <x:c r="A1378" t="n">
        <x:v>501375</x:v>
      </x:c>
      <x:c r="B1378" s="24" t="n">
        <x:v>45915</x:v>
      </x:c>
      <x:c r="C1378" t="n">
        <x:v>1072</x:v>
      </x:c>
      <x:c r="D1378" t="str">
        <x:v>Seller 1072</x:v>
      </x:c>
      <x:c r="E1378" t="str">
        <x:v>Bronze</x:v>
      </x:c>
      <x:c r="F1378" t="str">
        <x:v>South</x:v>
      </x:c>
      <x:c r="G1378" t="str">
        <x:v>Sports</x:v>
      </x:c>
      <x:c r="H1378" t="n">
        <x:v>1</x:v>
      </x:c>
      <x:c r="I1378" s="26" t="n">
        <x:v>4561.2</x:v>
      </x:c>
      <x:c r="J1378" s="26" t="n">
        <x:v>3007.2</x:v>
      </x:c>
      <x:c r="K1378" s="28" t="n">
        <x:v>0.1217</x:v>
      </x:c>
      <x:c r="L1378" s="26" t="n">
        <x:v>365.98</x:v>
      </x:c>
      <x:c r="M1378" t="n">
        <x:v>0</x:v>
      </x:c>
      <x:c r="N1378" s="26" t="n">
        <x:v>0</x:v>
      </x:c>
      <x:c r="O1378" s="26" t="n">
        <x:v>55.63</x:v>
      </x:c>
      <x:c r="P1378" s="26" t="n">
        <x:v>13.53</x:v>
      </x:c>
      <x:c r="Q1378" s="26" t="n">
        <x:v>25.56</x:v>
      </x:c>
      <x:c r="R1378" s="26" t="n">
        <x:v>31.58</x:v>
      </x:c>
      <x:c r="S1378" s="26" t="n">
        <x:v>239.67</x:v>
      </x:c>
    </x:row>
    <x:row r="1379">
      <x:c r="A1379" t="n">
        <x:v>501376</x:v>
      </x:c>
      <x:c r="B1379" s="24" t="n">
        <x:v>45903</x:v>
      </x:c>
      <x:c r="C1379" t="n">
        <x:v>1011</x:v>
      </x:c>
      <x:c r="D1379" t="str">
        <x:v>Seller 1011</x:v>
      </x:c>
      <x:c r="E1379" t="str">
        <x:v>Platinum</x:v>
      </x:c>
      <x:c r="F1379" t="str">
        <x:v>West</x:v>
      </x:c>
      <x:c r="G1379" t="str">
        <x:v>Apparel</x:v>
      </x:c>
      <x:c r="H1379" t="n">
        <x:v>2</x:v>
      </x:c>
      <x:c r="I1379" s="26" t="n">
        <x:v>1636.8000000000002</x:v>
      </x:c>
      <x:c r="J1379" s="26" t="n">
        <x:v>5396.4</x:v>
      </x:c>
      <x:c r="K1379" s="28" t="n">
        <x:v>0.1262</x:v>
      </x:c>
      <x:c r="L1379" s="26" t="n">
        <x:v>681.03</x:v>
      </x:c>
      <x:c r="M1379" t="n">
        <x:v>0</x:v>
      </x:c>
      <x:c r="N1379" s="26" t="n">
        <x:v>0</x:v>
      </x:c>
      <x:c r="O1379" s="26" t="n">
        <x:v>99.83</x:v>
      </x:c>
      <x:c r="P1379" s="26" t="n">
        <x:v>24.28</x:v>
      </x:c>
      <x:c r="Q1379" s="26" t="n">
        <x:v>45.87</x:v>
      </x:c>
      <x:c r="R1379" s="26" t="n">
        <x:v>56.66</x:v>
      </x:c>
      <x:c r="S1379" s="26" t="n">
        <x:v>454.38</x:v>
      </x:c>
    </x:row>
    <x:row r="1380">
      <x:c r="A1380" t="n">
        <x:v>501377</x:v>
      </x:c>
      <x:c r="B1380" s="24" t="n">
        <x:v>45913</x:v>
      </x:c>
      <x:c r="C1380" t="n">
        <x:v>1026</x:v>
      </x:c>
      <x:c r="D1380" t="str">
        <x:v>Seller 1026</x:v>
      </x:c>
      <x:c r="E1380" t="str">
        <x:v>Gold</x:v>
      </x:c>
      <x:c r="F1380" t="str">
        <x:v>East</x:v>
      </x:c>
      <x:c r="G1380" t="str">
        <x:v>Home &amp; Kitchen</x:v>
      </x:c>
      <x:c r="H1380" t="n">
        <x:v>2</x:v>
      </x:c>
      <x:c r="I1380" s="26" t="n">
        <x:v>2440.2000000000003</x:v>
      </x:c>
      <x:c r="J1380" s="26" t="n">
        <x:v>5969.4</x:v>
      </x:c>
      <x:c r="K1380" s="28" t="n">
        <x:v>0.1332</x:v>
      </x:c>
      <x:c r="L1380" s="26" t="n">
        <x:v>795.12</x:v>
      </x:c>
      <x:c r="M1380" t="n">
        <x:v>0</x:v>
      </x:c>
      <x:c r="N1380" s="26" t="n">
        <x:v>0</x:v>
      </x:c>
      <x:c r="O1380" s="26" t="n">
        <x:v>110.43</x:v>
      </x:c>
      <x:c r="P1380" s="26" t="n">
        <x:v>26.86</x:v>
      </x:c>
      <x:c r="Q1380" s="26" t="n">
        <x:v>50.74</x:v>
      </x:c>
      <x:c r="R1380" s="26" t="n">
        <x:v>62.68</x:v>
      </x:c>
      <x:c r="S1380" s="26" t="n">
        <x:v>544.41</x:v>
      </x:c>
    </x:row>
    <x:row r="1381">
      <x:c r="A1381" t="n">
        <x:v>501378</x:v>
      </x:c>
      <x:c r="B1381" s="24" t="n">
        <x:v>45926</x:v>
      </x:c>
      <x:c r="C1381" t="n">
        <x:v>1018</x:v>
      </x:c>
      <x:c r="D1381" t="str">
        <x:v>Seller 1018</x:v>
      </x:c>
      <x:c r="E1381" t="str">
        <x:v>Gold</x:v>
      </x:c>
      <x:c r="F1381" t="str">
        <x:v>West</x:v>
      </x:c>
      <x:c r="G1381" t="str">
        <x:v>Sports</x:v>
      </x:c>
      <x:c r="H1381" t="n">
        <x:v>2</x:v>
      </x:c>
      <x:c r="I1381" s="26" t="n">
        <x:v>2304.6</x:v>
      </x:c>
      <x:c r="J1381" s="26" t="n">
        <x:v>5637</x:v>
      </x:c>
      <x:c r="K1381" s="28" t="n">
        <x:v>0.1188</x:v>
      </x:c>
      <x:c r="L1381" s="26" t="n">
        <x:v>669.68</x:v>
      </x:c>
      <x:c r="M1381" t="n">
        <x:v>0</x:v>
      </x:c>
      <x:c r="N1381" s="26" t="n">
        <x:v>0</x:v>
      </x:c>
      <x:c r="O1381" s="26" t="n">
        <x:v>104.28</x:v>
      </x:c>
      <x:c r="P1381" s="26" t="n">
        <x:v>25.37</x:v>
      </x:c>
      <x:c r="Q1381" s="26" t="n">
        <x:v>47.91</x:v>
      </x:c>
      <x:c r="R1381" s="26" t="n">
        <x:v>59.19</x:v>
      </x:c>
      <x:c r="S1381" s="26" t="n">
        <x:v>432.92</x:v>
      </x:c>
    </x:row>
    <x:row r="1382">
      <x:c r="A1382" t="n">
        <x:v>501379</x:v>
      </x:c>
      <x:c r="B1382" s="24" t="n">
        <x:v>45904</x:v>
      </x:c>
      <x:c r="C1382" t="n">
        <x:v>1035</x:v>
      </x:c>
      <x:c r="D1382" t="str">
        <x:v>Seller 1035</x:v>
      </x:c>
      <x:c r="E1382" t="str">
        <x:v>Silver</x:v>
      </x:c>
      <x:c r="F1382" t="str">
        <x:v>East</x:v>
      </x:c>
      <x:c r="G1382" t="str">
        <x:v>Electronics</x:v>
      </x:c>
      <x:c r="H1382" t="n">
        <x:v>1</x:v>
      </x:c>
      <x:c r="I1382" s="26" t="n">
        <x:v>8256</x:v>
      </x:c>
      <x:c r="J1382" s="26" t="n">
        <x:v>7726.8</x:v>
      </x:c>
      <x:c r="K1382" s="28" t="n">
        <x:v>0.1286</x:v>
      </x:c>
      <x:c r="L1382" s="26" t="n">
        <x:v>993.67</x:v>
      </x:c>
      <x:c r="M1382" t="n">
        <x:v>0</x:v>
      </x:c>
      <x:c r="N1382" s="26" t="n">
        <x:v>0</x:v>
      </x:c>
      <x:c r="O1382" s="26" t="n">
        <x:v>142.95</x:v>
      </x:c>
      <x:c r="P1382" s="26" t="n">
        <x:v>34.77</x:v>
      </x:c>
      <x:c r="Q1382" s="26" t="n">
        <x:v>65.68</x:v>
      </x:c>
      <x:c r="R1382" s="26" t="n">
        <x:v>81.13</x:v>
      </x:c>
      <x:c r="S1382" s="26" t="n">
        <x:v>669.14</x:v>
      </x:c>
    </x:row>
    <x:row r="1383">
      <x:c r="A1383" t="n">
        <x:v>501380</x:v>
      </x:c>
      <x:c r="B1383" s="24" t="n">
        <x:v>45921</x:v>
      </x:c>
      <x:c r="C1383" t="n">
        <x:v>1079</x:v>
      </x:c>
      <x:c r="D1383" t="str">
        <x:v>Seller 1079</x:v>
      </x:c>
      <x:c r="E1383" t="str">
        <x:v>Bronze</x:v>
      </x:c>
      <x:c r="F1383" t="str">
        <x:v>South</x:v>
      </x:c>
      <x:c r="G1383" t="str">
        <x:v>Beauty</x:v>
      </x:c>
      <x:c r="H1383" t="n">
        <x:v>1</x:v>
      </x:c>
      <x:c r="I1383" s="26" t="n">
        <x:v>2620.2000000000003</x:v>
      </x:c>
      <x:c r="J1383" s="26" t="n">
        <x:v>1728</x:v>
      </x:c>
      <x:c r="K1383" s="28" t="n">
        <x:v>0.1441</x:v>
      </x:c>
      <x:c r="L1383" s="26" t="n">
        <x:v>249</x:v>
      </x:c>
      <x:c r="M1383" t="n">
        <x:v>0</x:v>
      </x:c>
      <x:c r="N1383" s="26" t="n">
        <x:v>0</x:v>
      </x:c>
      <x:c r="O1383" s="26" t="n">
        <x:v>31.97</x:v>
      </x:c>
      <x:c r="P1383" s="26" t="n">
        <x:v>7.78</x:v>
      </x:c>
      <x:c r="Q1383" s="26" t="n">
        <x:v>14.69</x:v>
      </x:c>
      <x:c r="R1383" s="26" t="n">
        <x:v>18.14</x:v>
      </x:c>
      <x:c r="S1383" s="26" t="n">
        <x:v>176.43</x:v>
      </x:c>
    </x:row>
    <x:row r="1384">
      <x:c r="A1384" t="n">
        <x:v>501381</x:v>
      </x:c>
      <x:c r="B1384" s="24" t="n">
        <x:v>45898</x:v>
      </x:c>
      <x:c r="C1384" t="n">
        <x:v>1018</x:v>
      </x:c>
      <x:c r="D1384" t="str">
        <x:v>Seller 1018</x:v>
      </x:c>
      <x:c r="E1384" t="str">
        <x:v>Gold</x:v>
      </x:c>
      <x:c r="F1384" t="str">
        <x:v>West</x:v>
      </x:c>
      <x:c r="G1384" t="str">
        <x:v>Electronics</x:v>
      </x:c>
      <x:c r="H1384" t="n">
        <x:v>2</x:v>
      </x:c>
      <x:c r="I1384" s="26" t="n">
        <x:v>3580.2000000000003</x:v>
      </x:c>
      <x:c r="J1384" s="26" t="n">
        <x:v>8757</x:v>
      </x:c>
      <x:c r="K1384" s="28" t="n">
        <x:v>0.1206</x:v>
      </x:c>
      <x:c r="L1384" s="26" t="n">
        <x:v>1056.09</x:v>
      </x:c>
      <x:c r="M1384" t="n">
        <x:v>0</x:v>
      </x:c>
      <x:c r="N1384" s="26" t="n">
        <x:v>0</x:v>
      </x:c>
      <x:c r="O1384" s="26" t="n">
        <x:v>162</x:v>
      </x:c>
      <x:c r="P1384" s="26" t="n">
        <x:v>39.41</x:v>
      </x:c>
      <x:c r="Q1384" s="26" t="n">
        <x:v>74.43</x:v>
      </x:c>
      <x:c r="R1384" s="26" t="n">
        <x:v>91.95</x:v>
      </x:c>
      <x:c r="S1384" s="26" t="n">
        <x:v>688.3</x:v>
      </x:c>
    </x:row>
    <x:row r="1385">
      <x:c r="A1385" t="n">
        <x:v>501382</x:v>
      </x:c>
      <x:c r="B1385" s="24" t="n">
        <x:v>45917</x:v>
      </x:c>
      <x:c r="C1385" t="n">
        <x:v>1040</x:v>
      </x:c>
      <x:c r="D1385" t="str">
        <x:v>Seller 1040</x:v>
      </x:c>
      <x:c r="E1385" t="str">
        <x:v>Silver</x:v>
      </x:c>
      <x:c r="F1385" t="str">
        <x:v>West</x:v>
      </x:c>
      <x:c r="G1385" t="str">
        <x:v>Pet Supplies</x:v>
      </x:c>
      <x:c r="H1385" t="n">
        <x:v>2</x:v>
      </x:c>
      <x:c r="I1385" s="26" t="n">
        <x:v>1665</x:v>
      </x:c>
      <x:c r="J1385" s="26" t="n">
        <x:v>3117</x:v>
      </x:c>
      <x:c r="K1385" s="28" t="n">
        <x:v>0.131</x:v>
      </x:c>
      <x:c r="L1385" s="26" t="n">
        <x:v>408.33</x:v>
      </x:c>
      <x:c r="M1385" t="n">
        <x:v>0</x:v>
      </x:c>
      <x:c r="N1385" s="26" t="n">
        <x:v>0</x:v>
      </x:c>
      <x:c r="O1385" s="26" t="n">
        <x:v>57.66</x:v>
      </x:c>
      <x:c r="P1385" s="26" t="n">
        <x:v>14.03</x:v>
      </x:c>
      <x:c r="Q1385" s="26" t="n">
        <x:v>26.49</x:v>
      </x:c>
      <x:c r="R1385" s="26" t="n">
        <x:v>32.73</x:v>
      </x:c>
      <x:c r="S1385" s="26" t="n">
        <x:v>277.41</x:v>
      </x:c>
    </x:row>
    <x:row r="1386">
      <x:c r="A1386" t="n">
        <x:v>501383</x:v>
      </x:c>
      <x:c r="B1386" s="24" t="n">
        <x:v>45907</x:v>
      </x:c>
      <x:c r="C1386" t="n">
        <x:v>1021</x:v>
      </x:c>
      <x:c r="D1386" t="str">
        <x:v>Seller 1021</x:v>
      </x:c>
      <x:c r="E1386" t="str">
        <x:v>Gold</x:v>
      </x:c>
      <x:c r="F1386" t="str">
        <x:v>Central</x:v>
      </x:c>
      <x:c r="G1386" t="str">
        <x:v>Pet Supplies</x:v>
      </x:c>
      <x:c r="H1386" t="n">
        <x:v>1</x:v>
      </x:c>
      <x:c r="I1386" s="26" t="n">
        <x:v>2728.7999999999997</x:v>
      </x:c>
      <x:c r="J1386" s="26" t="n">
        <x:v>3337.8</x:v>
      </x:c>
      <x:c r="K1386" s="28" t="n">
        <x:v>0.1283</x:v>
      </x:c>
      <x:c r="L1386" s="26" t="n">
        <x:v>428.24</x:v>
      </x:c>
      <x:c r="M1386" t="n">
        <x:v>0</x:v>
      </x:c>
      <x:c r="N1386" s="26" t="n">
        <x:v>0</x:v>
      </x:c>
      <x:c r="O1386" s="26" t="n">
        <x:v>61.75</x:v>
      </x:c>
      <x:c r="P1386" s="26" t="n">
        <x:v>15.02</x:v>
      </x:c>
      <x:c r="Q1386" s="26" t="n">
        <x:v>28.37</x:v>
      </x:c>
      <x:c r="R1386" s="26" t="n">
        <x:v>35.05</x:v>
      </x:c>
      <x:c r="S1386" s="26" t="n">
        <x:v>288.05</x:v>
      </x:c>
    </x:row>
    <x:row r="1387">
      <x:c r="A1387" t="n">
        <x:v>501384</x:v>
      </x:c>
      <x:c r="B1387" s="24" t="n">
        <x:v>45919</x:v>
      </x:c>
      <x:c r="C1387" t="n">
        <x:v>1055</x:v>
      </x:c>
      <x:c r="D1387" t="str">
        <x:v>Seller 1055</x:v>
      </x:c>
      <x:c r="E1387" t="str">
        <x:v>Bronze</x:v>
      </x:c>
      <x:c r="F1387" t="str">
        <x:v>Central</x:v>
      </x:c>
      <x:c r="G1387" t="str">
        <x:v>Pet Supplies</x:v>
      </x:c>
      <x:c r="H1387" t="n">
        <x:v>2</x:v>
      </x:c>
      <x:c r="I1387" s="26" t="n">
        <x:v>1888.1999999999998</x:v>
      </x:c>
      <x:c r="J1387" s="26" t="n">
        <x:v>2490</x:v>
      </x:c>
      <x:c r="K1387" s="28" t="n">
        <x:v>0.1297</x:v>
      </x:c>
      <x:c r="L1387" s="26" t="n">
        <x:v>322.95</x:v>
      </x:c>
      <x:c r="M1387" t="n">
        <x:v>0</x:v>
      </x:c>
      <x:c r="N1387" s="26" t="n">
        <x:v>0</x:v>
      </x:c>
      <x:c r="O1387" s="26" t="n">
        <x:v>46.06</x:v>
      </x:c>
      <x:c r="P1387" s="26" t="n">
        <x:v>11.2</x:v>
      </x:c>
      <x:c r="Q1387" s="26" t="n">
        <x:v>21.17</x:v>
      </x:c>
      <x:c r="R1387" s="26" t="n">
        <x:v>26.15</x:v>
      </x:c>
      <x:c r="S1387" s="26" t="n">
        <x:v>218.37</x:v>
      </x:c>
    </x:row>
    <x:row r="1388">
      <x:c r="A1388" t="n">
        <x:v>501385</x:v>
      </x:c>
      <x:c r="B1388" s="24" t="n">
        <x:v>45923</x:v>
      </x:c>
      <x:c r="C1388" t="n">
        <x:v>1026</x:v>
      </x:c>
      <x:c r="D1388" t="str">
        <x:v>Seller 1026</x:v>
      </x:c>
      <x:c r="E1388" t="str">
        <x:v>Gold</x:v>
      </x:c>
      <x:c r="F1388" t="str">
        <x:v>East</x:v>
      </x:c>
      <x:c r="G1388" t="str">
        <x:v>Home &amp; Kitchen</x:v>
      </x:c>
      <x:c r="H1388" t="n">
        <x:v>3</x:v>
      </x:c>
      <x:c r="I1388" s="26" t="n">
        <x:v>2161.2000000000003</x:v>
      </x:c>
      <x:c r="J1388" s="26" t="n">
        <x:v>7930.2</x:v>
      </x:c>
      <x:c r="K1388" s="28" t="n">
        <x:v>0.1297</x:v>
      </x:c>
      <x:c r="L1388" s="26" t="n">
        <x:v>1028.55</x:v>
      </x:c>
      <x:c r="M1388" t="n">
        <x:v>0</x:v>
      </x:c>
      <x:c r="N1388" s="26" t="n">
        <x:v>0</x:v>
      </x:c>
      <x:c r="O1388" s="26" t="n">
        <x:v>146.71</x:v>
      </x:c>
      <x:c r="P1388" s="26" t="n">
        <x:v>35.69</x:v>
      </x:c>
      <x:c r="Q1388" s="26" t="n">
        <x:v>67.41</x:v>
      </x:c>
      <x:c r="R1388" s="26" t="n">
        <x:v>83.27</x:v>
      </x:c>
      <x:c r="S1388" s="26" t="n">
        <x:v>695.48</x:v>
      </x:c>
    </x:row>
    <x:row r="1389">
      <x:c r="A1389" t="n">
        <x:v>501386</x:v>
      </x:c>
      <x:c r="B1389" s="24" t="n">
        <x:v>45923</x:v>
      </x:c>
      <x:c r="C1389" t="n">
        <x:v>1067</x:v>
      </x:c>
      <x:c r="D1389" t="str">
        <x:v>Seller 1067</x:v>
      </x:c>
      <x:c r="E1389" t="str">
        <x:v>Bronze</x:v>
      </x:c>
      <x:c r="F1389" t="str">
        <x:v>South</x:v>
      </x:c>
      <x:c r="G1389" t="str">
        <x:v>Beauty</x:v>
      </x:c>
      <x:c r="H1389" t="n">
        <x:v>2</x:v>
      </x:c>
      <x:c r="I1389" s="26" t="n">
        <x:v>1131.6</x:v>
      </x:c>
      <x:c r="J1389" s="26" t="n">
        <x:v>1492.8</x:v>
      </x:c>
      <x:c r="K1389" s="28" t="n">
        <x:v>0.1515</x:v>
      </x:c>
      <x:c r="L1389" s="26" t="n">
        <x:v>226.16</x:v>
      </x:c>
      <x:c r="M1389" t="n">
        <x:v>0</x:v>
      </x:c>
      <x:c r="N1389" s="26" t="n">
        <x:v>0</x:v>
      </x:c>
      <x:c r="O1389" s="26" t="n">
        <x:v>27.62</x:v>
      </x:c>
      <x:c r="P1389" s="26" t="n">
        <x:v>6.72</x:v>
      </x:c>
      <x:c r="Q1389" s="26" t="n">
        <x:v>12.69</x:v>
      </x:c>
      <x:c r="R1389" s="26" t="n">
        <x:v>15.67</x:v>
      </x:c>
      <x:c r="S1389" s="26" t="n">
        <x:v>163.46</x:v>
      </x:c>
    </x:row>
    <x:row r="1390">
      <x:c r="A1390" t="n">
        <x:v>501387</x:v>
      </x:c>
      <x:c r="B1390" s="24" t="n">
        <x:v>45923</x:v>
      </x:c>
      <x:c r="C1390" t="n">
        <x:v>1079</x:v>
      </x:c>
      <x:c r="D1390" t="str">
        <x:v>Seller 1079</x:v>
      </x:c>
      <x:c r="E1390" t="str">
        <x:v>Bronze</x:v>
      </x:c>
      <x:c r="F1390" t="str">
        <x:v>South</x:v>
      </x:c>
      <x:c r="G1390" t="str">
        <x:v>Beauty</x:v>
      </x:c>
      <x:c r="H1390" t="n">
        <x:v>2</x:v>
      </x:c>
      <x:c r="I1390" s="26" t="n">
        <x:v>1341.6</x:v>
      </x:c>
      <x:c r="J1390" s="26" t="n">
        <x:v>1768.8</x:v>
      </x:c>
      <x:c r="K1390" s="28" t="n">
        <x:v>0.1518</x:v>
      </x:c>
      <x:c r="L1390" s="26" t="n">
        <x:v>268.5</x:v>
      </x:c>
      <x:c r="M1390" t="n">
        <x:v>0</x:v>
      </x:c>
      <x:c r="N1390" s="26" t="n">
        <x:v>0</x:v>
      </x:c>
      <x:c r="O1390" s="26" t="n">
        <x:v>32.72</x:v>
      </x:c>
      <x:c r="P1390" s="26" t="n">
        <x:v>7.96</x:v>
      </x:c>
      <x:c r="Q1390" s="26" t="n">
        <x:v>15.03</x:v>
      </x:c>
      <x:c r="R1390" s="26" t="n">
        <x:v>18.57</x:v>
      </x:c>
      <x:c r="S1390" s="26" t="n">
        <x:v>194.21</x:v>
      </x:c>
    </x:row>
    <x:row r="1391">
      <x:c r="A1391" t="n">
        <x:v>501388</x:v>
      </x:c>
      <x:c r="B1391" s="24" t="n">
        <x:v>45914</x:v>
      </x:c>
      <x:c r="C1391" t="n">
        <x:v>1079</x:v>
      </x:c>
      <x:c r="D1391" t="str">
        <x:v>Seller 1079</x:v>
      </x:c>
      <x:c r="E1391" t="str">
        <x:v>Bronze</x:v>
      </x:c>
      <x:c r="F1391" t="str">
        <x:v>South</x:v>
      </x:c>
      <x:c r="G1391" t="str">
        <x:v>Beauty</x:v>
      </x:c>
      <x:c r="H1391" t="n">
        <x:v>3</x:v>
      </x:c>
      <x:c r="I1391" s="26" t="n">
        <x:v>1250.4</x:v>
      </x:c>
      <x:c r="J1391" s="26" t="n">
        <x:v>2473.2</x:v>
      </x:c>
      <x:c r="K1391" s="28" t="n">
        <x:v>0.1408</x:v>
      </x:c>
      <x:c r="L1391" s="26" t="n">
        <x:v>348.23</x:v>
      </x:c>
      <x:c r="M1391" t="n">
        <x:v>0</x:v>
      </x:c>
      <x:c r="N1391" s="26" t="n">
        <x:v>0</x:v>
      </x:c>
      <x:c r="O1391" s="26" t="n">
        <x:v>45.75</x:v>
      </x:c>
      <x:c r="P1391" s="26" t="n">
        <x:v>11.13</x:v>
      </x:c>
      <x:c r="Q1391" s="26" t="n">
        <x:v>21.02</x:v>
      </x:c>
      <x:c r="R1391" s="26" t="n">
        <x:v>25.97</x:v>
      </x:c>
      <x:c r="S1391" s="26" t="n">
        <x:v>244.35</x:v>
      </x:c>
    </x:row>
    <x:row r="1392">
      <x:c r="A1392" t="n">
        <x:v>501389</x:v>
      </x:c>
      <x:c r="B1392" s="24" t="n">
        <x:v>45922</x:v>
      </x:c>
      <x:c r="C1392" t="n">
        <x:v>1057</x:v>
      </x:c>
      <x:c r="D1392" t="str">
        <x:v>Seller 1057</x:v>
      </x:c>
      <x:c r="E1392" t="str">
        <x:v>Bronze</x:v>
      </x:c>
      <x:c r="F1392" t="str">
        <x:v>South</x:v>
      </x:c>
      <x:c r="G1392" t="str">
        <x:v>Electronics</x:v>
      </x:c>
      <x:c r="H1392" t="n">
        <x:v>1</x:v>
      </x:c>
      <x:c r="I1392" s="26" t="n">
        <x:v>8804.400000000001</x:v>
      </x:c>
      <x:c r="J1392" s="26" t="n">
        <x:v>5805.6</x:v>
      </x:c>
      <x:c r="K1392" s="28" t="n">
        <x:v>0.1312</x:v>
      </x:c>
      <x:c r="L1392" s="26" t="n">
        <x:v>761.69</x:v>
      </x:c>
      <x:c r="M1392" t="n">
        <x:v>0</x:v>
      </x:c>
      <x:c r="N1392" s="26" t="n">
        <x:v>0</x:v>
      </x:c>
      <x:c r="O1392" s="26" t="n">
        <x:v>107.4</x:v>
      </x:c>
      <x:c r="P1392" s="26" t="n">
        <x:v>26.13</x:v>
      </x:c>
      <x:c r="Q1392" s="26" t="n">
        <x:v>49.35</x:v>
      </x:c>
      <x:c r="R1392" s="26" t="n">
        <x:v>60.96</x:v>
      </x:c>
      <x:c r="S1392" s="26" t="n">
        <x:v>517.86</x:v>
      </x:c>
    </x:row>
    <x:row r="1393">
      <x:c r="A1393" t="n">
        <x:v>501390</x:v>
      </x:c>
      <x:c r="B1393" s="24" t="n">
        <x:v>45904</x:v>
      </x:c>
      <x:c r="C1393" t="n">
        <x:v>1050</x:v>
      </x:c>
      <x:c r="D1393" t="str">
        <x:v>Seller 1050</x:v>
      </x:c>
      <x:c r="E1393" t="str">
        <x:v>Silver</x:v>
      </x:c>
      <x:c r="F1393" t="str">
        <x:v>East</x:v>
      </x:c>
      <x:c r="G1393" t="str">
        <x:v>Electronics</x:v>
      </x:c>
      <x:c r="H1393" t="n">
        <x:v>1</x:v>
      </x:c>
      <x:c r="I1393" s="26" t="n">
        <x:v>9750.599999999999</x:v>
      </x:c>
      <x:c r="J1393" s="26" t="n">
        <x:v>9125.4</x:v>
      </x:c>
      <x:c r="K1393" s="28" t="n">
        <x:v>0.1206</x:v>
      </x:c>
      <x:c r="L1393" s="26" t="n">
        <x:v>1100.52</x:v>
      </x:c>
      <x:c r="M1393" t="n">
        <x:v>0</x:v>
      </x:c>
      <x:c r="N1393" s="26" t="n">
        <x:v>0</x:v>
      </x:c>
      <x:c r="O1393" s="26" t="n">
        <x:v>168.82</x:v>
      </x:c>
      <x:c r="P1393" s="26" t="n">
        <x:v>41.06</x:v>
      </x:c>
      <x:c r="Q1393" s="26" t="n">
        <x:v>77.57</x:v>
      </x:c>
      <x:c r="R1393" s="26" t="n">
        <x:v>95.82</x:v>
      </x:c>
      <x:c r="S1393" s="26" t="n">
        <x:v>717.26</x:v>
      </x:c>
    </x:row>
    <x:row r="1394">
      <x:c r="A1394" t="n">
        <x:v>501391</x:v>
      </x:c>
      <x:c r="B1394" s="24" t="n">
        <x:v>45919</x:v>
      </x:c>
      <x:c r="C1394" t="n">
        <x:v>1022</x:v>
      </x:c>
      <x:c r="D1394" t="str">
        <x:v>Seller 1022</x:v>
      </x:c>
      <x:c r="E1394" t="str">
        <x:v>Gold</x:v>
      </x:c>
      <x:c r="F1394" t="str">
        <x:v>East</x:v>
      </x:c>
      <x:c r="G1394" t="str">
        <x:v>Beauty</x:v>
      </x:c>
      <x:c r="H1394" t="n">
        <x:v>2</x:v>
      </x:c>
      <x:c r="I1394" s="26" t="n">
        <x:v>927.6</x:v>
      </x:c>
      <x:c r="J1394" s="26" t="n">
        <x:v>2269.2</x:v>
      </x:c>
      <x:c r="K1394" s="28" t="n">
        <x:v>0.1465</x:v>
      </x:c>
      <x:c r="L1394" s="26" t="n">
        <x:v>332.44</x:v>
      </x:c>
      <x:c r="M1394" t="n">
        <x:v>0</x:v>
      </x:c>
      <x:c r="N1394" s="26" t="n">
        <x:v>0</x:v>
      </x:c>
      <x:c r="O1394" s="26" t="n">
        <x:v>41.98</x:v>
      </x:c>
      <x:c r="P1394" s="26" t="n">
        <x:v>10.21</x:v>
      </x:c>
      <x:c r="Q1394" s="26" t="n">
        <x:v>19.29</x:v>
      </x:c>
      <x:c r="R1394" s="26" t="n">
        <x:v>23.83</x:v>
      </x:c>
      <x:c r="S1394" s="26" t="n">
        <x:v>237.13</x:v>
      </x:c>
    </x:row>
    <x:row r="1395">
      <x:c r="A1395" t="n">
        <x:v>501392</x:v>
      </x:c>
      <x:c r="B1395" s="24" t="n">
        <x:v>45919</x:v>
      </x:c>
      <x:c r="C1395" t="n">
        <x:v>1016</x:v>
      </x:c>
      <x:c r="D1395" t="str">
        <x:v>Seller 1016</x:v>
      </x:c>
      <x:c r="E1395" t="str">
        <x:v>Gold</x:v>
      </x:c>
      <x:c r="F1395" t="str">
        <x:v>West</x:v>
      </x:c>
      <x:c r="G1395" t="str">
        <x:v>Sports</x:v>
      </x:c>
      <x:c r="H1395" t="n">
        <x:v>1</x:v>
      </x:c>
      <x:c r="I1395" s="26" t="n">
        <x:v>4693.2</x:v>
      </x:c>
      <x:c r="J1395" s="26" t="n">
        <x:v>5740.2</x:v>
      </x:c>
      <x:c r="K1395" s="28" t="n">
        <x:v>0.1166</x:v>
      </x:c>
      <x:c r="L1395" s="26" t="n">
        <x:v>669.31</x:v>
      </x:c>
      <x:c r="M1395" t="n">
        <x:v>0</x:v>
      </x:c>
      <x:c r="N1395" s="26" t="n">
        <x:v>0</x:v>
      </x:c>
      <x:c r="O1395" s="26" t="n">
        <x:v>106.19</x:v>
      </x:c>
      <x:c r="P1395" s="26" t="n">
        <x:v>25.83</x:v>
      </x:c>
      <x:c r="Q1395" s="26" t="n">
        <x:v>48.79</x:v>
      </x:c>
      <x:c r="R1395" s="26" t="n">
        <x:v>60.27</x:v>
      </x:c>
      <x:c r="S1395" s="26" t="n">
        <x:v>428.22</x:v>
      </x:c>
    </x:row>
    <x:row r="1396">
      <x:c r="A1396" t="n">
        <x:v>501393</x:v>
      </x:c>
      <x:c r="B1396" s="24" t="n">
        <x:v>45903</x:v>
      </x:c>
      <x:c r="C1396" t="n">
        <x:v>1045</x:v>
      </x:c>
      <x:c r="D1396" t="str">
        <x:v>Seller 1045</x:v>
      </x:c>
      <x:c r="E1396" t="str">
        <x:v>Silver</x:v>
      </x:c>
      <x:c r="F1396" t="str">
        <x:v>Central</x:v>
      </x:c>
      <x:c r="G1396" t="str">
        <x:v>Home &amp; Kitchen</x:v>
      </x:c>
      <x:c r="H1396" t="n">
        <x:v>2</x:v>
      </x:c>
      <x:c r="I1396" s="26" t="n">
        <x:v>2951.3999999999996</x:v>
      </x:c>
      <x:c r="J1396" s="26" t="n">
        <x:v>5524.2</x:v>
      </x:c>
      <x:c r="K1396" s="28" t="n">
        <x:v>0.1469</x:v>
      </x:c>
      <x:c r="L1396" s="26" t="n">
        <x:v>811.5</x:v>
      </x:c>
      <x:c r="M1396" t="n">
        <x:v>0</x:v>
      </x:c>
      <x:c r="N1396" s="26" t="n">
        <x:v>0</x:v>
      </x:c>
      <x:c r="O1396" s="26" t="n">
        <x:v>102.2</x:v>
      </x:c>
      <x:c r="P1396" s="26" t="n">
        <x:v>24.86</x:v>
      </x:c>
      <x:c r="Q1396" s="26" t="n">
        <x:v>46.96</x:v>
      </x:c>
      <x:c r="R1396" s="26" t="n">
        <x:v>58</x:v>
      </x:c>
      <x:c r="S1396" s="26" t="n">
        <x:v>579.49</x:v>
      </x:c>
    </x:row>
    <x:row r="1397">
      <x:c r="A1397" t="n">
        <x:v>501394</x:v>
      </x:c>
      <x:c r="B1397" s="24" t="n">
        <x:v>45927</x:v>
      </x:c>
      <x:c r="C1397" t="n">
        <x:v>1002</x:v>
      </x:c>
      <x:c r="D1397" t="str">
        <x:v>Seller 1002</x:v>
      </x:c>
      <x:c r="E1397" t="str">
        <x:v>Platinum</x:v>
      </x:c>
      <x:c r="F1397" t="str">
        <x:v>Central</x:v>
      </x:c>
      <x:c r="G1397" t="str">
        <x:v>Home &amp; Kitchen</x:v>
      </x:c>
      <x:c r="H1397" t="n">
        <x:v>2</x:v>
      </x:c>
      <x:c r="I1397" s="26" t="n">
        <x:v>2658.6000000000004</x:v>
      </x:c>
      <x:c r="J1397" s="26" t="n">
        <x:v>8765.4</x:v>
      </x:c>
      <x:c r="K1397" s="28" t="n">
        <x:v>0.1371</x:v>
      </x:c>
      <x:c r="L1397" s="26" t="n">
        <x:v>1201.74</x:v>
      </x:c>
      <x:c r="M1397" t="n">
        <x:v>0</x:v>
      </x:c>
      <x:c r="N1397" s="26" t="n">
        <x:v>0</x:v>
      </x:c>
      <x:c r="O1397" s="26" t="n">
        <x:v>162.16</x:v>
      </x:c>
      <x:c r="P1397" s="26" t="n">
        <x:v>39.44</x:v>
      </x:c>
      <x:c r="Q1397" s="26" t="n">
        <x:v>74.51</x:v>
      </x:c>
      <x:c r="R1397" s="26" t="n">
        <x:v>92.04</x:v>
      </x:c>
      <x:c r="S1397" s="26" t="n">
        <x:v>833.59</x:v>
      </x:c>
    </x:row>
    <x:row r="1398">
      <x:c r="A1398" t="n">
        <x:v>501395</x:v>
      </x:c>
      <x:c r="B1398" s="24" t="n">
        <x:v>45920</x:v>
      </x:c>
      <x:c r="C1398" t="n">
        <x:v>1033</x:v>
      </x:c>
      <x:c r="D1398" t="str">
        <x:v>Seller 1033</x:v>
      </x:c>
      <x:c r="E1398" t="str">
        <x:v>Silver</x:v>
      </x:c>
      <x:c r="F1398" t="str">
        <x:v>South</x:v>
      </x:c>
      <x:c r="G1398" t="str">
        <x:v>Beauty</x:v>
      </x:c>
      <x:c r="H1398" t="n">
        <x:v>3</x:v>
      </x:c>
      <x:c r="I1398" s="26" t="n">
        <x:v>894</x:v>
      </x:c>
      <x:c r="J1398" s="26" t="n">
        <x:v>2509.2</x:v>
      </x:c>
      <x:c r="K1398" s="28" t="n">
        <x:v>0.1485</x:v>
      </x:c>
      <x:c r="L1398" s="26" t="n">
        <x:v>372.62</x:v>
      </x:c>
      <x:c r="M1398" t="n">
        <x:v>0</x:v>
      </x:c>
      <x:c r="N1398" s="26" t="n">
        <x:v>0</x:v>
      </x:c>
      <x:c r="O1398" s="26" t="n">
        <x:v>46.42</x:v>
      </x:c>
      <x:c r="P1398" s="26" t="n">
        <x:v>11.29</x:v>
      </x:c>
      <x:c r="Q1398" s="26" t="n">
        <x:v>21.33</x:v>
      </x:c>
      <x:c r="R1398" s="26" t="n">
        <x:v>26.35</x:v>
      </x:c>
      <x:c r="S1398" s="26" t="n">
        <x:v>267.23</x:v>
      </x:c>
    </x:row>
    <x:row r="1399">
      <x:c r="A1399" t="n">
        <x:v>501396</x:v>
      </x:c>
      <x:c r="B1399" s="24" t="n">
        <x:v>45947</x:v>
      </x:c>
      <x:c r="C1399" t="n">
        <x:v>1033</x:v>
      </x:c>
      <x:c r="D1399" t="str">
        <x:v>Seller 1033</x:v>
      </x:c>
      <x:c r="E1399" t="str">
        <x:v>Silver</x:v>
      </x:c>
      <x:c r="F1399" t="str">
        <x:v>South</x:v>
      </x:c>
      <x:c r="G1399" t="str">
        <x:v>Beauty</x:v>
      </x:c>
      <x:c r="H1399" t="n">
        <x:v>3</x:v>
      </x:c>
      <x:c r="I1399" s="26" t="n">
        <x:v>976.8000000000001</x:v>
      </x:c>
      <x:c r="J1399" s="26" t="n">
        <x:v>3478.8</x:v>
      </x:c>
      <x:c r="K1399" s="28" t="n">
        <x:v>0.1337</x:v>
      </x:c>
      <x:c r="L1399" s="26" t="n">
        <x:v>465.12</x:v>
      </x:c>
      <x:c r="M1399" t="n">
        <x:v>0</x:v>
      </x:c>
      <x:c r="N1399" s="26" t="n">
        <x:v>0</x:v>
      </x:c>
      <x:c r="O1399" s="26" t="n">
        <x:v>64.36</x:v>
      </x:c>
      <x:c r="P1399" s="26" t="n">
        <x:v>15.65</x:v>
      </x:c>
      <x:c r="Q1399" s="26" t="n">
        <x:v>29.57</x:v>
      </x:c>
      <x:c r="R1399" s="26" t="n">
        <x:v>36.53</x:v>
      </x:c>
      <x:c r="S1399" s="26" t="n">
        <x:v>319.01</x:v>
      </x:c>
    </x:row>
    <x:row r="1400">
      <x:c r="A1400" t="n">
        <x:v>501397</x:v>
      </x:c>
      <x:c r="B1400" s="24" t="n">
        <x:v>45956</x:v>
      </x:c>
      <x:c r="C1400" t="n">
        <x:v>1059</x:v>
      </x:c>
      <x:c r="D1400" t="str">
        <x:v>Seller 1059</x:v>
      </x:c>
      <x:c r="E1400" t="str">
        <x:v>Bronze</x:v>
      </x:c>
      <x:c r="F1400" t="str">
        <x:v>Central</x:v>
      </x:c>
      <x:c r="G1400" t="str">
        <x:v>Sports</x:v>
      </x:c>
      <x:c r="H1400" t="n">
        <x:v>1</x:v>
      </x:c>
      <x:c r="I1400" s="26" t="n">
        <x:v>4683.6</x:v>
      </x:c>
      <x:c r="J1400" s="26" t="n">
        <x:v>3916.8</x:v>
      </x:c>
      <x:c r="K1400" s="28" t="n">
        <x:v>0.134</x:v>
      </x:c>
      <x:c r="L1400" s="26" t="n">
        <x:v>524.85</x:v>
      </x:c>
      <x:c r="M1400" t="n">
        <x:v>1</x:v>
      </x:c>
      <x:c r="N1400" s="26" t="n">
        <x:v>2205</x:v>
      </x:c>
      <x:c r="O1400" s="26" t="n">
        <x:v>72.46</x:v>
      </x:c>
      <x:c r="P1400" s="26" t="n">
        <x:v>17.63</x:v>
      </x:c>
      <x:c r="Q1400" s="26" t="n">
        <x:v>33.29</x:v>
      </x:c>
      <x:c r="R1400" s="26" t="n">
        <x:v>41.13</x:v>
      </x:c>
      <x:c r="S1400" s="26" t="n">
        <x:v>316.25</x:v>
      </x:c>
    </x:row>
    <x:row r="1401">
      <x:c r="A1401" t="n">
        <x:v>501398</x:v>
      </x:c>
      <x:c r="B1401" s="24" t="n">
        <x:v>45942</x:v>
      </x:c>
      <x:c r="C1401" t="n">
        <x:v>1020</x:v>
      </x:c>
      <x:c r="D1401" t="str">
        <x:v>Seller 1020</x:v>
      </x:c>
      <x:c r="E1401" t="str">
        <x:v>Gold</x:v>
      </x:c>
      <x:c r="F1401" t="str">
        <x:v>West</x:v>
      </x:c>
      <x:c r="G1401" t="str">
        <x:v>Home &amp; Kitchen</x:v>
      </x:c>
      <x:c r="H1401" t="n">
        <x:v>3</x:v>
      </x:c>
      <x:c r="I1401" s="26" t="n">
        <x:v>2328.6000000000004</x:v>
      </x:c>
      <x:c r="J1401" s="26" t="n">
        <x:v>10836</x:v>
      </x:c>
      <x:c r="K1401" s="28" t="n">
        <x:v>0.125</x:v>
      </x:c>
      <x:c r="L1401" s="26" t="n">
        <x:v>1354.5</x:v>
      </x:c>
      <x:c r="M1401" t="n">
        <x:v>0</x:v>
      </x:c>
      <x:c r="N1401" s="26" t="n">
        <x:v>0</x:v>
      </x:c>
      <x:c r="O1401" s="26" t="n">
        <x:v>200.47</x:v>
      </x:c>
      <x:c r="P1401" s="26" t="n">
        <x:v>48.76</x:v>
      </x:c>
      <x:c r="Q1401" s="26" t="n">
        <x:v>92.11</x:v>
      </x:c>
      <x:c r="R1401" s="26" t="n">
        <x:v>113.78</x:v>
      </x:c>
      <x:c r="S1401" s="26" t="n">
        <x:v>899.39</x:v>
      </x:c>
    </x:row>
    <x:row r="1402">
      <x:c r="A1402" t="n">
        <x:v>501399</x:v>
      </x:c>
      <x:c r="B1402" s="24" t="n">
        <x:v>45938</x:v>
      </x:c>
      <x:c r="C1402" t="n">
        <x:v>1008</x:v>
      </x:c>
      <x:c r="D1402" t="str">
        <x:v>Seller 1008</x:v>
      </x:c>
      <x:c r="E1402" t="str">
        <x:v>Platinum</x:v>
      </x:c>
      <x:c r="F1402" t="str">
        <x:v>West</x:v>
      </x:c>
      <x:c r="G1402" t="str">
        <x:v>Electronics</x:v>
      </x:c>
      <x:c r="H1402" t="n">
        <x:v>3</x:v>
      </x:c>
      <x:c r="I1402" s="26" t="n">
        <x:v>2463</x:v>
      </x:c>
      <x:c r="J1402" s="26" t="n">
        <x:v>15448.8</x:v>
      </x:c>
      <x:c r="K1402" s="28" t="n">
        <x:v>0.1335</x:v>
      </x:c>
      <x:c r="L1402" s="26" t="n">
        <x:v>2062.41</x:v>
      </x:c>
      <x:c r="M1402" t="n">
        <x:v>0</x:v>
      </x:c>
      <x:c r="N1402" s="26" t="n">
        <x:v>0</x:v>
      </x:c>
      <x:c r="O1402" s="26" t="n">
        <x:v>285.8</x:v>
      </x:c>
      <x:c r="P1402" s="26" t="n">
        <x:v>69.52</x:v>
      </x:c>
      <x:c r="Q1402" s="26" t="n">
        <x:v>131.31</x:v>
      </x:c>
      <x:c r="R1402" s="26" t="n">
        <x:v>162.21</x:v>
      </x:c>
      <x:c r="S1402" s="26" t="n">
        <x:v>1413.57</x:v>
      </x:c>
    </x:row>
    <x:row r="1403">
      <x:c r="A1403" t="n">
        <x:v>501400</x:v>
      </x:c>
      <x:c r="B1403" s="24" t="n">
        <x:v>45940</x:v>
      </x:c>
      <x:c r="C1403" t="n">
        <x:v>1041</x:v>
      </x:c>
      <x:c r="D1403" t="str">
        <x:v>Seller 1041</x:v>
      </x:c>
      <x:c r="E1403" t="str">
        <x:v>Silver</x:v>
      </x:c>
      <x:c r="F1403" t="str">
        <x:v>West</x:v>
      </x:c>
      <x:c r="G1403" t="str">
        <x:v>Home &amp; Kitchen</x:v>
      </x:c>
      <x:c r="H1403" t="n">
        <x:v>3</x:v>
      </x:c>
      <x:c r="I1403" s="26" t="n">
        <x:v>1347.6000000000001</x:v>
      </x:c>
      <x:c r="J1403" s="26" t="n">
        <x:v>4800</x:v>
      </x:c>
      <x:c r="K1403" s="28" t="n">
        <x:v>0.1457</x:v>
      </x:c>
      <x:c r="L1403" s="26" t="n">
        <x:v>699.36</x:v>
      </x:c>
      <x:c r="M1403" t="n">
        <x:v>0</x:v>
      </x:c>
      <x:c r="N1403" s="26" t="n">
        <x:v>0</x:v>
      </x:c>
      <x:c r="O1403" s="26" t="n">
        <x:v>88.8</x:v>
      </x:c>
      <x:c r="P1403" s="26" t="n">
        <x:v>21.6</x:v>
      </x:c>
      <x:c r="Q1403" s="26" t="n">
        <x:v>40.8</x:v>
      </x:c>
      <x:c r="R1403" s="26" t="n">
        <x:v>50.4</x:v>
      </x:c>
      <x:c r="S1403" s="26" t="n">
        <x:v>497.76</x:v>
      </x:c>
    </x:row>
    <x:row r="1404">
      <x:c r="A1404" t="n">
        <x:v>501401</x:v>
      </x:c>
      <x:c r="B1404" s="24" t="n">
        <x:v>45933</x:v>
      </x:c>
      <x:c r="C1404" t="n">
        <x:v>1054</x:v>
      </x:c>
      <x:c r="D1404" t="str">
        <x:v>Seller 1054</x:v>
      </x:c>
      <x:c r="E1404" t="str">
        <x:v>Silver</x:v>
      </x:c>
      <x:c r="F1404" t="str">
        <x:v>South</x:v>
      </x:c>
      <x:c r="G1404" t="str">
        <x:v>Pet Supplies</x:v>
      </x:c>
      <x:c r="H1404" t="n">
        <x:v>3</x:v>
      </x:c>
      <x:c r="I1404" s="26" t="n">
        <x:v>1101.6</x:v>
      </x:c>
      <x:c r="J1404" s="26" t="n">
        <x:v>3922.8</x:v>
      </x:c>
      <x:c r="K1404" s="28" t="n">
        <x:v>0.1383</x:v>
      </x:c>
      <x:c r="L1404" s="26" t="n">
        <x:v>542.52</x:v>
      </x:c>
      <x:c r="M1404" t="n">
        <x:v>0</x:v>
      </x:c>
      <x:c r="N1404" s="26" t="n">
        <x:v>0</x:v>
      </x:c>
      <x:c r="O1404" s="26" t="n">
        <x:v>72.57</x:v>
      </x:c>
      <x:c r="P1404" s="26" t="n">
        <x:v>17.65</x:v>
      </x:c>
      <x:c r="Q1404" s="26" t="n">
        <x:v>33.34</x:v>
      </x:c>
      <x:c r="R1404" s="26" t="n">
        <x:v>41.19</x:v>
      </x:c>
      <x:c r="S1404" s="26" t="n">
        <x:v>377.77</x:v>
      </x:c>
    </x:row>
    <x:row r="1405">
      <x:c r="A1405" t="n">
        <x:v>501402</x:v>
      </x:c>
      <x:c r="B1405" s="24" t="n">
        <x:v>45928</x:v>
      </x:c>
      <x:c r="C1405" t="n">
        <x:v>1057</x:v>
      </x:c>
      <x:c r="D1405" t="str">
        <x:v>Seller 1057</x:v>
      </x:c>
      <x:c r="E1405" t="str">
        <x:v>Bronze</x:v>
      </x:c>
      <x:c r="F1405" t="str">
        <x:v>South</x:v>
      </x:c>
      <x:c r="G1405" t="str">
        <x:v>Electronics</x:v>
      </x:c>
      <x:c r="H1405" t="n">
        <x:v>1</x:v>
      </x:c>
      <x:c r="I1405" s="26" t="n">
        <x:v>8029.800000000001</x:v>
      </x:c>
      <x:c r="J1405" s="26" t="n">
        <x:v>6715.8</x:v>
      </x:c>
      <x:c r="K1405" s="28" t="n">
        <x:v>0.1228</x:v>
      </x:c>
      <x:c r="L1405" s="26" t="n">
        <x:v>824.7</x:v>
      </x:c>
      <x:c r="M1405" t="n">
        <x:v>0</x:v>
      </x:c>
      <x:c r="N1405" s="26" t="n">
        <x:v>0</x:v>
      </x:c>
      <x:c r="O1405" s="26" t="n">
        <x:v>124.24</x:v>
      </x:c>
      <x:c r="P1405" s="26" t="n">
        <x:v>30.22</x:v>
      </x:c>
      <x:c r="Q1405" s="26" t="n">
        <x:v>57.08</x:v>
      </x:c>
      <x:c r="R1405" s="26" t="n">
        <x:v>70.52</x:v>
      </x:c>
      <x:c r="S1405" s="26" t="n">
        <x:v>542.64</x:v>
      </x:c>
    </x:row>
    <x:row r="1406">
      <x:c r="A1406" t="n">
        <x:v>501403</x:v>
      </x:c>
      <x:c r="B1406" s="24" t="n">
        <x:v>45942</x:v>
      </x:c>
      <x:c r="C1406" t="n">
        <x:v>1040</x:v>
      </x:c>
      <x:c r="D1406" t="str">
        <x:v>Seller 1040</x:v>
      </x:c>
      <x:c r="E1406" t="str">
        <x:v>Silver</x:v>
      </x:c>
      <x:c r="F1406" t="str">
        <x:v>West</x:v>
      </x:c>
      <x:c r="G1406" t="str">
        <x:v>Pet Supplies</x:v>
      </x:c>
      <x:c r="H1406" t="n">
        <x:v>2</x:v>
      </x:c>
      <x:c r="I1406" s="26" t="n">
        <x:v>1744.2</x:v>
      </x:c>
      <x:c r="J1406" s="26" t="n">
        <x:v>4140.6</x:v>
      </x:c>
      <x:c r="K1406" s="28" t="n">
        <x:v>0.1336</x:v>
      </x:c>
      <x:c r="L1406" s="26" t="n">
        <x:v>553.18</x:v>
      </x:c>
      <x:c r="M1406" t="n">
        <x:v>0</x:v>
      </x:c>
      <x:c r="N1406" s="26" t="n">
        <x:v>0</x:v>
      </x:c>
      <x:c r="O1406" s="26" t="n">
        <x:v>76.6</x:v>
      </x:c>
      <x:c r="P1406" s="26" t="n">
        <x:v>18.63</x:v>
      </x:c>
      <x:c r="Q1406" s="26" t="n">
        <x:v>35.2</x:v>
      </x:c>
      <x:c r="R1406" s="26" t="n">
        <x:v>43.48</x:v>
      </x:c>
      <x:c r="S1406" s="26" t="n">
        <x:v>379.28</x:v>
      </x:c>
    </x:row>
    <x:row r="1407">
      <x:c r="A1407" t="n">
        <x:v>501404</x:v>
      </x:c>
      <x:c r="B1407" s="24" t="n">
        <x:v>45952</x:v>
      </x:c>
      <x:c r="C1407" t="n">
        <x:v>1012</x:v>
      </x:c>
      <x:c r="D1407" t="str">
        <x:v>Seller 1012</x:v>
      </x:c>
      <x:c r="E1407" t="str">
        <x:v>Platinum</x:v>
      </x:c>
      <x:c r="F1407" t="str">
        <x:v>East</x:v>
      </x:c>
      <x:c r="G1407" t="str">
        <x:v>Beauty</x:v>
      </x:c>
      <x:c r="H1407" t="n">
        <x:v>3</x:v>
      </x:c>
      <x:c r="I1407" s="26" t="n">
        <x:v>1063.8</x:v>
      </x:c>
      <x:c r="J1407" s="26" t="n">
        <x:v>6674.4</x:v>
      </x:c>
      <x:c r="K1407" s="28" t="n">
        <x:v>0.1375</x:v>
      </x:c>
      <x:c r="L1407" s="26" t="n">
        <x:v>917.73</x:v>
      </x:c>
      <x:c r="M1407" t="n">
        <x:v>0</x:v>
      </x:c>
      <x:c r="N1407" s="26" t="n">
        <x:v>0</x:v>
      </x:c>
      <x:c r="O1407" s="26" t="n">
        <x:v>123.48</x:v>
      </x:c>
      <x:c r="P1407" s="26" t="n">
        <x:v>30.03</x:v>
      </x:c>
      <x:c r="Q1407" s="26" t="n">
        <x:v>56.73</x:v>
      </x:c>
      <x:c r="R1407" s="26" t="n">
        <x:v>70.08</x:v>
      </x:c>
      <x:c r="S1407" s="26" t="n">
        <x:v>637.41</x:v>
      </x:c>
    </x:row>
    <x:row r="1408">
      <x:c r="A1408" t="n">
        <x:v>501405</x:v>
      </x:c>
      <x:c r="B1408" s="24" t="n">
        <x:v>45949</x:v>
      </x:c>
      <x:c r="C1408" t="n">
        <x:v>1022</x:v>
      </x:c>
      <x:c r="D1408" t="str">
        <x:v>Seller 1022</x:v>
      </x:c>
      <x:c r="E1408" t="str">
        <x:v>Gold</x:v>
      </x:c>
      <x:c r="F1408" t="str">
        <x:v>East</x:v>
      </x:c>
      <x:c r="G1408" t="str">
        <x:v>Home &amp; Kitchen</x:v>
      </x:c>
      <x:c r="H1408" t="n">
        <x:v>1</x:v>
      </x:c>
      <x:c r="I1408" s="26" t="n">
        <x:v>4587</x:v>
      </x:c>
      <x:c r="J1408" s="26" t="n">
        <x:v>7115.4</x:v>
      </x:c>
      <x:c r="K1408" s="28" t="n">
        <x:v>0.1441</x:v>
      </x:c>
      <x:c r="L1408" s="26" t="n">
        <x:v>1025.33</x:v>
      </x:c>
      <x:c r="M1408" t="n">
        <x:v>0</x:v>
      </x:c>
      <x:c r="N1408" s="26" t="n">
        <x:v>0</x:v>
      </x:c>
      <x:c r="O1408" s="26" t="n">
        <x:v>131.63</x:v>
      </x:c>
      <x:c r="P1408" s="26" t="n">
        <x:v>32.02</x:v>
      </x:c>
      <x:c r="Q1408" s="26" t="n">
        <x:v>60.48</x:v>
      </x:c>
      <x:c r="R1408" s="26" t="n">
        <x:v>74.71</x:v>
      </x:c>
      <x:c r="S1408" s="26" t="n">
        <x:v>726.48</x:v>
      </x:c>
    </x:row>
    <x:row r="1409">
      <x:c r="A1409" t="n">
        <x:v>501406</x:v>
      </x:c>
      <x:c r="B1409" s="24" t="n">
        <x:v>45938</x:v>
      </x:c>
      <x:c r="C1409" t="n">
        <x:v>1025</x:v>
      </x:c>
      <x:c r="D1409" t="str">
        <x:v>Seller 1025</x:v>
      </x:c>
      <x:c r="E1409" t="str">
        <x:v>Gold</x:v>
      </x:c>
      <x:c r="F1409" t="str">
        <x:v>Central</x:v>
      </x:c>
      <x:c r="G1409" t="str">
        <x:v>Pet Supplies</x:v>
      </x:c>
      <x:c r="H1409" t="n">
        <x:v>2</x:v>
      </x:c>
      <x:c r="I1409" s="26" t="n">
        <x:v>1621.2</x:v>
      </x:c>
      <x:c r="J1409" s="26" t="n">
        <x:v>5029.8</x:v>
      </x:c>
      <x:c r="K1409" s="28" t="n">
        <x:v>0.1369</x:v>
      </x:c>
      <x:c r="L1409" s="26" t="n">
        <x:v>688.58</x:v>
      </x:c>
      <x:c r="M1409" t="n">
        <x:v>0</x:v>
      </x:c>
      <x:c r="N1409" s="26" t="n">
        <x:v>0</x:v>
      </x:c>
      <x:c r="O1409" s="26" t="n">
        <x:v>93.05</x:v>
      </x:c>
      <x:c r="P1409" s="26" t="n">
        <x:v>22.63</x:v>
      </x:c>
      <x:c r="Q1409" s="26" t="n">
        <x:v>42.75</x:v>
      </x:c>
      <x:c r="R1409" s="26" t="n">
        <x:v>52.81</x:v>
      </x:c>
      <x:c r="S1409" s="26" t="n">
        <x:v>477.33</x:v>
      </x:c>
    </x:row>
    <x:row r="1410">
      <x:c r="A1410" t="n">
        <x:v>501407</x:v>
      </x:c>
      <x:c r="B1410" s="24" t="n">
        <x:v>45936</x:v>
      </x:c>
      <x:c r="C1410" t="n">
        <x:v>1053</x:v>
      </x:c>
      <x:c r="D1410" t="str">
        <x:v>Seller 1053</x:v>
      </x:c>
      <x:c r="E1410" t="str">
        <x:v>Silver</x:v>
      </x:c>
      <x:c r="F1410" t="str">
        <x:v>Central</x:v>
      </x:c>
      <x:c r="G1410" t="str">
        <x:v>Beauty</x:v>
      </x:c>
      <x:c r="H1410" t="n">
        <x:v>3</x:v>
      </x:c>
      <x:c r="I1410" s="26" t="n">
        <x:v>1285.2</x:v>
      </x:c>
      <x:c r="J1410" s="26" t="n">
        <x:v>4577.4</x:v>
      </x:c>
      <x:c r="K1410" s="28" t="n">
        <x:v>0.1373</x:v>
      </x:c>
      <x:c r="L1410" s="26" t="n">
        <x:v>628.48</x:v>
      </x:c>
      <x:c r="M1410" t="n">
        <x:v>0</x:v>
      </x:c>
      <x:c r="N1410" s="26" t="n">
        <x:v>0</x:v>
      </x:c>
      <x:c r="O1410" s="26" t="n">
        <x:v>84.68</x:v>
      </x:c>
      <x:c r="P1410" s="26" t="n">
        <x:v>20.6</x:v>
      </x:c>
      <x:c r="Q1410" s="26" t="n">
        <x:v>38.91</x:v>
      </x:c>
      <x:c r="R1410" s="26" t="n">
        <x:v>48.06</x:v>
      </x:c>
      <x:c r="S1410" s="26" t="n">
        <x:v>436.23</x:v>
      </x:c>
    </x:row>
    <x:row r="1411">
      <x:c r="A1411" t="n">
        <x:v>501408</x:v>
      </x:c>
      <x:c r="B1411" s="24" t="n">
        <x:v>45954</x:v>
      </x:c>
      <x:c r="C1411" t="n">
        <x:v>1012</x:v>
      </x:c>
      <x:c r="D1411" t="str">
        <x:v>Seller 1012</x:v>
      </x:c>
      <x:c r="E1411" t="str">
        <x:v>Platinum</x:v>
      </x:c>
      <x:c r="F1411" t="str">
        <x:v>East</x:v>
      </x:c>
      <x:c r="G1411" t="str">
        <x:v>Beauty</x:v>
      </x:c>
      <x:c r="H1411" t="n">
        <x:v>1</x:v>
      </x:c>
      <x:c r="I1411" s="26" t="n">
        <x:v>2547</x:v>
      </x:c>
      <x:c r="J1411" s="26" t="n">
        <x:v>5325.6</x:v>
      </x:c>
      <x:c r="K1411" s="28" t="n">
        <x:v>0.1484</x:v>
      </x:c>
      <x:c r="L1411" s="26" t="n">
        <x:v>790.32</x:v>
      </x:c>
      <x:c r="M1411" t="n">
        <x:v>0</x:v>
      </x:c>
      <x:c r="N1411" s="26" t="n">
        <x:v>0</x:v>
      </x:c>
      <x:c r="O1411" s="26" t="n">
        <x:v>98.52</x:v>
      </x:c>
      <x:c r="P1411" s="26" t="n">
        <x:v>23.97</x:v>
      </x:c>
      <x:c r="Q1411" s="26" t="n">
        <x:v>45.27</x:v>
      </x:c>
      <x:c r="R1411" s="26" t="n">
        <x:v>55.92</x:v>
      </x:c>
      <x:c r="S1411" s="26" t="n">
        <x:v>566.64</x:v>
      </x:c>
    </x:row>
    <x:row r="1412">
      <x:c r="A1412" t="n">
        <x:v>501409</x:v>
      </x:c>
      <x:c r="B1412" s="24" t="n">
        <x:v>45939</x:v>
      </x:c>
      <x:c r="C1412" t="n">
        <x:v>1022</x:v>
      </x:c>
      <x:c r="D1412" t="str">
        <x:v>Seller 1022</x:v>
      </x:c>
      <x:c r="E1412" t="str">
        <x:v>Gold</x:v>
      </x:c>
      <x:c r="F1412" t="str">
        <x:v>East</x:v>
      </x:c>
      <x:c r="G1412" t="str">
        <x:v>Sports</x:v>
      </x:c>
      <x:c r="H1412" t="n">
        <x:v>3</x:v>
      </x:c>
      <x:c r="I1412" s="26" t="n">
        <x:v>1209.6</x:v>
      </x:c>
      <x:c r="J1412" s="26" t="n">
        <x:v>5629.8</x:v>
      </x:c>
      <x:c r="K1412" s="28" t="n">
        <x:v>0.1289</x:v>
      </x:c>
      <x:c r="L1412" s="26" t="n">
        <x:v>725.68</x:v>
      </x:c>
      <x:c r="M1412" t="n">
        <x:v>0</x:v>
      </x:c>
      <x:c r="N1412" s="26" t="n">
        <x:v>0</x:v>
      </x:c>
      <x:c r="O1412" s="26" t="n">
        <x:v>104.15</x:v>
      </x:c>
      <x:c r="P1412" s="26" t="n">
        <x:v>25.33</x:v>
      </x:c>
      <x:c r="Q1412" s="26" t="n">
        <x:v>47.85</x:v>
      </x:c>
      <x:c r="R1412" s="26" t="n">
        <x:v>59.11</x:v>
      </x:c>
      <x:c r="S1412" s="26" t="n">
        <x:v>489.23</x:v>
      </x:c>
    </x:row>
    <x:row r="1413">
      <x:c r="A1413" t="n">
        <x:v>501410</x:v>
      </x:c>
      <x:c r="B1413" s="24" t="n">
        <x:v>45952</x:v>
      </x:c>
      <x:c r="C1413" t="n">
        <x:v>1037</x:v>
      </x:c>
      <x:c r="D1413" t="str">
        <x:v>Seller 1037</x:v>
      </x:c>
      <x:c r="E1413" t="str">
        <x:v>Silver</x:v>
      </x:c>
      <x:c r="F1413" t="str">
        <x:v>East</x:v>
      </x:c>
      <x:c r="G1413" t="str">
        <x:v>Apparel</x:v>
      </x:c>
      <x:c r="H1413" t="n">
        <x:v>2</x:v>
      </x:c>
      <x:c r="I1413" s="26" t="n">
        <x:v>1574.3999999999999</x:v>
      </x:c>
      <x:c r="J1413" s="26" t="n">
        <x:v>3738</x:v>
      </x:c>
      <x:c r="K1413" s="28" t="n">
        <x:v>0.1279</x:v>
      </x:c>
      <x:c r="L1413" s="26" t="n">
        <x:v>478.09</x:v>
      </x:c>
      <x:c r="M1413" t="n">
        <x:v>0</x:v>
      </x:c>
      <x:c r="N1413" s="26" t="n">
        <x:v>0</x:v>
      </x:c>
      <x:c r="O1413" s="26" t="n">
        <x:v>69.15</x:v>
      </x:c>
      <x:c r="P1413" s="26" t="n">
        <x:v>16.82</x:v>
      </x:c>
      <x:c r="Q1413" s="26" t="n">
        <x:v>31.77</x:v>
      </x:c>
      <x:c r="R1413" s="26" t="n">
        <x:v>39.25</x:v>
      </x:c>
      <x:c r="S1413" s="26" t="n">
        <x:v>321.09</x:v>
      </x:c>
    </x:row>
    <x:row r="1414">
      <x:c r="A1414" t="n">
        <x:v>501411</x:v>
      </x:c>
      <x:c r="B1414" s="24" t="n">
        <x:v>45932</x:v>
      </x:c>
      <x:c r="C1414" t="n">
        <x:v>1027</x:v>
      </x:c>
      <x:c r="D1414" t="str">
        <x:v>Seller 1027</x:v>
      </x:c>
      <x:c r="E1414" t="str">
        <x:v>Gold</x:v>
      </x:c>
      <x:c r="F1414" t="str">
        <x:v>West</x:v>
      </x:c>
      <x:c r="G1414" t="str">
        <x:v>Apparel</x:v>
      </x:c>
      <x:c r="H1414" t="n">
        <x:v>2</x:v>
      </x:c>
      <x:c r="I1414" s="26" t="n">
        <x:v>1935.6</x:v>
      </x:c>
      <x:c r="J1414" s="26" t="n">
        <x:v>6005.4</x:v>
      </x:c>
      <x:c r="K1414" s="28" t="n">
        <x:v>0.1108</x:v>
      </x:c>
      <x:c r="L1414" s="26" t="n">
        <x:v>665.4</x:v>
      </x:c>
      <x:c r="M1414" t="n">
        <x:v>0</x:v>
      </x:c>
      <x:c r="N1414" s="26" t="n">
        <x:v>0</x:v>
      </x:c>
      <x:c r="O1414" s="26" t="n">
        <x:v>111.1</x:v>
      </x:c>
      <x:c r="P1414" s="26" t="n">
        <x:v>27.02</x:v>
      </x:c>
      <x:c r="Q1414" s="26" t="n">
        <x:v>51.05</x:v>
      </x:c>
      <x:c r="R1414" s="26" t="n">
        <x:v>63.06</x:v>
      </x:c>
      <x:c r="S1414" s="26" t="n">
        <x:v>413.17</x:v>
      </x:c>
    </x:row>
    <x:row r="1415">
      <x:c r="A1415" t="n">
        <x:v>501412</x:v>
      </x:c>
      <x:c r="B1415" s="24" t="n">
        <x:v>45948</x:v>
      </x:c>
      <x:c r="C1415" t="n">
        <x:v>1060</x:v>
      </x:c>
      <x:c r="D1415" t="str">
        <x:v>Seller 1060</x:v>
      </x:c>
      <x:c r="E1415" t="str">
        <x:v>Bronze</x:v>
      </x:c>
      <x:c r="F1415" t="str">
        <x:v>East</x:v>
      </x:c>
      <x:c r="G1415" t="str">
        <x:v>Pet Supplies</x:v>
      </x:c>
      <x:c r="H1415" t="n">
        <x:v>1</x:v>
      </x:c>
      <x:c r="I1415" s="26" t="n">
        <x:v>3294.6</x:v>
      </x:c>
      <x:c r="J1415" s="26" t="n">
        <x:v>2755.8</x:v>
      </x:c>
      <x:c r="K1415" s="28" t="n">
        <x:v>0.1341</x:v>
      </x:c>
      <x:c r="L1415" s="26" t="n">
        <x:v>369.55</x:v>
      </x:c>
      <x:c r="M1415" t="n">
        <x:v>0</x:v>
      </x:c>
      <x:c r="N1415" s="26" t="n">
        <x:v>0</x:v>
      </x:c>
      <x:c r="O1415" s="26" t="n">
        <x:v>50.98</x:v>
      </x:c>
      <x:c r="P1415" s="26" t="n">
        <x:v>12.4</x:v>
      </x:c>
      <x:c r="Q1415" s="26" t="n">
        <x:v>23.42</x:v>
      </x:c>
      <x:c r="R1415" s="26" t="n">
        <x:v>28.94</x:v>
      </x:c>
      <x:c r="S1415" s="26" t="n">
        <x:v>253.81</x:v>
      </x:c>
    </x:row>
    <x:row r="1416">
      <x:c r="A1416" t="n">
        <x:v>501413</x:v>
      </x:c>
      <x:c r="B1416" s="24" t="n">
        <x:v>45939</x:v>
      </x:c>
      <x:c r="C1416" t="n">
        <x:v>1046</x:v>
      </x:c>
      <x:c r="D1416" t="str">
        <x:v>Seller 1046</x:v>
      </x:c>
      <x:c r="E1416" t="str">
        <x:v>Silver</x:v>
      </x:c>
      <x:c r="F1416" t="str">
        <x:v>Central</x:v>
      </x:c>
      <x:c r="G1416" t="str">
        <x:v>Electronics</x:v>
      </x:c>
      <x:c r="H1416" t="n">
        <x:v>3</x:v>
      </x:c>
      <x:c r="I1416" s="26" t="n">
        <x:v>3564</x:v>
      </x:c>
      <x:c r="J1416" s="26" t="n">
        <x:v>12693</x:v>
      </x:c>
      <x:c r="K1416" s="28" t="n">
        <x:v>0.1211</x:v>
      </x:c>
      <x:c r="L1416" s="26" t="n">
        <x:v>1537.12</x:v>
      </x:c>
      <x:c r="M1416" t="n">
        <x:v>0</x:v>
      </x:c>
      <x:c r="N1416" s="26" t="n">
        <x:v>0</x:v>
      </x:c>
      <x:c r="O1416" s="26" t="n">
        <x:v>234.82</x:v>
      </x:c>
      <x:c r="P1416" s="26" t="n">
        <x:v>57.12</x:v>
      </x:c>
      <x:c r="Q1416" s="26" t="n">
        <x:v>107.89</x:v>
      </x:c>
      <x:c r="R1416" s="26" t="n">
        <x:v>133.28</x:v>
      </x:c>
      <x:c r="S1416" s="26" t="n">
        <x:v>1004.02</x:v>
      </x:c>
    </x:row>
    <x:row r="1417">
      <x:c r="A1417" t="n">
        <x:v>501414</x:v>
      </x:c>
      <x:c r="B1417" s="24" t="n">
        <x:v>45950</x:v>
      </x:c>
      <x:c r="C1417" t="n">
        <x:v>1040</x:v>
      </x:c>
      <x:c r="D1417" t="str">
        <x:v>Seller 1040</x:v>
      </x:c>
      <x:c r="E1417" t="str">
        <x:v>Silver</x:v>
      </x:c>
      <x:c r="F1417" t="str">
        <x:v>West</x:v>
      </x:c>
      <x:c r="G1417" t="str">
        <x:v>Pet Supplies</x:v>
      </x:c>
      <x:c r="H1417" t="n">
        <x:v>1</x:v>
      </x:c>
      <x:c r="I1417" s="26" t="n">
        <x:v>2999.4</x:v>
      </x:c>
      <x:c r="J1417" s="26" t="n">
        <x:v>3560.4</x:v>
      </x:c>
      <x:c r="K1417" s="28" t="n">
        <x:v>0.1305</x:v>
      </x:c>
      <x:c r="L1417" s="26" t="n">
        <x:v>464.63</x:v>
      </x:c>
      <x:c r="M1417" t="n">
        <x:v>0</x:v>
      </x:c>
      <x:c r="N1417" s="26" t="n">
        <x:v>0</x:v>
      </x:c>
      <x:c r="O1417" s="26" t="n">
        <x:v>65.87</x:v>
      </x:c>
      <x:c r="P1417" s="26" t="n">
        <x:v>16.02</x:v>
      </x:c>
      <x:c r="Q1417" s="26" t="n">
        <x:v>30.26</x:v>
      </x:c>
      <x:c r="R1417" s="26" t="n">
        <x:v>37.38</x:v>
      </x:c>
      <x:c r="S1417" s="26" t="n">
        <x:v>315.1</x:v>
      </x:c>
    </x:row>
    <x:row r="1418">
      <x:c r="A1418" t="n">
        <x:v>501415</x:v>
      </x:c>
      <x:c r="B1418" s="24" t="n">
        <x:v>45940</x:v>
      </x:c>
      <x:c r="C1418" t="n">
        <x:v>1056</x:v>
      </x:c>
      <x:c r="D1418" t="str">
        <x:v>Seller 1056</x:v>
      </x:c>
      <x:c r="E1418" t="str">
        <x:v>Bronze</x:v>
      </x:c>
      <x:c r="F1418" t="str">
        <x:v>West</x:v>
      </x:c>
      <x:c r="G1418" t="str">
        <x:v>Apparel</x:v>
      </x:c>
      <x:c r="H1418" t="n">
        <x:v>1</x:v>
      </x:c>
      <x:c r="I1418" s="26" t="n">
        <x:v>3877.7999999999997</x:v>
      </x:c>
      <x:c r="J1418" s="26" t="n">
        <x:v>3243</x:v>
      </x:c>
      <x:c r="K1418" s="28" t="n">
        <x:v>0.1254</x:v>
      </x:c>
      <x:c r="L1418" s="26" t="n">
        <x:v>406.67</x:v>
      </x:c>
      <x:c r="M1418" t="n">
        <x:v>0</x:v>
      </x:c>
      <x:c r="N1418" s="26" t="n">
        <x:v>0</x:v>
      </x:c>
      <x:c r="O1418" s="26" t="n">
        <x:v>60</x:v>
      </x:c>
      <x:c r="P1418" s="26" t="n">
        <x:v>14.59</x:v>
      </x:c>
      <x:c r="Q1418" s="26" t="n">
        <x:v>27.57</x:v>
      </x:c>
      <x:c r="R1418" s="26" t="n">
        <x:v>34.05</x:v>
      </x:c>
      <x:c r="S1418" s="26" t="n">
        <x:v>270.47</x:v>
      </x:c>
    </x:row>
    <x:row r="1419">
      <x:c r="A1419" t="n">
        <x:v>501416</x:v>
      </x:c>
      <x:c r="B1419" s="24" t="n">
        <x:v>45941</x:v>
      </x:c>
      <x:c r="C1419" t="n">
        <x:v>1039</x:v>
      </x:c>
      <x:c r="D1419" t="str">
        <x:v>Seller 1039</x:v>
      </x:c>
      <x:c r="E1419" t="str">
        <x:v>Silver</x:v>
      </x:c>
      <x:c r="F1419" t="str">
        <x:v>East</x:v>
      </x:c>
      <x:c r="G1419" t="str">
        <x:v>Pet Supplies</x:v>
      </x:c>
      <x:c r="H1419" t="n">
        <x:v>3</x:v>
      </x:c>
      <x:c r="I1419" s="26" t="n">
        <x:v>961.1999999999999</x:v>
      </x:c>
      <x:c r="J1419" s="26" t="n">
        <x:v>3423.6</x:v>
      </x:c>
      <x:c r="K1419" s="28" t="n">
        <x:v>0.1424</x:v>
      </x:c>
      <x:c r="L1419" s="26" t="n">
        <x:v>487.52</x:v>
      </x:c>
      <x:c r="M1419" t="n">
        <x:v>0</x:v>
      </x:c>
      <x:c r="N1419" s="26" t="n">
        <x:v>0</x:v>
      </x:c>
      <x:c r="O1419" s="26" t="n">
        <x:v>63.34</x:v>
      </x:c>
      <x:c r="P1419" s="26" t="n">
        <x:v>15.41</x:v>
      </x:c>
      <x:c r="Q1419" s="26" t="n">
        <x:v>29.1</x:v>
      </x:c>
      <x:c r="R1419" s="26" t="n">
        <x:v>35.95</x:v>
      </x:c>
      <x:c r="S1419" s="26" t="n">
        <x:v>343.73</x:v>
      </x:c>
    </x:row>
    <x:row r="1420">
      <x:c r="A1420" t="n">
        <x:v>501417</x:v>
      </x:c>
      <x:c r="B1420" s="24" t="n">
        <x:v>45950</x:v>
      </x:c>
      <x:c r="C1420" t="n">
        <x:v>1035</x:v>
      </x:c>
      <x:c r="D1420" t="str">
        <x:v>Seller 1035</x:v>
      </x:c>
      <x:c r="E1420" t="str">
        <x:v>Silver</x:v>
      </x:c>
      <x:c r="F1420" t="str">
        <x:v>East</x:v>
      </x:c>
      <x:c r="G1420" t="str">
        <x:v>Apparel</x:v>
      </x:c>
      <x:c r="H1420" t="n">
        <x:v>2</x:v>
      </x:c>
      <x:c r="I1420" s="26" t="n">
        <x:v>1818.6</x:v>
      </x:c>
      <x:c r="J1420" s="26" t="n">
        <x:v>4317.6</x:v>
      </x:c>
      <x:c r="K1420" s="28" t="n">
        <x:v>0.112</x:v>
      </x:c>
      <x:c r="L1420" s="26" t="n">
        <x:v>483.57</x:v>
      </x:c>
      <x:c r="M1420" t="n">
        <x:v>0</x:v>
      </x:c>
      <x:c r="N1420" s="26" t="n">
        <x:v>0</x:v>
      </x:c>
      <x:c r="O1420" s="26" t="n">
        <x:v>79.88</x:v>
      </x:c>
      <x:c r="P1420" s="26" t="n">
        <x:v>19.43</x:v>
      </x:c>
      <x:c r="Q1420" s="26" t="n">
        <x:v>36.7</x:v>
      </x:c>
      <x:c r="R1420" s="26" t="n">
        <x:v>45.33</x:v>
      </x:c>
      <x:c r="S1420" s="26" t="n">
        <x:v>302.23</x:v>
      </x:c>
    </x:row>
    <x:row r="1421">
      <x:c r="A1421" t="n">
        <x:v>501418</x:v>
      </x:c>
      <x:c r="B1421" s="24" t="n">
        <x:v>45930</x:v>
      </x:c>
      <x:c r="C1421" t="n">
        <x:v>1068</x:v>
      </x:c>
      <x:c r="D1421" t="str">
        <x:v>Seller 1068</x:v>
      </x:c>
      <x:c r="E1421" t="str">
        <x:v>Bronze</x:v>
      </x:c>
      <x:c r="F1421" t="str">
        <x:v>South</x:v>
      </x:c>
      <x:c r="G1421" t="str">
        <x:v>Pet Supplies</x:v>
      </x:c>
      <x:c r="H1421" t="n">
        <x:v>4</x:v>
      </x:c>
      <x:c r="I1421" s="26" t="n">
        <x:v>708</x:v>
      </x:c>
      <x:c r="J1421" s="26" t="n">
        <x:v>2368.8</x:v>
      </x:c>
      <x:c r="K1421" s="28" t="n">
        <x:v>0.1231</x:v>
      </x:c>
      <x:c r="L1421" s="26" t="n">
        <x:v>291.6</x:v>
      </x:c>
      <x:c r="M1421" t="n">
        <x:v>0</x:v>
      </x:c>
      <x:c r="N1421" s="26" t="n">
        <x:v>0</x:v>
      </x:c>
      <x:c r="O1421" s="26" t="n">
        <x:v>43.82</x:v>
      </x:c>
      <x:c r="P1421" s="26" t="n">
        <x:v>10.66</x:v>
      </x:c>
      <x:c r="Q1421" s="26" t="n">
        <x:v>20.13</x:v>
      </x:c>
      <x:c r="R1421" s="26" t="n">
        <x:v>24.87</x:v>
      </x:c>
      <x:c r="S1421" s="26" t="n">
        <x:v>192.11</x:v>
      </x:c>
    </x:row>
    <x:row r="1422">
      <x:c r="A1422" t="n">
        <x:v>501419</x:v>
      </x:c>
      <x:c r="B1422" s="24" t="n">
        <x:v>45956</x:v>
      </x:c>
      <x:c r="C1422" t="n">
        <x:v>1040</x:v>
      </x:c>
      <x:c r="D1422" t="str">
        <x:v>Seller 1040</x:v>
      </x:c>
      <x:c r="E1422" t="str">
        <x:v>Silver</x:v>
      </x:c>
      <x:c r="F1422" t="str">
        <x:v>West</x:v>
      </x:c>
      <x:c r="G1422" t="str">
        <x:v>Home &amp; Kitchen</x:v>
      </x:c>
      <x:c r="H1422" t="n">
        <x:v>2</x:v>
      </x:c>
      <x:c r="I1422" s="26" t="n">
        <x:v>2046.6</x:v>
      </x:c>
      <x:c r="J1422" s="26" t="n">
        <x:v>4858.8</x:v>
      </x:c>
      <x:c r="K1422" s="28" t="n">
        <x:v>0.127</x:v>
      </x:c>
      <x:c r="L1422" s="26" t="n">
        <x:v>617.07</x:v>
      </x:c>
      <x:c r="M1422" t="n">
        <x:v>0</x:v>
      </x:c>
      <x:c r="N1422" s="26" t="n">
        <x:v>0</x:v>
      </x:c>
      <x:c r="O1422" s="26" t="n">
        <x:v>89.89</x:v>
      </x:c>
      <x:c r="P1422" s="26" t="n">
        <x:v>21.86</x:v>
      </x:c>
      <x:c r="Q1422" s="26" t="n">
        <x:v>41.3</x:v>
      </x:c>
      <x:c r="R1422" s="26" t="n">
        <x:v>51.02</x:v>
      </x:c>
      <x:c r="S1422" s="26" t="n">
        <x:v>413</x:v>
      </x:c>
    </x:row>
    <x:row r="1423">
      <x:c r="A1423" t="n">
        <x:v>501420</x:v>
      </x:c>
      <x:c r="B1423" s="24" t="n">
        <x:v>45949</x:v>
      </x:c>
      <x:c r="C1423" t="n">
        <x:v>1023</x:v>
      </x:c>
      <x:c r="D1423" t="str">
        <x:v>Seller 1023</x:v>
      </x:c>
      <x:c r="E1423" t="str">
        <x:v>Gold</x:v>
      </x:c>
      <x:c r="F1423" t="str">
        <x:v>Central</x:v>
      </x:c>
      <x:c r="G1423" t="str">
        <x:v>Home &amp; Kitchen</x:v>
      </x:c>
      <x:c r="H1423" t="n">
        <x:v>3</x:v>
      </x:c>
      <x:c r="I1423" s="26" t="n">
        <x:v>1779.6</x:v>
      </x:c>
      <x:c r="J1423" s="26" t="n">
        <x:v>8283</x:v>
      </x:c>
      <x:c r="K1423" s="28" t="n">
        <x:v>0.1279</x:v>
      </x:c>
      <x:c r="L1423" s="26" t="n">
        <x:v>1059.4</x:v>
      </x:c>
      <x:c r="M1423" t="n">
        <x:v>0</x:v>
      </x:c>
      <x:c r="N1423" s="26" t="n">
        <x:v>0</x:v>
      </x:c>
      <x:c r="O1423" s="26" t="n">
        <x:v>153.24</x:v>
      </x:c>
      <x:c r="P1423" s="26" t="n">
        <x:v>37.27</x:v>
      </x:c>
      <x:c r="Q1423" s="26" t="n">
        <x:v>70.41</x:v>
      </x:c>
      <x:c r="R1423" s="26" t="n">
        <x:v>86.97</x:v>
      </x:c>
      <x:c r="S1423" s="26" t="n">
        <x:v>711.51</x:v>
      </x:c>
    </x:row>
    <x:row r="1424">
      <x:c r="A1424" t="n">
        <x:v>501421</x:v>
      </x:c>
      <x:c r="B1424" s="24" t="n">
        <x:v>45934</x:v>
      </x:c>
      <x:c r="C1424" t="n">
        <x:v>1072</x:v>
      </x:c>
      <x:c r="D1424" t="str">
        <x:v>Seller 1072</x:v>
      </x:c>
      <x:c r="E1424" t="str">
        <x:v>Bronze</x:v>
      </x:c>
      <x:c r="F1424" t="str">
        <x:v>South</x:v>
      </x:c>
      <x:c r="G1424" t="str">
        <x:v>Beauty</x:v>
      </x:c>
      <x:c r="H1424" t="n">
        <x:v>3</x:v>
      </x:c>
      <x:c r="I1424" s="26" t="n">
        <x:v>883.8000000000001</x:v>
      </x:c>
      <x:c r="J1424" s="26" t="n">
        <x:v>2217.6</x:v>
      </x:c>
      <x:c r="K1424" s="28" t="n">
        <x:v>0.1354</x:v>
      </x:c>
      <x:c r="L1424" s="26" t="n">
        <x:v>300.26</x:v>
      </x:c>
      <x:c r="M1424" t="n">
        <x:v>0</x:v>
      </x:c>
      <x:c r="N1424" s="26" t="n">
        <x:v>0</x:v>
      </x:c>
      <x:c r="O1424" s="26" t="n">
        <x:v>41.03</x:v>
      </x:c>
      <x:c r="P1424" s="26" t="n">
        <x:v>9.98</x:v>
      </x:c>
      <x:c r="Q1424" s="26" t="n">
        <x:v>18.85</x:v>
      </x:c>
      <x:c r="R1424" s="26" t="n">
        <x:v>23.28</x:v>
      </x:c>
      <x:c r="S1424" s="26" t="n">
        <x:v>207.12</x:v>
      </x:c>
    </x:row>
    <x:row r="1425">
      <x:c r="A1425" t="n">
        <x:v>501422</x:v>
      </x:c>
      <x:c r="B1425" s="24" t="n">
        <x:v>45952</x:v>
      </x:c>
      <x:c r="C1425" t="n">
        <x:v>1061</x:v>
      </x:c>
      <x:c r="D1425" t="str">
        <x:v>Seller 1061</x:v>
      </x:c>
      <x:c r="E1425" t="str">
        <x:v>Bronze</x:v>
      </x:c>
      <x:c r="F1425" t="str">
        <x:v>Central</x:v>
      </x:c>
      <x:c r="G1425" t="str">
        <x:v>Electronics</x:v>
      </x:c>
      <x:c r="H1425" t="n">
        <x:v>3</x:v>
      </x:c>
      <x:c r="I1425" s="26" t="n">
        <x:v>1950</x:v>
      </x:c>
      <x:c r="J1425" s="26" t="n">
        <x:v>4892.4</x:v>
      </x:c>
      <x:c r="K1425" s="28" t="n">
        <x:v>0.1313</x:v>
      </x:c>
      <x:c r="L1425" s="26" t="n">
        <x:v>642.37</x:v>
      </x:c>
      <x:c r="M1425" t="n">
        <x:v>0</x:v>
      </x:c>
      <x:c r="N1425" s="26" t="n">
        <x:v>0</x:v>
      </x:c>
      <x:c r="O1425" s="26" t="n">
        <x:v>90.51</x:v>
      </x:c>
      <x:c r="P1425" s="26" t="n">
        <x:v>22.02</x:v>
      </x:c>
      <x:c r="Q1425" s="26" t="n">
        <x:v>41.59</x:v>
      </x:c>
      <x:c r="R1425" s="26" t="n">
        <x:v>51.37</x:v>
      </x:c>
      <x:c r="S1425" s="26" t="n">
        <x:v>436.89</x:v>
      </x:c>
    </x:row>
    <x:row r="1426">
      <x:c r="A1426" t="n">
        <x:v>501423</x:v>
      </x:c>
      <x:c r="B1426" s="24" t="n">
        <x:v>45945</x:v>
      </x:c>
      <x:c r="C1426" t="n">
        <x:v>1018</x:v>
      </x:c>
      <x:c r="D1426" t="str">
        <x:v>Seller 1018</x:v>
      </x:c>
      <x:c r="E1426" t="str">
        <x:v>Gold</x:v>
      </x:c>
      <x:c r="F1426" t="str">
        <x:v>West</x:v>
      </x:c>
      <x:c r="G1426" t="str">
        <x:v>Electronics</x:v>
      </x:c>
      <x:c r="H1426" t="n">
        <x:v>2</x:v>
      </x:c>
      <x:c r="I1426" s="26" t="n">
        <x:v>4852.799999999999</x:v>
      </x:c>
      <x:c r="J1426" s="26" t="n">
        <x:v>15055.2</x:v>
      </x:c>
      <x:c r="K1426" s="28" t="n">
        <x:v>0.1292</x:v>
      </x:c>
      <x:c r="L1426" s="26" t="n">
        <x:v>1945.13</x:v>
      </x:c>
      <x:c r="M1426" t="n">
        <x:v>0</x:v>
      </x:c>
      <x:c r="N1426" s="26" t="n">
        <x:v>0</x:v>
      </x:c>
      <x:c r="O1426" s="26" t="n">
        <x:v>278.52</x:v>
      </x:c>
      <x:c r="P1426" s="26" t="n">
        <x:v>67.75</x:v>
      </x:c>
      <x:c r="Q1426" s="26" t="n">
        <x:v>127.97</x:v>
      </x:c>
      <x:c r="R1426" s="26" t="n">
        <x:v>158.08</x:v>
      </x:c>
      <x:c r="S1426" s="26" t="n">
        <x:v>1312.81</x:v>
      </x:c>
    </x:row>
    <x:row r="1427">
      <x:c r="A1427" t="n">
        <x:v>501424</x:v>
      </x:c>
      <x:c r="B1427" s="24" t="n">
        <x:v>45935</x:v>
      </x:c>
      <x:c r="C1427" t="n">
        <x:v>1010</x:v>
      </x:c>
      <x:c r="D1427" t="str">
        <x:v>Seller 1010</x:v>
      </x:c>
      <x:c r="E1427" t="str">
        <x:v>Platinum</x:v>
      </x:c>
      <x:c r="F1427" t="str">
        <x:v>West</x:v>
      </x:c>
      <x:c r="G1427" t="str">
        <x:v>Home &amp; Kitchen</x:v>
      </x:c>
      <x:c r="H1427" t="n">
        <x:v>1</x:v>
      </x:c>
      <x:c r="I1427" s="26" t="n">
        <x:v>4006.2</x:v>
      </x:c>
      <x:c r="J1427" s="26" t="n">
        <x:v>8376</x:v>
      </x:c>
      <x:c r="K1427" s="28" t="n">
        <x:v>0.1236</x:v>
      </x:c>
      <x:c r="L1427" s="26" t="n">
        <x:v>1035.27</x:v>
      </x:c>
      <x:c r="M1427" t="n">
        <x:v>0</x:v>
      </x:c>
      <x:c r="N1427" s="26" t="n">
        <x:v>0</x:v>
      </x:c>
      <x:c r="O1427" s="26" t="n">
        <x:v>154.96</x:v>
      </x:c>
      <x:c r="P1427" s="26" t="n">
        <x:v>37.69</x:v>
      </x:c>
      <x:c r="Q1427" s="26" t="n">
        <x:v>71.2</x:v>
      </x:c>
      <x:c r="R1427" s="26" t="n">
        <x:v>87.95</x:v>
      </x:c>
      <x:c r="S1427" s="26" t="n">
        <x:v>683.48</x:v>
      </x:c>
    </x:row>
    <x:row r="1428">
      <x:c r="A1428" t="n">
        <x:v>501425</x:v>
      </x:c>
      <x:c r="B1428" s="24" t="n">
        <x:v>45935</x:v>
      </x:c>
      <x:c r="C1428" t="n">
        <x:v>1048</x:v>
      </x:c>
      <x:c r="D1428" t="str">
        <x:v>Seller 1048</x:v>
      </x:c>
      <x:c r="E1428" t="str">
        <x:v>Silver</x:v>
      </x:c>
      <x:c r="F1428" t="str">
        <x:v>East</x:v>
      </x:c>
      <x:c r="G1428" t="str">
        <x:v>Electronics</x:v>
      </x:c>
      <x:c r="H1428" t="n">
        <x:v>2</x:v>
      </x:c>
      <x:c r="I1428" s="26" t="n">
        <x:v>4349.4</x:v>
      </x:c>
      <x:c r="J1428" s="26" t="n">
        <x:v>10326.6</x:v>
      </x:c>
      <x:c r="K1428" s="28" t="n">
        <x:v>0.1274</x:v>
      </x:c>
      <x:c r="L1428" s="26" t="n">
        <x:v>1315.61</x:v>
      </x:c>
      <x:c r="M1428" t="n">
        <x:v>0</x:v>
      </x:c>
      <x:c r="N1428" s="26" t="n">
        <x:v>0</x:v>
      </x:c>
      <x:c r="O1428" s="26" t="n">
        <x:v>191.04</x:v>
      </x:c>
      <x:c r="P1428" s="26" t="n">
        <x:v>46.47</x:v>
      </x:c>
      <x:c r="Q1428" s="26" t="n">
        <x:v>87.78</x:v>
      </x:c>
      <x:c r="R1428" s="26" t="n">
        <x:v>108.43</x:v>
      </x:c>
      <x:c r="S1428" s="26" t="n">
        <x:v>881.89</x:v>
      </x:c>
    </x:row>
    <x:row r="1429">
      <x:c r="A1429" t="n">
        <x:v>501426</x:v>
      </x:c>
      <x:c r="B1429" s="24" t="n">
        <x:v>45932</x:v>
      </x:c>
      <x:c r="C1429" t="n">
        <x:v>1018</x:v>
      </x:c>
      <x:c r="D1429" t="str">
        <x:v>Seller 1018</x:v>
      </x:c>
      <x:c r="E1429" t="str">
        <x:v>Gold</x:v>
      </x:c>
      <x:c r="F1429" t="str">
        <x:v>West</x:v>
      </x:c>
      <x:c r="G1429" t="str">
        <x:v>Electronics</x:v>
      </x:c>
      <x:c r="H1429" t="n">
        <x:v>3</x:v>
      </x:c>
      <x:c r="I1429" s="26" t="n">
        <x:v>3061.8</x:v>
      </x:c>
      <x:c r="J1429" s="26" t="n">
        <x:v>14250</x:v>
      </x:c>
      <x:c r="K1429" s="28" t="n">
        <x:v>0.1152</x:v>
      </x:c>
      <x:c r="L1429" s="26" t="n">
        <x:v>1641.6</x:v>
      </x:c>
      <x:c r="M1429" t="n">
        <x:v>0</x:v>
      </x:c>
      <x:c r="N1429" s="26" t="n">
        <x:v>0</x:v>
      </x:c>
      <x:c r="O1429" s="26" t="n">
        <x:v>263.62</x:v>
      </x:c>
      <x:c r="P1429" s="26" t="n">
        <x:v>64.12</x:v>
      </x:c>
      <x:c r="Q1429" s="26" t="n">
        <x:v>121.13</x:v>
      </x:c>
      <x:c r="R1429" s="26" t="n">
        <x:v>149.62</x:v>
      </x:c>
      <x:c r="S1429" s="26" t="n">
        <x:v>1043.1</x:v>
      </x:c>
    </x:row>
    <x:row r="1430">
      <x:c r="A1430" t="n">
        <x:v>501427</x:v>
      </x:c>
      <x:c r="B1430" s="24" t="n">
        <x:v>45940</x:v>
      </x:c>
      <x:c r="C1430" t="n">
        <x:v>1037</x:v>
      </x:c>
      <x:c r="D1430" t="str">
        <x:v>Seller 1037</x:v>
      </x:c>
      <x:c r="E1430" t="str">
        <x:v>Silver</x:v>
      </x:c>
      <x:c r="F1430" t="str">
        <x:v>East</x:v>
      </x:c>
      <x:c r="G1430" t="str">
        <x:v>Apparel</x:v>
      </x:c>
      <x:c r="H1430" t="n">
        <x:v>2</x:v>
      </x:c>
      <x:c r="I1430" s="26" t="n">
        <x:v>1606.2</x:v>
      </x:c>
      <x:c r="J1430" s="26" t="n">
        <x:v>3813.6</x:v>
      </x:c>
      <x:c r="K1430" s="28" t="n">
        <x:v>0.1143</x:v>
      </x:c>
      <x:c r="L1430" s="26" t="n">
        <x:v>435.89</x:v>
      </x:c>
      <x:c r="M1430" t="n">
        <x:v>0</x:v>
      </x:c>
      <x:c r="N1430" s="26" t="n">
        <x:v>0</x:v>
      </x:c>
      <x:c r="O1430" s="26" t="n">
        <x:v>70.55</x:v>
      </x:c>
      <x:c r="P1430" s="26" t="n">
        <x:v>17.16</x:v>
      </x:c>
      <x:c r="Q1430" s="26" t="n">
        <x:v>32.42</x:v>
      </x:c>
      <x:c r="R1430" s="26" t="n">
        <x:v>40.04</x:v>
      </x:c>
      <x:c r="S1430" s="26" t="n">
        <x:v>275.72</x:v>
      </x:c>
    </x:row>
    <x:row r="1431">
      <x:c r="A1431" t="n">
        <x:v>501428</x:v>
      </x:c>
      <x:c r="B1431" s="24" t="n">
        <x:v>45953</x:v>
      </x:c>
      <x:c r="C1431" t="n">
        <x:v>1067</x:v>
      </x:c>
      <x:c r="D1431" t="str">
        <x:v>Seller 1067</x:v>
      </x:c>
      <x:c r="E1431" t="str">
        <x:v>Bronze</x:v>
      </x:c>
      <x:c r="F1431" t="str">
        <x:v>South</x:v>
      </x:c>
      <x:c r="G1431" t="str">
        <x:v>Apparel</x:v>
      </x:c>
      <x:c r="H1431" t="n">
        <x:v>2</x:v>
      </x:c>
      <x:c r="I1431" s="26" t="n">
        <x:v>1654.2</x:v>
      </x:c>
      <x:c r="J1431" s="26" t="n">
        <x:v>2767.2</x:v>
      </x:c>
      <x:c r="K1431" s="28" t="n">
        <x:v>0.1256</x:v>
      </x:c>
      <x:c r="L1431" s="26" t="n">
        <x:v>347.56</x:v>
      </x:c>
      <x:c r="M1431" t="n">
        <x:v>0</x:v>
      </x:c>
      <x:c r="N1431" s="26" t="n">
        <x:v>0</x:v>
      </x:c>
      <x:c r="O1431" s="26" t="n">
        <x:v>51.19</x:v>
      </x:c>
      <x:c r="P1431" s="26" t="n">
        <x:v>12.45</x:v>
      </x:c>
      <x:c r="Q1431" s="26" t="n">
        <x:v>23.52</x:v>
      </x:c>
      <x:c r="R1431" s="26" t="n">
        <x:v>29.06</x:v>
      </x:c>
      <x:c r="S1431" s="26" t="n">
        <x:v>231.34</x:v>
      </x:c>
    </x:row>
    <x:row r="1432">
      <x:c r="A1432" t="n">
        <x:v>501429</x:v>
      </x:c>
      <x:c r="B1432" s="24" t="n">
        <x:v>45949</x:v>
      </x:c>
      <x:c r="C1432" t="n">
        <x:v>1002</x:v>
      </x:c>
      <x:c r="D1432" t="str">
        <x:v>Seller 1002</x:v>
      </x:c>
      <x:c r="E1432" t="str">
        <x:v>Platinum</x:v>
      </x:c>
      <x:c r="F1432" t="str">
        <x:v>Central</x:v>
      </x:c>
      <x:c r="G1432" t="str">
        <x:v>Home &amp; Kitchen</x:v>
      </x:c>
      <x:c r="H1432" t="n">
        <x:v>3</x:v>
      </x:c>
      <x:c r="I1432" s="26" t="n">
        <x:v>1978.7999999999997</x:v>
      </x:c>
      <x:c r="J1432" s="26" t="n">
        <x:v>12411.6</x:v>
      </x:c>
      <x:c r="K1432" s="28" t="n">
        <x:v>0.1395</x:v>
      </x:c>
      <x:c r="L1432" s="26" t="n">
        <x:v>1731.42</x:v>
      </x:c>
      <x:c r="M1432" t="n">
        <x:v>0</x:v>
      </x:c>
      <x:c r="N1432" s="26" t="n">
        <x:v>0</x:v>
      </x:c>
      <x:c r="O1432" s="26" t="n">
        <x:v>229.61</x:v>
      </x:c>
      <x:c r="P1432" s="26" t="n">
        <x:v>55.85</x:v>
      </x:c>
      <x:c r="Q1432" s="26" t="n">
        <x:v>105.5</x:v>
      </x:c>
      <x:c r="R1432" s="26" t="n">
        <x:v>130.32</x:v>
      </x:c>
      <x:c r="S1432" s="26" t="n">
        <x:v>1210.13</x:v>
      </x:c>
    </x:row>
    <x:row r="1433">
      <x:c r="A1433" t="n">
        <x:v>501430</x:v>
      </x:c>
      <x:c r="B1433" s="24" t="n">
        <x:v>45957</x:v>
      </x:c>
      <x:c r="C1433" t="n">
        <x:v>1052</x:v>
      </x:c>
      <x:c r="D1433" t="str">
        <x:v>Seller 1052</x:v>
      </x:c>
      <x:c r="E1433" t="str">
        <x:v>Silver</x:v>
      </x:c>
      <x:c r="F1433" t="str">
        <x:v>Central</x:v>
      </x:c>
      <x:c r="G1433" t="str">
        <x:v>Pet Supplies</x:v>
      </x:c>
      <x:c r="H1433" t="n">
        <x:v>3</x:v>
      </x:c>
      <x:c r="I1433" s="26" t="n">
        <x:v>1128</x:v>
      </x:c>
      <x:c r="J1433" s="26" t="n">
        <x:v>4017.6</x:v>
      </x:c>
      <x:c r="K1433" s="28" t="n">
        <x:v>0.1378</x:v>
      </x:c>
      <x:c r="L1433" s="26" t="n">
        <x:v>553.63</x:v>
      </x:c>
      <x:c r="M1433" t="n">
        <x:v>0</x:v>
      </x:c>
      <x:c r="N1433" s="26" t="n">
        <x:v>0</x:v>
      </x:c>
      <x:c r="O1433" s="26" t="n">
        <x:v>74.33</x:v>
      </x:c>
      <x:c r="P1433" s="26" t="n">
        <x:v>18.08</x:v>
      </x:c>
      <x:c r="Q1433" s="26" t="n">
        <x:v>34.15</x:v>
      </x:c>
      <x:c r="R1433" s="26" t="n">
        <x:v>42.18</x:v>
      </x:c>
      <x:c r="S1433" s="26" t="n">
        <x:v>384.89</x:v>
      </x:c>
    </x:row>
    <x:row r="1434">
      <x:c r="A1434" t="n">
        <x:v>501431</x:v>
      </x:c>
      <x:c r="B1434" s="24" t="n">
        <x:v>45933</x:v>
      </x:c>
      <x:c r="C1434" t="n">
        <x:v>1058</x:v>
      </x:c>
      <x:c r="D1434" t="str">
        <x:v>Seller 1058</x:v>
      </x:c>
      <x:c r="E1434" t="str">
        <x:v>Bronze</x:v>
      </x:c>
      <x:c r="F1434" t="str">
        <x:v>East</x:v>
      </x:c>
      <x:c r="G1434" t="str">
        <x:v>Beauty</x:v>
      </x:c>
      <x:c r="H1434" t="n">
        <x:v>2</x:v>
      </x:c>
      <x:c r="I1434" s="26" t="n">
        <x:v>993</x:v>
      </x:c>
      <x:c r="J1434" s="26" t="n">
        <x:v>1660.8</x:v>
      </x:c>
      <x:c r="K1434" s="28" t="n">
        <x:v>0.1533</x:v>
      </x:c>
      <x:c r="L1434" s="26" t="n">
        <x:v>254.6</x:v>
      </x:c>
      <x:c r="M1434" t="n">
        <x:v>0</x:v>
      </x:c>
      <x:c r="N1434" s="26" t="n">
        <x:v>0</x:v>
      </x:c>
      <x:c r="O1434" s="26" t="n">
        <x:v>30.72</x:v>
      </x:c>
      <x:c r="P1434" s="26" t="n">
        <x:v>7.47</x:v>
      </x:c>
      <x:c r="Q1434" s="26" t="n">
        <x:v>14.12</x:v>
      </x:c>
      <x:c r="R1434" s="26" t="n">
        <x:v>17.44</x:v>
      </x:c>
      <x:c r="S1434" s="26" t="n">
        <x:v>184.85</x:v>
      </x:c>
    </x:row>
    <x:row r="1435">
      <x:c r="A1435" t="n">
        <x:v>501432</x:v>
      </x:c>
      <x:c r="B1435" s="24" t="n">
        <x:v>45946</x:v>
      </x:c>
      <x:c r="C1435" t="n">
        <x:v>1055</x:v>
      </x:c>
      <x:c r="D1435" t="str">
        <x:v>Seller 1055</x:v>
      </x:c>
      <x:c r="E1435" t="str">
        <x:v>Bronze</x:v>
      </x:c>
      <x:c r="F1435" t="str">
        <x:v>Central</x:v>
      </x:c>
      <x:c r="G1435" t="str">
        <x:v>Pet Supplies</x:v>
      </x:c>
      <x:c r="H1435" t="n">
        <x:v>1</x:v>
      </x:c>
      <x:c r="I1435" s="26" t="n">
        <x:v>3370.2000000000003</x:v>
      </x:c>
      <x:c r="J1435" s="26" t="n">
        <x:v>2818.8</x:v>
      </x:c>
      <x:c r="K1435" s="28" t="n">
        <x:v>0.1236</x:v>
      </x:c>
      <x:c r="L1435" s="26" t="n">
        <x:v>348.4</x:v>
      </x:c>
      <x:c r="M1435" t="n">
        <x:v>0</x:v>
      </x:c>
      <x:c r="N1435" s="26" t="n">
        <x:v>0</x:v>
      </x:c>
      <x:c r="O1435" s="26" t="n">
        <x:v>52.15</x:v>
      </x:c>
      <x:c r="P1435" s="26" t="n">
        <x:v>12.68</x:v>
      </x:c>
      <x:c r="Q1435" s="26" t="n">
        <x:v>23.96</x:v>
      </x:c>
      <x:c r="R1435" s="26" t="n">
        <x:v>29.6</x:v>
      </x:c>
      <x:c r="S1435" s="26" t="n">
        <x:v>230.01</x:v>
      </x:c>
    </x:row>
    <x:row r="1436">
      <x:c r="A1436" t="n">
        <x:v>501433</x:v>
      </x:c>
      <x:c r="B1436" s="24" t="n">
        <x:v>45931</x:v>
      </x:c>
      <x:c r="C1436" t="n">
        <x:v>1034</x:v>
      </x:c>
      <x:c r="D1436" t="str">
        <x:v>Seller 1034</x:v>
      </x:c>
      <x:c r="E1436" t="str">
        <x:v>Silver</x:v>
      </x:c>
      <x:c r="F1436" t="str">
        <x:v>Central</x:v>
      </x:c>
      <x:c r="G1436" t="str">
        <x:v>Sports</x:v>
      </x:c>
      <x:c r="H1436" t="n">
        <x:v>3</x:v>
      </x:c>
      <x:c r="I1436" s="26" t="n">
        <x:v>976.8000000000001</x:v>
      </x:c>
      <x:c r="J1436" s="26" t="n">
        <x:v>3478.8</x:v>
      </x:c>
      <x:c r="K1436" s="28" t="n">
        <x:v>0.1269</x:v>
      </x:c>
      <x:c r="L1436" s="26" t="n">
        <x:v>441.46</x:v>
      </x:c>
      <x:c r="M1436" t="n">
        <x:v>0</x:v>
      </x:c>
      <x:c r="N1436" s="26" t="n">
        <x:v>0</x:v>
      </x:c>
      <x:c r="O1436" s="26" t="n">
        <x:v>64.36</x:v>
      </x:c>
      <x:c r="P1436" s="26" t="n">
        <x:v>15.65</x:v>
      </x:c>
      <x:c r="Q1436" s="26" t="n">
        <x:v>29.57</x:v>
      </x:c>
      <x:c r="R1436" s="26" t="n">
        <x:v>36.53</x:v>
      </x:c>
      <x:c r="S1436" s="26" t="n">
        <x:v>295.35</x:v>
      </x:c>
    </x:row>
    <x:row r="1437">
      <x:c r="A1437" t="n">
        <x:v>501434</x:v>
      </x:c>
      <x:c r="B1437" s="24" t="n">
        <x:v>45952</x:v>
      </x:c>
      <x:c r="C1437" t="n">
        <x:v>1063</x:v>
      </x:c>
      <x:c r="D1437" t="str">
        <x:v>Seller 1063</x:v>
      </x:c>
      <x:c r="E1437" t="str">
        <x:v>Bronze</x:v>
      </x:c>
      <x:c r="F1437" t="str">
        <x:v>West</x:v>
      </x:c>
      <x:c r="G1437" t="str">
        <x:v>Pet Supplies</x:v>
      </x:c>
      <x:c r="H1437" t="n">
        <x:v>3</x:v>
      </x:c>
      <x:c r="I1437" s="26" t="n">
        <x:v>1144.2</x:v>
      </x:c>
      <x:c r="J1437" s="26" t="n">
        <x:v>2871.6</x:v>
      </x:c>
      <x:c r="K1437" s="28" t="n">
        <x:v>0.1289</x:v>
      </x:c>
      <x:c r="L1437" s="26" t="n">
        <x:v>370.15</x:v>
      </x:c>
      <x:c r="M1437" t="n">
        <x:v>0</x:v>
      </x:c>
      <x:c r="N1437" s="26" t="n">
        <x:v>0</x:v>
      </x:c>
      <x:c r="O1437" s="26" t="n">
        <x:v>53.12</x:v>
      </x:c>
      <x:c r="P1437" s="26" t="n">
        <x:v>12.92</x:v>
      </x:c>
      <x:c r="Q1437" s="26" t="n">
        <x:v>24.41</x:v>
      </x:c>
      <x:c r="R1437" s="26" t="n">
        <x:v>30.15</x:v>
      </x:c>
      <x:c r="S1437" s="26" t="n">
        <x:v>249.54</x:v>
      </x:c>
    </x:row>
    <x:row r="1438">
      <x:c r="A1438" t="n">
        <x:v>501435</x:v>
      </x:c>
      <x:c r="B1438" s="24" t="n">
        <x:v>45947</x:v>
      </x:c>
      <x:c r="C1438" t="n">
        <x:v>1004</x:v>
      </x:c>
      <x:c r="D1438" t="str">
        <x:v>Seller 1004</x:v>
      </x:c>
      <x:c r="E1438" t="str">
        <x:v>Platinum</x:v>
      </x:c>
      <x:c r="F1438" t="str">
        <x:v>East</x:v>
      </x:c>
      <x:c r="G1438" t="str">
        <x:v>Sports</x:v>
      </x:c>
      <x:c r="H1438" t="n">
        <x:v>2</x:v>
      </x:c>
      <x:c r="I1438" s="26" t="n">
        <x:v>2589</x:v>
      </x:c>
      <x:c r="J1438" s="26" t="n">
        <x:v>10826.4</x:v>
      </x:c>
      <x:c r="K1438" s="28" t="n">
        <x:v>0.1164</x:v>
      </x:c>
      <x:c r="L1438" s="26" t="n">
        <x:v>1260.19</x:v>
      </x:c>
      <x:c r="M1438" t="n">
        <x:v>0</x:v>
      </x:c>
      <x:c r="N1438" s="26" t="n">
        <x:v>0</x:v>
      </x:c>
      <x:c r="O1438" s="26" t="n">
        <x:v>200.29</x:v>
      </x:c>
      <x:c r="P1438" s="26" t="n">
        <x:v>48.72</x:v>
      </x:c>
      <x:c r="Q1438" s="26" t="n">
        <x:v>92.02</x:v>
      </x:c>
      <x:c r="R1438" s="26" t="n">
        <x:v>113.68</x:v>
      </x:c>
      <x:c r="S1438" s="26" t="n">
        <x:v>805.48</x:v>
      </x:c>
    </x:row>
    <x:row r="1439">
      <x:c r="A1439" t="n">
        <x:v>501436</x:v>
      </x:c>
      <x:c r="B1439" s="24" t="n">
        <x:v>45951</x:v>
      </x:c>
      <x:c r="C1439" t="n">
        <x:v>1015</x:v>
      </x:c>
      <x:c r="D1439" t="str">
        <x:v>Seller 1015</x:v>
      </x:c>
      <x:c r="E1439" t="str">
        <x:v>Gold</x:v>
      </x:c>
      <x:c r="F1439" t="str">
        <x:v>West</x:v>
      </x:c>
      <x:c r="G1439" t="str">
        <x:v>Pet Supplies</x:v>
      </x:c>
      <x:c r="H1439" t="n">
        <x:v>4</x:v>
      </x:c>
      <x:c r="I1439" s="26" t="n">
        <x:v>873</x:v>
      </x:c>
      <x:c r="J1439" s="26" t="n">
        <x:v>5418.6</x:v>
      </x:c>
      <x:c r="K1439" s="28" t="n">
        <x:v>0.126</x:v>
      </x:c>
      <x:c r="L1439" s="26" t="n">
        <x:v>682.74</x:v>
      </x:c>
      <x:c r="M1439" t="n">
        <x:v>0</x:v>
      </x:c>
      <x:c r="N1439" s="26" t="n">
        <x:v>0</x:v>
      </x:c>
      <x:c r="O1439" s="26" t="n">
        <x:v>100.24</x:v>
      </x:c>
      <x:c r="P1439" s="26" t="n">
        <x:v>24.38</x:v>
      </x:c>
      <x:c r="Q1439" s="26" t="n">
        <x:v>46.06</x:v>
      </x:c>
      <x:c r="R1439" s="26" t="n">
        <x:v>56.9</x:v>
      </x:c>
      <x:c r="S1439" s="26" t="n">
        <x:v>455.16</x:v>
      </x:c>
    </x:row>
    <x:row r="1440">
      <x:c r="A1440" t="n">
        <x:v>501437</x:v>
      </x:c>
      <x:c r="B1440" s="24" t="n">
        <x:v>45954</x:v>
      </x:c>
      <x:c r="C1440" t="n">
        <x:v>1019</x:v>
      </x:c>
      <x:c r="D1440" t="str">
        <x:v>Seller 1019</x:v>
      </x:c>
      <x:c r="E1440" t="str">
        <x:v>Gold</x:v>
      </x:c>
      <x:c r="F1440" t="str">
        <x:v>East</x:v>
      </x:c>
      <x:c r="G1440" t="str">
        <x:v>Apparel</x:v>
      </x:c>
      <x:c r="H1440" t="n">
        <x:v>1</x:v>
      </x:c>
      <x:c r="I1440" s="26" t="n">
        <x:v>3943.2</x:v>
      </x:c>
      <x:c r="J1440" s="26" t="n">
        <x:v>6117</x:v>
      </x:c>
      <x:c r="K1440" s="28" t="n">
        <x:v>0.1313</x:v>
      </x:c>
      <x:c r="L1440" s="26" t="n">
        <x:v>803.16</x:v>
      </x:c>
      <x:c r="M1440" t="n">
        <x:v>0</x:v>
      </x:c>
      <x:c r="N1440" s="26" t="n">
        <x:v>0</x:v>
      </x:c>
      <x:c r="O1440" s="26" t="n">
        <x:v>113.16</x:v>
      </x:c>
      <x:c r="P1440" s="26" t="n">
        <x:v>27.53</x:v>
      </x:c>
      <x:c r="Q1440" s="26" t="n">
        <x:v>51.99</x:v>
      </x:c>
      <x:c r="R1440" s="26" t="n">
        <x:v>64.23</x:v>
      </x:c>
      <x:c r="S1440" s="26" t="n">
        <x:v>546.25</x:v>
      </x:c>
    </x:row>
    <x:row r="1441">
      <x:c r="A1441" t="n">
        <x:v>501438</x:v>
      </x:c>
      <x:c r="B1441" s="24" t="n">
        <x:v>45953</x:v>
      </x:c>
      <x:c r="C1441" t="n">
        <x:v>1068</x:v>
      </x:c>
      <x:c r="D1441" t="str">
        <x:v>Seller 1068</x:v>
      </x:c>
      <x:c r="E1441" t="str">
        <x:v>Bronze</x:v>
      </x:c>
      <x:c r="F1441" t="str">
        <x:v>South</x:v>
      </x:c>
      <x:c r="G1441" t="str">
        <x:v>Pet Supplies</x:v>
      </x:c>
      <x:c r="H1441" t="n">
        <x:v>3</x:v>
      </x:c>
      <x:c r="I1441" s="26" t="n">
        <x:v>1096.2</x:v>
      </x:c>
      <x:c r="J1441" s="26" t="n">
        <x:v>2749.8</x:v>
      </x:c>
      <x:c r="K1441" s="28" t="n">
        <x:v>0.1209</x:v>
      </x:c>
      <x:c r="L1441" s="26" t="n">
        <x:v>332.45</x:v>
      </x:c>
      <x:c r="M1441" t="n">
        <x:v>0</x:v>
      </x:c>
      <x:c r="N1441" s="26" t="n">
        <x:v>0</x:v>
      </x:c>
      <x:c r="O1441" s="26" t="n">
        <x:v>50.87</x:v>
      </x:c>
      <x:c r="P1441" s="26" t="n">
        <x:v>12.37</x:v>
      </x:c>
      <x:c r="Q1441" s="26" t="n">
        <x:v>23.37</x:v>
      </x:c>
      <x:c r="R1441" s="26" t="n">
        <x:v>28.87</x:v>
      </x:c>
      <x:c r="S1441" s="26" t="n">
        <x:v>216.96</x:v>
      </x:c>
    </x:row>
    <x:row r="1442">
      <x:c r="A1442" t="n">
        <x:v>501439</x:v>
      </x:c>
      <x:c r="B1442" s="24" t="n">
        <x:v>45928</x:v>
      </x:c>
      <x:c r="C1442" t="n">
        <x:v>1013</x:v>
      </x:c>
      <x:c r="D1442" t="str">
        <x:v>Seller 1013</x:v>
      </x:c>
      <x:c r="E1442" t="str">
        <x:v>Gold</x:v>
      </x:c>
      <x:c r="F1442" t="str">
        <x:v>West</x:v>
      </x:c>
      <x:c r="G1442" t="str">
        <x:v>Electronics</x:v>
      </x:c>
      <x:c r="H1442" t="n">
        <x:v>2</x:v>
      </x:c>
      <x:c r="I1442" s="26" t="n">
        <x:v>4315.2</x:v>
      </x:c>
      <x:c r="J1442" s="26" t="n">
        <x:v>13387.8</x:v>
      </x:c>
      <x:c r="K1442" s="28" t="n">
        <x:v>0.1353</x:v>
      </x:c>
      <x:c r="L1442" s="26" t="n">
        <x:v>1811.37</x:v>
      </x:c>
      <x:c r="M1442" t="n">
        <x:v>0</x:v>
      </x:c>
      <x:c r="N1442" s="26" t="n">
        <x:v>0</x:v>
      </x:c>
      <x:c r="O1442" s="26" t="n">
        <x:v>247.67</x:v>
      </x:c>
      <x:c r="P1442" s="26" t="n">
        <x:v>60.25</x:v>
      </x:c>
      <x:c r="Q1442" s="26" t="n">
        <x:v>113.8</x:v>
      </x:c>
      <x:c r="R1442" s="26" t="n">
        <x:v>140.57</x:v>
      </x:c>
      <x:c r="S1442" s="26" t="n">
        <x:v>1249.08</x:v>
      </x:c>
    </x:row>
    <x:row r="1443">
      <x:c r="A1443" t="n">
        <x:v>501440</x:v>
      </x:c>
      <x:c r="B1443" s="24" t="n">
        <x:v>45953</x:v>
      </x:c>
      <x:c r="C1443" t="n">
        <x:v>1024</x:v>
      </x:c>
      <x:c r="D1443" t="str">
        <x:v>Seller 1024</x:v>
      </x:c>
      <x:c r="E1443" t="str">
        <x:v>Gold</x:v>
      </x:c>
      <x:c r="F1443" t="str">
        <x:v>West</x:v>
      </x:c>
      <x:c r="G1443" t="str">
        <x:v>Beauty</x:v>
      </x:c>
      <x:c r="H1443" t="n">
        <x:v>2</x:v>
      </x:c>
      <x:c r="I1443" s="26" t="n">
        <x:v>977.4</x:v>
      </x:c>
      <x:c r="J1443" s="26" t="n">
        <x:v>3033</x:v>
      </x:c>
      <x:c r="K1443" s="28" t="n">
        <x:v>0.1349</x:v>
      </x:c>
      <x:c r="L1443" s="26" t="n">
        <x:v>409.15</x:v>
      </x:c>
      <x:c r="M1443" t="n">
        <x:v>0</x:v>
      </x:c>
      <x:c r="N1443" s="26" t="n">
        <x:v>0</x:v>
      </x:c>
      <x:c r="O1443" s="26" t="n">
        <x:v>56.11</x:v>
      </x:c>
      <x:c r="P1443" s="26" t="n">
        <x:v>13.65</x:v>
      </x:c>
      <x:c r="Q1443" s="26" t="n">
        <x:v>25.78</x:v>
      </x:c>
      <x:c r="R1443" s="26" t="n">
        <x:v>31.85</x:v>
      </x:c>
      <x:c r="S1443" s="26" t="n">
        <x:v>281.77</x:v>
      </x:c>
    </x:row>
    <x:row r="1444">
      <x:c r="A1444" t="n">
        <x:v>501441</x:v>
      </x:c>
      <x:c r="B1444" s="24" t="n">
        <x:v>45929</x:v>
      </x:c>
      <x:c r="C1444" t="n">
        <x:v>1025</x:v>
      </x:c>
      <x:c r="D1444" t="str">
        <x:v>Seller 1025</x:v>
      </x:c>
      <x:c r="E1444" t="str">
        <x:v>Gold</x:v>
      </x:c>
      <x:c r="F1444" t="str">
        <x:v>Central</x:v>
      </x:c>
      <x:c r="G1444" t="str">
        <x:v>Pet Supplies</x:v>
      </x:c>
      <x:c r="H1444" t="n">
        <x:v>3</x:v>
      </x:c>
      <x:c r="I1444" s="26" t="n">
        <x:v>1029</x:v>
      </x:c>
      <x:c r="J1444" s="26" t="n">
        <x:v>4788.6</x:v>
      </x:c>
      <x:c r="K1444" s="28" t="n">
        <x:v>0.1329</x:v>
      </x:c>
      <x:c r="L1444" s="26" t="n">
        <x:v>636.4</x:v>
      </x:c>
      <x:c r="M1444" t="n">
        <x:v>0</x:v>
      </x:c>
      <x:c r="N1444" s="26" t="n">
        <x:v>0</x:v>
      </x:c>
      <x:c r="O1444" s="26" t="n">
        <x:v>88.59</x:v>
      </x:c>
      <x:c r="P1444" s="26" t="n">
        <x:v>21.55</x:v>
      </x:c>
      <x:c r="Q1444" s="26" t="n">
        <x:v>40.7</x:v>
      </x:c>
      <x:c r="R1444" s="26" t="n">
        <x:v>50.28</x:v>
      </x:c>
      <x:c r="S1444" s="26" t="n">
        <x:v>435.28</x:v>
      </x:c>
    </x:row>
    <x:row r="1445">
      <x:c r="A1445" t="n">
        <x:v>501442</x:v>
      </x:c>
      <x:c r="B1445" s="24" t="n">
        <x:v>45944</x:v>
      </x:c>
      <x:c r="C1445" t="n">
        <x:v>1048</x:v>
      </x:c>
      <x:c r="D1445" t="str">
        <x:v>Seller 1048</x:v>
      </x:c>
      <x:c r="E1445" t="str">
        <x:v>Silver</x:v>
      </x:c>
      <x:c r="F1445" t="str">
        <x:v>East</x:v>
      </x:c>
      <x:c r="G1445" t="str">
        <x:v>Electronics</x:v>
      </x:c>
      <x:c r="H1445" t="n">
        <x:v>3</x:v>
      </x:c>
      <x:c r="I1445" s="26" t="n">
        <x:v>4491</x:v>
      </x:c>
      <x:c r="J1445" s="26" t="n">
        <x:v>15992.4</x:v>
      </x:c>
      <x:c r="K1445" s="28" t="n">
        <x:v>0.1196</x:v>
      </x:c>
      <x:c r="L1445" s="26" t="n">
        <x:v>1912.69</x:v>
      </x:c>
      <x:c r="M1445" t="n">
        <x:v>0</x:v>
      </x:c>
      <x:c r="N1445" s="26" t="n">
        <x:v>0</x:v>
      </x:c>
      <x:c r="O1445" s="26" t="n">
        <x:v>295.86</x:v>
      </x:c>
      <x:c r="P1445" s="26" t="n">
        <x:v>71.97</x:v>
      </x:c>
      <x:c r="Q1445" s="26" t="n">
        <x:v>135.94</x:v>
      </x:c>
      <x:c r="R1445" s="26" t="n">
        <x:v>167.92</x:v>
      </x:c>
      <x:c r="S1445" s="26" t="n">
        <x:v>1241.01</x:v>
      </x:c>
    </x:row>
    <x:row r="1446">
      <x:c r="A1446" t="n">
        <x:v>501443</x:v>
      </x:c>
      <x:c r="B1446" s="24" t="n">
        <x:v>45932</x:v>
      </x:c>
      <x:c r="C1446" t="n">
        <x:v>1006</x:v>
      </x:c>
      <x:c r="D1446" t="str">
        <x:v>Seller 1006</x:v>
      </x:c>
      <x:c r="E1446" t="str">
        <x:v>Platinum</x:v>
      </x:c>
      <x:c r="F1446" t="str">
        <x:v>East</x:v>
      </x:c>
      <x:c r="G1446" t="str">
        <x:v>Sports</x:v>
      </x:c>
      <x:c r="H1446" t="n">
        <x:v>3</x:v>
      </x:c>
      <x:c r="I1446" s="26" t="n">
        <x:v>1225.2</x:v>
      </x:c>
      <x:c r="J1446" s="26" t="n">
        <x:v>7683</x:v>
      </x:c>
      <x:c r="K1446" s="28" t="n">
        <x:v>0.1225</x:v>
      </x:c>
      <x:c r="L1446" s="26" t="n">
        <x:v>941.17</x:v>
      </x:c>
      <x:c r="M1446" t="n">
        <x:v>1</x:v>
      </x:c>
      <x:c r="N1446" s="26" t="n">
        <x:v>5658.6</x:v>
      </x:c>
      <x:c r="O1446" s="26" t="n">
        <x:v>142.14</x:v>
      </x:c>
      <x:c r="P1446" s="26" t="n">
        <x:v>34.57</x:v>
      </x:c>
      <x:c r="Q1446" s="26" t="n">
        <x:v>65.31</x:v>
      </x:c>
      <x:c r="R1446" s="26" t="n">
        <x:v>80.67</x:v>
      </x:c>
      <x:c r="S1446" s="26" t="n">
        <x:v>505.31</x:v>
      </x:c>
    </x:row>
    <x:row r="1447">
      <x:c r="A1447" t="n">
        <x:v>501444</x:v>
      </x:c>
      <x:c r="B1447" s="24" t="n">
        <x:v>45930</x:v>
      </x:c>
      <x:c r="C1447" t="n">
        <x:v>1036</x:v>
      </x:c>
      <x:c r="D1447" t="str">
        <x:v>Seller 1036</x:v>
      </x:c>
      <x:c r="E1447" t="str">
        <x:v>Silver</x:v>
      </x:c>
      <x:c r="F1447" t="str">
        <x:v>Central</x:v>
      </x:c>
      <x:c r="G1447" t="str">
        <x:v>Pet Supplies</x:v>
      </x:c>
      <x:c r="H1447" t="n">
        <x:v>1</x:v>
      </x:c>
      <x:c r="I1447" s="26" t="n">
        <x:v>2722.8</x:v>
      </x:c>
      <x:c r="J1447" s="26" t="n">
        <x:v>3232.2</x:v>
      </x:c>
      <x:c r="K1447" s="28" t="n">
        <x:v>0.1276</x:v>
      </x:c>
      <x:c r="L1447" s="26" t="n">
        <x:v>412.43</x:v>
      </x:c>
      <x:c r="M1447" t="n">
        <x:v>1</x:v>
      </x:c>
      <x:c r="N1447" s="26" t="n">
        <x:v>2250</x:v>
      </x:c>
      <x:c r="O1447" s="26" t="n">
        <x:v>59.8</x:v>
      </x:c>
      <x:c r="P1447" s="26" t="n">
        <x:v>14.54</x:v>
      </x:c>
      <x:c r="Q1447" s="26" t="n">
        <x:v>27.47</x:v>
      </x:c>
      <x:c r="R1447" s="26" t="n">
        <x:v>33.94</x:v>
      </x:c>
      <x:c r="S1447" s="26" t="n">
        <x:v>231.68</x:v>
      </x:c>
    </x:row>
    <x:row r="1448">
      <x:c r="A1448" t="n">
        <x:v>501445</x:v>
      </x:c>
      <x:c r="B1448" s="24" t="n">
        <x:v>45940</x:v>
      </x:c>
      <x:c r="C1448" t="n">
        <x:v>1079</x:v>
      </x:c>
      <x:c r="D1448" t="str">
        <x:v>Seller 1079</x:v>
      </x:c>
      <x:c r="E1448" t="str">
        <x:v>Bronze</x:v>
      </x:c>
      <x:c r="F1448" t="str">
        <x:v>South</x:v>
      </x:c>
      <x:c r="G1448" t="str">
        <x:v>Beauty</x:v>
      </x:c>
      <x:c r="H1448" t="n">
        <x:v>2</x:v>
      </x:c>
      <x:c r="I1448" s="26" t="n">
        <x:v>935.4</x:v>
      </x:c>
      <x:c r="J1448" s="26" t="n">
        <x:v>1564.8</x:v>
      </x:c>
      <x:c r="K1448" s="28" t="n">
        <x:v>0.1471</x:v>
      </x:c>
      <x:c r="L1448" s="26" t="n">
        <x:v>230.18</x:v>
      </x:c>
      <x:c r="M1448" t="n">
        <x:v>0</x:v>
      </x:c>
      <x:c r="N1448" s="26" t="n">
        <x:v>0</x:v>
      </x:c>
      <x:c r="O1448" s="26" t="n">
        <x:v>28.95</x:v>
      </x:c>
      <x:c r="P1448" s="26" t="n">
        <x:v>7.04</x:v>
      </x:c>
      <x:c r="Q1448" s="26" t="n">
        <x:v>13.3</x:v>
      </x:c>
      <x:c r="R1448" s="26" t="n">
        <x:v>16.43</x:v>
      </x:c>
      <x:c r="S1448" s="26" t="n">
        <x:v>164.46</x:v>
      </x:c>
    </x:row>
    <x:row r="1449">
      <x:c r="A1449" t="n">
        <x:v>501446</x:v>
      </x:c>
      <x:c r="B1449" s="24" t="n">
        <x:v>45943</x:v>
      </x:c>
      <x:c r="C1449" t="n">
        <x:v>1061</x:v>
      </x:c>
      <x:c r="D1449" t="str">
        <x:v>Seller 1061</x:v>
      </x:c>
      <x:c r="E1449" t="str">
        <x:v>Bronze</x:v>
      </x:c>
      <x:c r="F1449" t="str">
        <x:v>Central</x:v>
      </x:c>
      <x:c r="G1449" t="str">
        <x:v>Electronics</x:v>
      </x:c>
      <x:c r="H1449" t="n">
        <x:v>2</x:v>
      </x:c>
      <x:c r="I1449" s="26" t="n">
        <x:v>4859.4</x:v>
      </x:c>
      <x:c r="J1449" s="26" t="n">
        <x:v>8128.8</x:v>
      </x:c>
      <x:c r="K1449" s="28" t="n">
        <x:v>0.1327</x:v>
      </x:c>
      <x:c r="L1449" s="26" t="n">
        <x:v>1078.69</x:v>
      </x:c>
      <x:c r="M1449" t="n">
        <x:v>0</x:v>
      </x:c>
      <x:c r="N1449" s="26" t="n">
        <x:v>0</x:v>
      </x:c>
      <x:c r="O1449" s="26" t="n">
        <x:v>150.38</x:v>
      </x:c>
      <x:c r="P1449" s="26" t="n">
        <x:v>36.58</x:v>
      </x:c>
      <x:c r="Q1449" s="26" t="n">
        <x:v>69.09</x:v>
      </x:c>
      <x:c r="R1449" s="26" t="n">
        <x:v>85.35</x:v>
      </x:c>
      <x:c r="S1449" s="26" t="n">
        <x:v>737.28</x:v>
      </x:c>
    </x:row>
    <x:row r="1450">
      <x:c r="A1450" t="n">
        <x:v>501447</x:v>
      </x:c>
      <x:c r="B1450" s="24" t="n">
        <x:v>45930</x:v>
      </x:c>
      <x:c r="C1450" t="n">
        <x:v>1027</x:v>
      </x:c>
      <x:c r="D1450" t="str">
        <x:v>Seller 1027</x:v>
      </x:c>
      <x:c r="E1450" t="str">
        <x:v>Gold</x:v>
      </x:c>
      <x:c r="F1450" t="str">
        <x:v>West</x:v>
      </x:c>
      <x:c r="G1450" t="str">
        <x:v>Apparel</x:v>
      </x:c>
      <x:c r="H1450" t="n">
        <x:v>3</x:v>
      </x:c>
      <x:c r="I1450" s="26" t="n">
        <x:v>1548</x:v>
      </x:c>
      <x:c r="J1450" s="26" t="n">
        <x:v>7203</x:v>
      </x:c>
      <x:c r="K1450" s="28" t="n">
        <x:v>0.1177</x:v>
      </x:c>
      <x:c r="L1450" s="26" t="n">
        <x:v>847.79</x:v>
      </x:c>
      <x:c r="M1450" t="n">
        <x:v>0</x:v>
      </x:c>
      <x:c r="N1450" s="26" t="n">
        <x:v>0</x:v>
      </x:c>
      <x:c r="O1450" s="26" t="n">
        <x:v>133.26</x:v>
      </x:c>
      <x:c r="P1450" s="26" t="n">
        <x:v>32.41</x:v>
      </x:c>
      <x:c r="Q1450" s="26" t="n">
        <x:v>61.23</x:v>
      </x:c>
      <x:c r="R1450" s="26" t="n">
        <x:v>75.63</x:v>
      </x:c>
      <x:c r="S1450" s="26" t="n">
        <x:v>545.27</x:v>
      </x:c>
    </x:row>
    <x:row r="1451">
      <x:c r="A1451" t="n">
        <x:v>501448</x:v>
      </x:c>
      <x:c r="B1451" s="24" t="n">
        <x:v>45938</x:v>
      </x:c>
      <x:c r="C1451" t="n">
        <x:v>1063</x:v>
      </x:c>
      <x:c r="D1451" t="str">
        <x:v>Seller 1063</x:v>
      </x:c>
      <x:c r="E1451" t="str">
        <x:v>Bronze</x:v>
      </x:c>
      <x:c r="F1451" t="str">
        <x:v>West</x:v>
      </x:c>
      <x:c r="G1451" t="str">
        <x:v>Pet Supplies</x:v>
      </x:c>
      <x:c r="H1451" t="n">
        <x:v>2</x:v>
      </x:c>
      <x:c r="I1451" s="26" t="n">
        <x:v>1700.4</x:v>
      </x:c>
      <x:c r="J1451" s="26" t="n">
        <x:v>2844.6</x:v>
      </x:c>
      <x:c r="K1451" s="28" t="n">
        <x:v>0.1436</x:v>
      </x:c>
      <x:c r="L1451" s="26" t="n">
        <x:v>408.48</x:v>
      </x:c>
      <x:c r="M1451" t="n">
        <x:v>0</x:v>
      </x:c>
      <x:c r="N1451" s="26" t="n">
        <x:v>0</x:v>
      </x:c>
      <x:c r="O1451" s="26" t="n">
        <x:v>52.63</x:v>
      </x:c>
      <x:c r="P1451" s="26" t="n">
        <x:v>12.8</x:v>
      </x:c>
      <x:c r="Q1451" s="26" t="n">
        <x:v>24.18</x:v>
      </x:c>
      <x:c r="R1451" s="26" t="n">
        <x:v>29.87</x:v>
      </x:c>
      <x:c r="S1451" s="26" t="n">
        <x:v>289.01</x:v>
      </x:c>
    </x:row>
    <x:row r="1452">
      <x:c r="A1452" t="n">
        <x:v>501449</x:v>
      </x:c>
      <x:c r="B1452" s="24" t="n">
        <x:v>45952</x:v>
      </x:c>
      <x:c r="C1452" t="n">
        <x:v>1058</x:v>
      </x:c>
      <x:c r="D1452" t="str">
        <x:v>Seller 1058</x:v>
      </x:c>
      <x:c r="E1452" t="str">
        <x:v>Bronze</x:v>
      </x:c>
      <x:c r="F1452" t="str">
        <x:v>East</x:v>
      </x:c>
      <x:c r="G1452" t="str">
        <x:v>Beauty</x:v>
      </x:c>
      <x:c r="H1452" t="n">
        <x:v>3</x:v>
      </x:c>
      <x:c r="I1452" s="26" t="n">
        <x:v>934.8</x:v>
      </x:c>
      <x:c r="J1452" s="26" t="n">
        <x:v>2344.8</x:v>
      </x:c>
      <x:c r="K1452" s="28" t="n">
        <x:v>0.137</x:v>
      </x:c>
      <x:c r="L1452" s="26" t="n">
        <x:v>321.24</x:v>
      </x:c>
      <x:c r="M1452" t="n">
        <x:v>0</x:v>
      </x:c>
      <x:c r="N1452" s="26" t="n">
        <x:v>0</x:v>
      </x:c>
      <x:c r="O1452" s="26" t="n">
        <x:v>43.38</x:v>
      </x:c>
      <x:c r="P1452" s="26" t="n">
        <x:v>10.55</x:v>
      </x:c>
      <x:c r="Q1452" s="26" t="n">
        <x:v>19.93</x:v>
      </x:c>
      <x:c r="R1452" s="26" t="n">
        <x:v>24.62</x:v>
      </x:c>
      <x:c r="S1452" s="26" t="n">
        <x:v>222.76</x:v>
      </x:c>
    </x:row>
    <x:row r="1453">
      <x:c r="A1453" t="n">
        <x:v>501450</x:v>
      </x:c>
      <x:c r="B1453" s="24" t="n">
        <x:v>45947</x:v>
      </x:c>
      <x:c r="C1453" t="n">
        <x:v>1003</x:v>
      </x:c>
      <x:c r="D1453" t="str">
        <x:v>Seller 1003</x:v>
      </x:c>
      <x:c r="E1453" t="str">
        <x:v>Platinum</x:v>
      </x:c>
      <x:c r="F1453" t="str">
        <x:v>East</x:v>
      </x:c>
      <x:c r="G1453" t="str">
        <x:v>Beauty</x:v>
      </x:c>
      <x:c r="H1453" t="n">
        <x:v>1</x:v>
      </x:c>
      <x:c r="I1453" s="26" t="n">
        <x:v>2554.7999999999997</x:v>
      </x:c>
      <x:c r="J1453" s="26" t="n">
        <x:v>5341.8</x:v>
      </x:c>
      <x:c r="K1453" s="28" t="n">
        <x:v>0.1386</x:v>
      </x:c>
      <x:c r="L1453" s="26" t="n">
        <x:v>740.37</x:v>
      </x:c>
      <x:c r="M1453" t="n">
        <x:v>0</x:v>
      </x:c>
      <x:c r="N1453" s="26" t="n">
        <x:v>0</x:v>
      </x:c>
      <x:c r="O1453" s="26" t="n">
        <x:v>98.82</x:v>
      </x:c>
      <x:c r="P1453" s="26" t="n">
        <x:v>24.04</x:v>
      </x:c>
      <x:c r="Q1453" s="26" t="n">
        <x:v>45.41</x:v>
      </x:c>
      <x:c r="R1453" s="26" t="n">
        <x:v>56.09</x:v>
      </x:c>
      <x:c r="S1453" s="26" t="n">
        <x:v>516.02</x:v>
      </x:c>
    </x:row>
    <x:row r="1454">
      <x:c r="A1454" t="n">
        <x:v>501451</x:v>
      </x:c>
      <x:c r="B1454" s="24" t="n">
        <x:v>45952</x:v>
      </x:c>
      <x:c r="C1454" t="n">
        <x:v>1016</x:v>
      </x:c>
      <x:c r="D1454" t="str">
        <x:v>Seller 1016</x:v>
      </x:c>
      <x:c r="E1454" t="str">
        <x:v>Gold</x:v>
      </x:c>
      <x:c r="F1454" t="str">
        <x:v>West</x:v>
      </x:c>
      <x:c r="G1454" t="str">
        <x:v>Sports</x:v>
      </x:c>
      <x:c r="H1454" t="n">
        <x:v>3</x:v>
      </x:c>
      <x:c r="I1454" s="26" t="n">
        <x:v>2633.4</x:v>
      </x:c>
      <x:c r="J1454" s="26" t="n">
        <x:v>12253.8</x:v>
      </x:c>
      <x:c r="K1454" s="28" t="n">
        <x:v>0.1297</x:v>
      </x:c>
      <x:c r="L1454" s="26" t="n">
        <x:v>1589.32</x:v>
      </x:c>
      <x:c r="M1454" t="n">
        <x:v>0</x:v>
      </x:c>
      <x:c r="N1454" s="26" t="n">
        <x:v>0</x:v>
      </x:c>
      <x:c r="O1454" s="26" t="n">
        <x:v>226.7</x:v>
      </x:c>
      <x:c r="P1454" s="26" t="n">
        <x:v>55.14</x:v>
      </x:c>
      <x:c r="Q1454" s="26" t="n">
        <x:v>104.16</x:v>
      </x:c>
      <x:c r="R1454" s="26" t="n">
        <x:v>128.66</x:v>
      </x:c>
      <x:c r="S1454" s="26" t="n">
        <x:v>1074.66</x:v>
      </x:c>
    </x:row>
    <x:row r="1455">
      <x:c r="A1455" t="n">
        <x:v>501452</x:v>
      </x:c>
      <x:c r="B1455" s="24" t="n">
        <x:v>45948</x:v>
      </x:c>
      <x:c r="C1455" t="n">
        <x:v>1052</x:v>
      </x:c>
      <x:c r="D1455" t="str">
        <x:v>Seller 1052</x:v>
      </x:c>
      <x:c r="E1455" t="str">
        <x:v>Silver</x:v>
      </x:c>
      <x:c r="F1455" t="str">
        <x:v>Central</x:v>
      </x:c>
      <x:c r="G1455" t="str">
        <x:v>Pet Supplies</x:v>
      </x:c>
      <x:c r="H1455" t="n">
        <x:v>2</x:v>
      </x:c>
      <x:c r="I1455" s="26" t="n">
        <x:v>1700.4</x:v>
      </x:c>
      <x:c r="J1455" s="26" t="n">
        <x:v>4036.2</x:v>
      </x:c>
      <x:c r="K1455" s="28" t="n">
        <x:v>0.1416</x:v>
      </x:c>
      <x:c r="L1455" s="26" t="n">
        <x:v>571.53</x:v>
      </x:c>
      <x:c r="M1455" t="n">
        <x:v>0</x:v>
      </x:c>
      <x:c r="N1455" s="26" t="n">
        <x:v>0</x:v>
      </x:c>
      <x:c r="O1455" s="26" t="n">
        <x:v>74.67</x:v>
      </x:c>
      <x:c r="P1455" s="26" t="n">
        <x:v>18.16</x:v>
      </x:c>
      <x:c r="Q1455" s="26" t="n">
        <x:v>34.31</x:v>
      </x:c>
      <x:c r="R1455" s="26" t="n">
        <x:v>42.38</x:v>
      </x:c>
      <x:c r="S1455" s="26" t="n">
        <x:v>402.01</x:v>
      </x:c>
    </x:row>
    <x:row r="1456">
      <x:c r="A1456" t="n">
        <x:v>501453</x:v>
      </x:c>
      <x:c r="B1456" s="24" t="n">
        <x:v>45935</x:v>
      </x:c>
      <x:c r="C1456" t="n">
        <x:v>1014</x:v>
      </x:c>
      <x:c r="D1456" t="str">
        <x:v>Seller 1014</x:v>
      </x:c>
      <x:c r="E1456" t="str">
        <x:v>Gold</x:v>
      </x:c>
      <x:c r="F1456" t="str">
        <x:v>East</x:v>
      </x:c>
      <x:c r="G1456" t="str">
        <x:v>Apparel</x:v>
      </x:c>
      <x:c r="H1456" t="n">
        <x:v>2</x:v>
      </x:c>
      <x:c r="I1456" s="26" t="n">
        <x:v>1518.6</x:v>
      </x:c>
      <x:c r="J1456" s="26" t="n">
        <x:v>4711.8</x:v>
      </x:c>
      <x:c r="K1456" s="28" t="n">
        <x:v>0.1233</x:v>
      </x:c>
      <x:c r="L1456" s="26" t="n">
        <x:v>580.96</x:v>
      </x:c>
      <x:c r="M1456" t="n">
        <x:v>0</x:v>
      </x:c>
      <x:c r="N1456" s="26" t="n">
        <x:v>0</x:v>
      </x:c>
      <x:c r="O1456" s="26" t="n">
        <x:v>87.17</x:v>
      </x:c>
      <x:c r="P1456" s="26" t="n">
        <x:v>21.2</x:v>
      </x:c>
      <x:c r="Q1456" s="26" t="n">
        <x:v>40.05</x:v>
      </x:c>
      <x:c r="R1456" s="26" t="n">
        <x:v>49.47</x:v>
      </x:c>
      <x:c r="S1456" s="26" t="n">
        <x:v>383.07</x:v>
      </x:c>
    </x:row>
    <x:row r="1457">
      <x:c r="A1457" t="n">
        <x:v>501454</x:v>
      </x:c>
      <x:c r="B1457" s="24" t="n">
        <x:v>45937</x:v>
      </x:c>
      <x:c r="C1457" t="n">
        <x:v>1052</x:v>
      </x:c>
      <x:c r="D1457" t="str">
        <x:v>Seller 1052</x:v>
      </x:c>
      <x:c r="E1457" t="str">
        <x:v>Silver</x:v>
      </x:c>
      <x:c r="F1457" t="str">
        <x:v>Central</x:v>
      </x:c>
      <x:c r="G1457" t="str">
        <x:v>Pet Supplies</x:v>
      </x:c>
      <x:c r="H1457" t="n">
        <x:v>1</x:v>
      </x:c>
      <x:c r="I1457" s="26" t="n">
        <x:v>3225</x:v>
      </x:c>
      <x:c r="J1457" s="26" t="n">
        <x:v>3828</x:v>
      </x:c>
      <x:c r="K1457" s="28" t="n">
        <x:v>0.1308</x:v>
      </x:c>
      <x:c r="L1457" s="26" t="n">
        <x:v>500.7</x:v>
      </x:c>
      <x:c r="M1457" t="n">
        <x:v>0</x:v>
      </x:c>
      <x:c r="N1457" s="26" t="n">
        <x:v>0</x:v>
      </x:c>
      <x:c r="O1457" s="26" t="n">
        <x:v>70.82</x:v>
      </x:c>
      <x:c r="P1457" s="26" t="n">
        <x:v>17.23</x:v>
      </x:c>
      <x:c r="Q1457" s="26" t="n">
        <x:v>32.54</x:v>
      </x:c>
      <x:c r="R1457" s="26" t="n">
        <x:v>40.19</x:v>
      </x:c>
      <x:c r="S1457" s="26" t="n">
        <x:v>339.93</x:v>
      </x:c>
    </x:row>
    <x:row r="1458">
      <x:c r="A1458" t="n">
        <x:v>501455</x:v>
      </x:c>
      <x:c r="B1458" s="24" t="n">
        <x:v>45948</x:v>
      </x:c>
      <x:c r="C1458" t="n">
        <x:v>1001</x:v>
      </x:c>
      <x:c r="D1458" t="str">
        <x:v>Seller 1001</x:v>
      </x:c>
      <x:c r="E1458" t="str">
        <x:v>Platinum</x:v>
      </x:c>
      <x:c r="F1458" t="str">
        <x:v>East</x:v>
      </x:c>
      <x:c r="G1458" t="str">
        <x:v>Electronics</x:v>
      </x:c>
      <x:c r="H1458" t="n">
        <x:v>2</x:v>
      </x:c>
      <x:c r="I1458" s="26" t="n">
        <x:v>5021.4</x:v>
      </x:c>
      <x:c r="J1458" s="26" t="n">
        <x:v>20998.2</x:v>
      </x:c>
      <x:c r="K1458" s="28" t="n">
        <x:v>0.1171</x:v>
      </x:c>
      <x:c r="L1458" s="26" t="n">
        <x:v>2458.89</x:v>
      </x:c>
      <x:c r="M1458" t="n">
        <x:v>0</x:v>
      </x:c>
      <x:c r="N1458" s="26" t="n">
        <x:v>0</x:v>
      </x:c>
      <x:c r="O1458" s="26" t="n">
        <x:v>388.47</x:v>
      </x:c>
      <x:c r="P1458" s="26" t="n">
        <x:v>94.49</x:v>
      </x:c>
      <x:c r="Q1458" s="26" t="n">
        <x:v>178.48</x:v>
      </x:c>
      <x:c r="R1458" s="26" t="n">
        <x:v>220.48</x:v>
      </x:c>
      <x:c r="S1458" s="26" t="n">
        <x:v>1576.96</x:v>
      </x:c>
    </x:row>
    <x:row r="1459">
      <x:c r="A1459" t="n">
        <x:v>501456</x:v>
      </x:c>
      <x:c r="B1459" s="24" t="n">
        <x:v>45930</x:v>
      </x:c>
      <x:c r="C1459" t="n">
        <x:v>1054</x:v>
      </x:c>
      <x:c r="D1459" t="str">
        <x:v>Seller 1054</x:v>
      </x:c>
      <x:c r="E1459" t="str">
        <x:v>Silver</x:v>
      </x:c>
      <x:c r="F1459" t="str">
        <x:v>South</x:v>
      </x:c>
      <x:c r="G1459" t="str">
        <x:v>Apparel</x:v>
      </x:c>
      <x:c r="H1459" t="n">
        <x:v>2</x:v>
      </x:c>
      <x:c r="I1459" s="26" t="n">
        <x:v>1989</x:v>
      </x:c>
      <x:c r="J1459" s="26" t="n">
        <x:v>4722.6</x:v>
      </x:c>
      <x:c r="K1459" s="28" t="n">
        <x:v>0.1134</x:v>
      </x:c>
      <x:c r="L1459" s="26" t="n">
        <x:v>535.54</x:v>
      </x:c>
      <x:c r="M1459" t="n">
        <x:v>0</x:v>
      </x:c>
      <x:c r="N1459" s="26" t="n">
        <x:v>0</x:v>
      </x:c>
      <x:c r="O1459" s="26" t="n">
        <x:v>87.37</x:v>
      </x:c>
      <x:c r="P1459" s="26" t="n">
        <x:v>21.25</x:v>
      </x:c>
      <x:c r="Q1459" s="26" t="n">
        <x:v>40.14</x:v>
      </x:c>
      <x:c r="R1459" s="26" t="n">
        <x:v>49.59</x:v>
      </x:c>
      <x:c r="S1459" s="26" t="n">
        <x:v>337.19</x:v>
      </x:c>
    </x:row>
    <x:row r="1460">
      <x:c r="A1460" t="n">
        <x:v>501457</x:v>
      </x:c>
      <x:c r="B1460" s="24" t="n">
        <x:v>45949</x:v>
      </x:c>
      <x:c r="C1460" t="n">
        <x:v>1077</x:v>
      </x:c>
      <x:c r="D1460" t="str">
        <x:v>Seller 1077</x:v>
      </x:c>
      <x:c r="E1460" t="str">
        <x:v>Bronze</x:v>
      </x:c>
      <x:c r="F1460" t="str">
        <x:v>South</x:v>
      </x:c>
      <x:c r="G1460" t="str">
        <x:v>Home &amp; Kitchen</x:v>
      </x:c>
      <x:c r="H1460" t="n">
        <x:v>2</x:v>
      </x:c>
      <x:c r="I1460" s="26" t="n">
        <x:v>2505.6</x:v>
      </x:c>
      <x:c r="J1460" s="26" t="n">
        <x:v>4191.6</x:v>
      </x:c>
      <x:c r="K1460" s="28" t="n">
        <x:v>0.1376</x:v>
      </x:c>
      <x:c r="L1460" s="26" t="n">
        <x:v>576.76</x:v>
      </x:c>
      <x:c r="M1460" t="n">
        <x:v>0</x:v>
      </x:c>
      <x:c r="N1460" s="26" t="n">
        <x:v>0</x:v>
      </x:c>
      <x:c r="O1460" s="26" t="n">
        <x:v>77.54</x:v>
      </x:c>
      <x:c r="P1460" s="26" t="n">
        <x:v>18.86</x:v>
      </x:c>
      <x:c r="Q1460" s="26" t="n">
        <x:v>35.63</x:v>
      </x:c>
      <x:c r="R1460" s="26" t="n">
        <x:v>44.01</x:v>
      </x:c>
      <x:c r="S1460" s="26" t="n">
        <x:v>400.72</x:v>
      </x:c>
    </x:row>
    <x:row r="1461">
      <x:c r="A1461" t="n">
        <x:v>501458</x:v>
      </x:c>
      <x:c r="B1461" s="24" t="n">
        <x:v>45955</x:v>
      </x:c>
      <x:c r="C1461" t="n">
        <x:v>1012</x:v>
      </x:c>
      <x:c r="D1461" t="str">
        <x:v>Seller 1012</x:v>
      </x:c>
      <x:c r="E1461" t="str">
        <x:v>Platinum</x:v>
      </x:c>
      <x:c r="F1461" t="str">
        <x:v>East</x:v>
      </x:c>
      <x:c r="G1461" t="str">
        <x:v>Electronics</x:v>
      </x:c>
      <x:c r="H1461" t="n">
        <x:v>2</x:v>
      </x:c>
      <x:c r="I1461" s="26" t="n">
        <x:v>2908.2</x:v>
      </x:c>
      <x:c r="J1461" s="26" t="n">
        <x:v>12160.8</x:v>
      </x:c>
      <x:c r="K1461" s="28" t="n">
        <x:v>0.1287</x:v>
      </x:c>
      <x:c r="L1461" s="26" t="n">
        <x:v>1565.09</x:v>
      </x:c>
      <x:c r="M1461" t="n">
        <x:v>0</x:v>
      </x:c>
      <x:c r="N1461" s="26" t="n">
        <x:v>0</x:v>
      </x:c>
      <x:c r="O1461" s="26" t="n">
        <x:v>224.97</x:v>
      </x:c>
      <x:c r="P1461" s="26" t="n">
        <x:v>54.72</x:v>
      </x:c>
      <x:c r="Q1461" s="26" t="n">
        <x:v>103.37</x:v>
      </x:c>
      <x:c r="R1461" s="26" t="n">
        <x:v>127.69</x:v>
      </x:c>
      <x:c r="S1461" s="26" t="n">
        <x:v>1054.34</x:v>
      </x:c>
    </x:row>
    <x:row r="1462">
      <x:c r="A1462" t="n">
        <x:v>501459</x:v>
      </x:c>
      <x:c r="B1462" s="24" t="n">
        <x:v>45932</x:v>
      </x:c>
      <x:c r="C1462" t="n">
        <x:v>1021</x:v>
      </x:c>
      <x:c r="D1462" t="str">
        <x:v>Seller 1021</x:v>
      </x:c>
      <x:c r="E1462" t="str">
        <x:v>Gold</x:v>
      </x:c>
      <x:c r="F1462" t="str">
        <x:v>Central</x:v>
      </x:c>
      <x:c r="G1462" t="str">
        <x:v>Pet Supplies</x:v>
      </x:c>
      <x:c r="H1462" t="n">
        <x:v>2</x:v>
      </x:c>
      <x:c r="I1462" s="26" t="n">
        <x:v>1378.1999999999998</x:v>
      </x:c>
      <x:c r="J1462" s="26" t="n">
        <x:v>4275.6</x:v>
      </x:c>
      <x:c r="K1462" s="28" t="n">
        <x:v>0.1313</x:v>
      </x:c>
      <x:c r="L1462" s="26" t="n">
        <x:v>561.39</x:v>
      </x:c>
      <x:c r="M1462" t="n">
        <x:v>0</x:v>
      </x:c>
      <x:c r="N1462" s="26" t="n">
        <x:v>0</x:v>
      </x:c>
      <x:c r="O1462" s="26" t="n">
        <x:v>79.1</x:v>
      </x:c>
      <x:c r="P1462" s="26" t="n">
        <x:v>19.24</x:v>
      </x:c>
      <x:c r="Q1462" s="26" t="n">
        <x:v>36.34</x:v>
      </x:c>
      <x:c r="R1462" s="26" t="n">
        <x:v>44.89</x:v>
      </x:c>
      <x:c r="S1462" s="26" t="n">
        <x:v>381.81</x:v>
      </x:c>
    </x:row>
    <x:row r="1463">
      <x:c r="A1463" t="n">
        <x:v>501460</x:v>
      </x:c>
      <x:c r="B1463" s="24" t="n">
        <x:v>45935</x:v>
      </x:c>
      <x:c r="C1463" t="n">
        <x:v>1038</x:v>
      </x:c>
      <x:c r="D1463" t="str">
        <x:v>Seller 1038</x:v>
      </x:c>
      <x:c r="E1463" t="str">
        <x:v>Silver</x:v>
      </x:c>
      <x:c r="F1463" t="str">
        <x:v>South</x:v>
      </x:c>
      <x:c r="G1463" t="str">
        <x:v>Sports</x:v>
      </x:c>
      <x:c r="H1463" t="n">
        <x:v>3</x:v>
      </x:c>
      <x:c r="I1463" s="26" t="n">
        <x:v>1612.2</x:v>
      </x:c>
      <x:c r="J1463" s="26" t="n">
        <x:v>5742</x:v>
      </x:c>
      <x:c r="K1463" s="28" t="n">
        <x:v>0.127</x:v>
      </x:c>
      <x:c r="L1463" s="26" t="n">
        <x:v>729.23</x:v>
      </x:c>
      <x:c r="M1463" t="n">
        <x:v>0</x:v>
      </x:c>
      <x:c r="N1463" s="26" t="n">
        <x:v>0</x:v>
      </x:c>
      <x:c r="O1463" s="26" t="n">
        <x:v>106.23</x:v>
      </x:c>
      <x:c r="P1463" s="26" t="n">
        <x:v>25.84</x:v>
      </x:c>
      <x:c r="Q1463" s="26" t="n">
        <x:v>48.81</x:v>
      </x:c>
      <x:c r="R1463" s="26" t="n">
        <x:v>60.29</x:v>
      </x:c>
      <x:c r="S1463" s="26" t="n">
        <x:v>488.07</x:v>
      </x:c>
    </x:row>
    <x:row r="1464">
      <x:c r="A1464" t="n">
        <x:v>501461</x:v>
      </x:c>
      <x:c r="B1464" s="24" t="n">
        <x:v>45935</x:v>
      </x:c>
      <x:c r="C1464" t="n">
        <x:v>1023</x:v>
      </x:c>
      <x:c r="D1464" t="str">
        <x:v>Seller 1023</x:v>
      </x:c>
      <x:c r="E1464" t="str">
        <x:v>Gold</x:v>
      </x:c>
      <x:c r="F1464" t="str">
        <x:v>Central</x:v>
      </x:c>
      <x:c r="G1464" t="str">
        <x:v>Sports</x:v>
      </x:c>
      <x:c r="H1464" t="n">
        <x:v>1</x:v>
      </x:c>
      <x:c r="I1464" s="26" t="n">
        <x:v>4049.3999999999996</x:v>
      </x:c>
      <x:c r="J1464" s="26" t="n">
        <x:v>6281.4</x:v>
      </x:c>
      <x:c r="K1464" s="28" t="n">
        <x:v>0.1361</x:v>
      </x:c>
      <x:c r="L1464" s="26" t="n">
        <x:v>854.9</x:v>
      </x:c>
      <x:c r="M1464" t="n">
        <x:v>0</x:v>
      </x:c>
      <x:c r="N1464" s="26" t="n">
        <x:v>0</x:v>
      </x:c>
      <x:c r="O1464" s="26" t="n">
        <x:v>116.21</x:v>
      </x:c>
      <x:c r="P1464" s="26" t="n">
        <x:v>28.27</x:v>
      </x:c>
      <x:c r="Q1464" s="26" t="n">
        <x:v>53.39</x:v>
      </x:c>
      <x:c r="R1464" s="26" t="n">
        <x:v>65.95</x:v>
      </x:c>
      <x:c r="S1464" s="26" t="n">
        <x:v>591.08</x:v>
      </x:c>
    </x:row>
    <x:row r="1465">
      <x:c r="A1465" t="n">
        <x:v>501462</x:v>
      </x:c>
      <x:c r="B1465" s="24" t="n">
        <x:v>45943</x:v>
      </x:c>
      <x:c r="C1465" t="n">
        <x:v>1060</x:v>
      </x:c>
      <x:c r="D1465" t="str">
        <x:v>Seller 1060</x:v>
      </x:c>
      <x:c r="E1465" t="str">
        <x:v>Bronze</x:v>
      </x:c>
      <x:c r="F1465" t="str">
        <x:v>East</x:v>
      </x:c>
      <x:c r="G1465" t="str">
        <x:v>Pet Supplies</x:v>
      </x:c>
      <x:c r="H1465" t="n">
        <x:v>3</x:v>
      </x:c>
      <x:c r="I1465" s="26" t="n">
        <x:v>1216.2</x:v>
      </x:c>
      <x:c r="J1465" s="26" t="n">
        <x:v>3051.6</x:v>
      </x:c>
      <x:c r="K1465" s="28" t="n">
        <x:v>0.1364</x:v>
      </x:c>
      <x:c r="L1465" s="26" t="n">
        <x:v>416.24</x:v>
      </x:c>
      <x:c r="M1465" t="n">
        <x:v>0</x:v>
      </x:c>
      <x:c r="N1465" s="26" t="n">
        <x:v>0</x:v>
      </x:c>
      <x:c r="O1465" s="26" t="n">
        <x:v>56.45</x:v>
      </x:c>
      <x:c r="P1465" s="26" t="n">
        <x:v>13.73</x:v>
      </x:c>
      <x:c r="Q1465" s="26" t="n">
        <x:v>25.94</x:v>
      </x:c>
      <x:c r="R1465" s="26" t="n">
        <x:v>32.04</x:v>
      </x:c>
      <x:c r="S1465" s="26" t="n">
        <x:v>288.07</x:v>
      </x:c>
    </x:row>
    <x:row r="1466">
      <x:c r="A1466" t="n">
        <x:v>501463</x:v>
      </x:c>
      <x:c r="B1466" s="24" t="n">
        <x:v>45948</x:v>
      </x:c>
      <x:c r="C1466" t="n">
        <x:v>1050</x:v>
      </x:c>
      <x:c r="D1466" t="str">
        <x:v>Seller 1050</x:v>
      </x:c>
      <x:c r="E1466" t="str">
        <x:v>Silver</x:v>
      </x:c>
      <x:c r="F1466" t="str">
        <x:v>East</x:v>
      </x:c>
      <x:c r="G1466" t="str">
        <x:v>Electronics</x:v>
      </x:c>
      <x:c r="H1466" t="n">
        <x:v>1</x:v>
      </x:c>
      <x:c r="I1466" s="26" t="n">
        <x:v>8968.8</x:v>
      </x:c>
      <x:c r="J1466" s="26" t="n">
        <x:v>10646.4</x:v>
      </x:c>
      <x:c r="K1466" s="28" t="n">
        <x:v>0.1302</x:v>
      </x:c>
      <x:c r="L1466" s="26" t="n">
        <x:v>1386.16</x:v>
      </x:c>
      <x:c r="M1466" t="n">
        <x:v>0</x:v>
      </x:c>
      <x:c r="N1466" s="26" t="n">
        <x:v>0</x:v>
      </x:c>
      <x:c r="O1466" s="26" t="n">
        <x:v>196.96</x:v>
      </x:c>
      <x:c r="P1466" s="26" t="n">
        <x:v>47.91</x:v>
      </x:c>
      <x:c r="Q1466" s="26" t="n">
        <x:v>90.49</x:v>
      </x:c>
      <x:c r="R1466" s="26" t="n">
        <x:v>111.79</x:v>
      </x:c>
      <x:c r="S1466" s="26" t="n">
        <x:v>939.01</x:v>
      </x:c>
    </x:row>
    <x:row r="1467">
      <x:c r="A1467" t="n">
        <x:v>501464</x:v>
      </x:c>
      <x:c r="B1467" s="24" t="n">
        <x:v>45951</x:v>
      </x:c>
      <x:c r="C1467" t="n">
        <x:v>1069</x:v>
      </x:c>
      <x:c r="D1467" t="str">
        <x:v>Seller 1069</x:v>
      </x:c>
      <x:c r="E1467" t="str">
        <x:v>Bronze</x:v>
      </x:c>
      <x:c r="F1467" t="str">
        <x:v>East</x:v>
      </x:c>
      <x:c r="G1467" t="str">
        <x:v>Electronics</x:v>
      </x:c>
      <x:c r="H1467" t="n">
        <x:v>1</x:v>
      </x:c>
      <x:c r="I1467" s="26" t="n">
        <x:v>9192</x:v>
      </x:c>
      <x:c r="J1467" s="26" t="n">
        <x:v>7687.2</x:v>
      </x:c>
      <x:c r="K1467" s="28" t="n">
        <x:v>0.1144</x:v>
      </x:c>
      <x:c r="L1467" s="26" t="n">
        <x:v>879.42</x:v>
      </x:c>
      <x:c r="M1467" t="n">
        <x:v>0</x:v>
      </x:c>
      <x:c r="N1467" s="26" t="n">
        <x:v>0</x:v>
      </x:c>
      <x:c r="O1467" s="26" t="n">
        <x:v>142.21</x:v>
      </x:c>
      <x:c r="P1467" s="26" t="n">
        <x:v>34.59</x:v>
      </x:c>
      <x:c r="Q1467" s="26" t="n">
        <x:v>65.34</x:v>
      </x:c>
      <x:c r="R1467" s="26" t="n">
        <x:v>80.72</x:v>
      </x:c>
      <x:c r="S1467" s="26" t="n">
        <x:v>556.55</x:v>
      </x:c>
    </x:row>
    <x:row r="1468">
      <x:c r="A1468" t="n">
        <x:v>501465</x:v>
      </x:c>
      <x:c r="B1468" s="24" t="n">
        <x:v>45932</x:v>
      </x:c>
      <x:c r="C1468" t="n">
        <x:v>1006</x:v>
      </x:c>
      <x:c r="D1468" t="str">
        <x:v>Seller 1006</x:v>
      </x:c>
      <x:c r="E1468" t="str">
        <x:v>Platinum</x:v>
      </x:c>
      <x:c r="F1468" t="str">
        <x:v>East</x:v>
      </x:c>
      <x:c r="G1468" t="str">
        <x:v>Sports</x:v>
      </x:c>
      <x:c r="H1468" t="n">
        <x:v>2</x:v>
      </x:c>
      <x:c r="I1468" s="26" t="n">
        <x:v>1852.8</x:v>
      </x:c>
      <x:c r="J1468" s="26" t="n">
        <x:v>7748.4</x:v>
      </x:c>
      <x:c r="K1468" s="28" t="n">
        <x:v>0.1316</x:v>
      </x:c>
      <x:c r="L1468" s="26" t="n">
        <x:v>1019.69</x:v>
      </x:c>
      <x:c r="M1468" t="n">
        <x:v>0</x:v>
      </x:c>
      <x:c r="N1468" s="26" t="n">
        <x:v>0</x:v>
      </x:c>
      <x:c r="O1468" s="26" t="n">
        <x:v>143.35</x:v>
      </x:c>
      <x:c r="P1468" s="26" t="n">
        <x:v>34.87</x:v>
      </x:c>
      <x:c r="Q1468" s="26" t="n">
        <x:v>65.86</x:v>
      </x:c>
      <x:c r="R1468" s="26" t="n">
        <x:v>81.36</x:v>
      </x:c>
      <x:c r="S1468" s="26" t="n">
        <x:v>694.26</x:v>
      </x:c>
    </x:row>
    <x:row r="1469">
      <x:c r="A1469" t="n">
        <x:v>501466</x:v>
      </x:c>
      <x:c r="B1469" s="24" t="n">
        <x:v>45957</x:v>
      </x:c>
      <x:c r="C1469" t="n">
        <x:v>1034</x:v>
      </x:c>
      <x:c r="D1469" t="str">
        <x:v>Seller 1034</x:v>
      </x:c>
      <x:c r="E1469" t="str">
        <x:v>Silver</x:v>
      </x:c>
      <x:c r="F1469" t="str">
        <x:v>Central</x:v>
      </x:c>
      <x:c r="G1469" t="str">
        <x:v>Sports</x:v>
      </x:c>
      <x:c r="H1469" t="n">
        <x:v>2</x:v>
      </x:c>
      <x:c r="I1469" s="26" t="n">
        <x:v>2102.4</x:v>
      </x:c>
      <x:c r="J1469" s="26" t="n">
        <x:v>4991.4</x:v>
      </x:c>
      <x:c r="K1469" s="28" t="n">
        <x:v>0.1201</x:v>
      </x:c>
      <x:c r="L1469" s="26" t="n">
        <x:v>599.47</x:v>
      </x:c>
      <x:c r="M1469" t="n">
        <x:v>0</x:v>
      </x:c>
      <x:c r="N1469" s="26" t="n">
        <x:v>0</x:v>
      </x:c>
      <x:c r="O1469" s="26" t="n">
        <x:v>92.34</x:v>
      </x:c>
      <x:c r="P1469" s="26" t="n">
        <x:v>22.46</x:v>
      </x:c>
      <x:c r="Q1469" s="26" t="n">
        <x:v>42.43</x:v>
      </x:c>
      <x:c r="R1469" s="26" t="n">
        <x:v>52.41</x:v>
      </x:c>
      <x:c r="S1469" s="26" t="n">
        <x:v>389.83</x:v>
      </x:c>
    </x:row>
    <x:row r="1470">
      <x:c r="A1470" t="n">
        <x:v>501467</x:v>
      </x:c>
      <x:c r="B1470" s="24" t="n">
        <x:v>45952</x:v>
      </x:c>
      <x:c r="C1470" t="n">
        <x:v>1032</x:v>
      </x:c>
      <x:c r="D1470" t="str">
        <x:v>Seller 1032</x:v>
      </x:c>
      <x:c r="E1470" t="str">
        <x:v>Silver</x:v>
      </x:c>
      <x:c r="F1470" t="str">
        <x:v>West</x:v>
      </x:c>
      <x:c r="G1470" t="str">
        <x:v>Home &amp; Kitchen</x:v>
      </x:c>
      <x:c r="H1470" t="n">
        <x:v>2</x:v>
      </x:c>
      <x:c r="I1470" s="26" t="n">
        <x:v>2811</x:v>
      </x:c>
      <x:c r="J1470" s="26" t="n">
        <x:v>6673.2</x:v>
      </x:c>
      <x:c r="K1470" s="28" t="n">
        <x:v>0.1396</x:v>
      </x:c>
      <x:c r="L1470" s="26" t="n">
        <x:v>931.58</x:v>
      </x:c>
      <x:c r="M1470" t="n">
        <x:v>0</x:v>
      </x:c>
      <x:c r="N1470" s="26" t="n">
        <x:v>0</x:v>
      </x:c>
      <x:c r="O1470" s="26" t="n">
        <x:v>123.45</x:v>
      </x:c>
      <x:c r="P1470" s="26" t="n">
        <x:v>30.03</x:v>
      </x:c>
      <x:c r="Q1470" s="26" t="n">
        <x:v>56.72</x:v>
      </x:c>
      <x:c r="R1470" s="26" t="n">
        <x:v>70.07</x:v>
      </x:c>
      <x:c r="S1470" s="26" t="n">
        <x:v>651.3</x:v>
      </x:c>
    </x:row>
    <x:row r="1471">
      <x:c r="A1471" t="n">
        <x:v>501468</x:v>
      </x:c>
      <x:c r="B1471" s="24" t="n">
        <x:v>45947</x:v>
      </x:c>
      <x:c r="C1471" t="n">
        <x:v>1032</x:v>
      </x:c>
      <x:c r="D1471" t="str">
        <x:v>Seller 1032</x:v>
      </x:c>
      <x:c r="E1471" t="str">
        <x:v>Silver</x:v>
      </x:c>
      <x:c r="F1471" t="str">
        <x:v>West</x:v>
      </x:c>
      <x:c r="G1471" t="str">
        <x:v>Beauty</x:v>
      </x:c>
      <x:c r="H1471" t="n">
        <x:v>2</x:v>
      </x:c>
      <x:c r="I1471" s="26" t="n">
        <x:v>1539.6</x:v>
      </x:c>
      <x:c r="J1471" s="26" t="n">
        <x:v>3655.8</x:v>
      </x:c>
      <x:c r="K1471" s="28" t="n">
        <x:v>0.1519</x:v>
      </x:c>
      <x:c r="L1471" s="26" t="n">
        <x:v>555.32</x:v>
      </x:c>
      <x:c r="M1471" t="n">
        <x:v>0</x:v>
      </x:c>
      <x:c r="N1471" s="26" t="n">
        <x:v>0</x:v>
      </x:c>
      <x:c r="O1471" s="26" t="n">
        <x:v>67.63</x:v>
      </x:c>
      <x:c r="P1471" s="26" t="n">
        <x:v>16.45</x:v>
      </x:c>
      <x:c r="Q1471" s="26" t="n">
        <x:v>31.07</x:v>
      </x:c>
      <x:c r="R1471" s="26" t="n">
        <x:v>38.39</x:v>
      </x:c>
      <x:c r="S1471" s="26" t="n">
        <x:v>401.77</x:v>
      </x:c>
    </x:row>
    <x:row r="1472">
      <x:c r="A1472" t="n">
        <x:v>501469</x:v>
      </x:c>
      <x:c r="B1472" s="24" t="n">
        <x:v>45937</x:v>
      </x:c>
      <x:c r="C1472" t="n">
        <x:v>1005</x:v>
      </x:c>
      <x:c r="D1472" t="str">
        <x:v>Seller 1005</x:v>
      </x:c>
      <x:c r="E1472" t="str">
        <x:v>Platinum</x:v>
      </x:c>
      <x:c r="F1472" t="str">
        <x:v>East</x:v>
      </x:c>
      <x:c r="G1472" t="str">
        <x:v>Home &amp; Kitchen</x:v>
      </x:c>
      <x:c r="H1472" t="n">
        <x:v>2</x:v>
      </x:c>
      <x:c r="I1472" s="26" t="n">
        <x:v>2447.4</x:v>
      </x:c>
      <x:c r="J1472" s="26" t="n">
        <x:v>10235.4</x:v>
      </x:c>
      <x:c r="K1472" s="28" t="n">
        <x:v>0.1441</x:v>
      </x:c>
      <x:c r="L1472" s="26" t="n">
        <x:v>1474.92</x:v>
      </x:c>
      <x:c r="M1472" t="n">
        <x:v>0</x:v>
      </x:c>
      <x:c r="N1472" s="26" t="n">
        <x:v>0</x:v>
      </x:c>
      <x:c r="O1472" s="26" t="n">
        <x:v>189.35</x:v>
      </x:c>
      <x:c r="P1472" s="26" t="n">
        <x:v>46.06</x:v>
      </x:c>
      <x:c r="Q1472" s="26" t="n">
        <x:v>87</x:v>
      </x:c>
      <x:c r="R1472" s="26" t="n">
        <x:v>107.47</x:v>
      </x:c>
      <x:c r="S1472" s="26" t="n">
        <x:v>1045.03</x:v>
      </x:c>
    </x:row>
    <x:row r="1473">
      <x:c r="A1473" t="n">
        <x:v>501470</x:v>
      </x:c>
      <x:c r="B1473" s="24" t="n">
        <x:v>45932</x:v>
      </x:c>
      <x:c r="C1473" t="n">
        <x:v>1021</x:v>
      </x:c>
      <x:c r="D1473" t="str">
        <x:v>Seller 1021</x:v>
      </x:c>
      <x:c r="E1473" t="str">
        <x:v>Gold</x:v>
      </x:c>
      <x:c r="F1473" t="str">
        <x:v>Central</x:v>
      </x:c>
      <x:c r="G1473" t="str">
        <x:v>Pet Supplies</x:v>
      </x:c>
      <x:c r="H1473" t="n">
        <x:v>2</x:v>
      </x:c>
      <x:c r="I1473" s="26" t="n">
        <x:v>1931.3999999999999</x:v>
      </x:c>
      <x:c r="J1473" s="26" t="n">
        <x:v>5992.2</x:v>
      </x:c>
      <x:c r="K1473" s="28" t="n">
        <x:v>0.1362</x:v>
      </x:c>
      <x:c r="L1473" s="26" t="n">
        <x:v>816.14</x:v>
      </x:c>
      <x:c r="M1473" t="n">
        <x:v>0</x:v>
      </x:c>
      <x:c r="N1473" s="26" t="n">
        <x:v>0</x:v>
      </x:c>
      <x:c r="O1473" s="26" t="n">
        <x:v>110.86</x:v>
      </x:c>
      <x:c r="P1473" s="26" t="n">
        <x:v>26.96</x:v>
      </x:c>
      <x:c r="Q1473" s="26" t="n">
        <x:v>50.93</x:v>
      </x:c>
      <x:c r="R1473" s="26" t="n">
        <x:v>62.92</x:v>
      </x:c>
      <x:c r="S1473" s="26" t="n">
        <x:v>564.47</x:v>
      </x:c>
    </x:row>
    <x:row r="1474">
      <x:c r="A1474" t="n">
        <x:v>501471</x:v>
      </x:c>
      <x:c r="B1474" s="24" t="n">
        <x:v>45932</x:v>
      </x:c>
      <x:c r="C1474" t="n">
        <x:v>1019</x:v>
      </x:c>
      <x:c r="D1474" t="str">
        <x:v>Seller 1019</x:v>
      </x:c>
      <x:c r="E1474" t="str">
        <x:v>Gold</x:v>
      </x:c>
      <x:c r="F1474" t="str">
        <x:v>East</x:v>
      </x:c>
      <x:c r="G1474" t="str">
        <x:v>Apparel</x:v>
      </x:c>
      <x:c r="H1474" t="n">
        <x:v>3</x:v>
      </x:c>
      <x:c r="I1474" s="26" t="n">
        <x:v>1096.8000000000002</x:v>
      </x:c>
      <x:c r="J1474" s="26" t="n">
        <x:v>5103.6</x:v>
      </x:c>
      <x:c r="K1474" s="28" t="n">
        <x:v>0.1135</x:v>
      </x:c>
      <x:c r="L1474" s="26" t="n">
        <x:v>579.26</x:v>
      </x:c>
      <x:c r="M1474" t="n">
        <x:v>0</x:v>
      </x:c>
      <x:c r="N1474" s="26" t="n">
        <x:v>0</x:v>
      </x:c>
      <x:c r="O1474" s="26" t="n">
        <x:v>94.42</x:v>
      </x:c>
      <x:c r="P1474" s="26" t="n">
        <x:v>22.97</x:v>
      </x:c>
      <x:c r="Q1474" s="26" t="n">
        <x:v>43.38</x:v>
      </x:c>
      <x:c r="R1474" s="26" t="n">
        <x:v>53.59</x:v>
      </x:c>
      <x:c r="S1474" s="26" t="n">
        <x:v>364.91</x:v>
      </x:c>
    </x:row>
    <x:row r="1475">
      <x:c r="A1475" t="n">
        <x:v>501472</x:v>
      </x:c>
      <x:c r="B1475" s="24" t="n">
        <x:v>45956</x:v>
      </x:c>
      <x:c r="C1475" t="n">
        <x:v>1075</x:v>
      </x:c>
      <x:c r="D1475" t="str">
        <x:v>Seller 1075</x:v>
      </x:c>
      <x:c r="E1475" t="str">
        <x:v>Bronze</x:v>
      </x:c>
      <x:c r="F1475" t="str">
        <x:v>East</x:v>
      </x:c>
      <x:c r="G1475" t="str">
        <x:v>Electronics</x:v>
      </x:c>
      <x:c r="H1475" t="n">
        <x:v>1</x:v>
      </x:c>
      <x:c r="I1475" s="26" t="n">
        <x:v>9325.199999999999</x:v>
      </x:c>
      <x:c r="J1475" s="26" t="n">
        <x:v>7798.8</x:v>
      </x:c>
      <x:c r="K1475" s="28" t="n">
        <x:v>0.1339</x:v>
      </x:c>
      <x:c r="L1475" s="26" t="n">
        <x:v>1044.26</x:v>
      </x:c>
      <x:c r="M1475" t="n">
        <x:v>0</x:v>
      </x:c>
      <x:c r="N1475" s="26" t="n">
        <x:v>0</x:v>
      </x:c>
      <x:c r="O1475" s="26" t="n">
        <x:v>144.28</x:v>
      </x:c>
      <x:c r="P1475" s="26" t="n">
        <x:v>35.09</x:v>
      </x:c>
      <x:c r="Q1475" s="26" t="n">
        <x:v>66.29</x:v>
      </x:c>
      <x:c r="R1475" s="26" t="n">
        <x:v>81.89</x:v>
      </x:c>
      <x:c r="S1475" s="26" t="n">
        <x:v>716.71</x:v>
      </x:c>
    </x:row>
    <x:row r="1476">
      <x:c r="A1476" t="n">
        <x:v>501473</x:v>
      </x:c>
      <x:c r="B1476" s="24" t="n">
        <x:v>45943</x:v>
      </x:c>
      <x:c r="C1476" t="n">
        <x:v>1022</x:v>
      </x:c>
      <x:c r="D1476" t="str">
        <x:v>Seller 1022</x:v>
      </x:c>
      <x:c r="E1476" t="str">
        <x:v>Gold</x:v>
      </x:c>
      <x:c r="F1476" t="str">
        <x:v>East</x:v>
      </x:c>
      <x:c r="G1476" t="str">
        <x:v>Pet Supplies</x:v>
      </x:c>
      <x:c r="H1476" t="n">
        <x:v>3</x:v>
      </x:c>
      <x:c r="I1476" s="26" t="n">
        <x:v>1445.4</x:v>
      </x:c>
      <x:c r="J1476" s="26" t="n">
        <x:v>6727.2</x:v>
      </x:c>
      <x:c r="K1476" s="28" t="n">
        <x:v>0.1275</x:v>
      </x:c>
      <x:c r="L1476" s="26" t="n">
        <x:v>857.72</x:v>
      </x:c>
      <x:c r="M1476" t="n">
        <x:v>0</x:v>
      </x:c>
      <x:c r="N1476" s="26" t="n">
        <x:v>0</x:v>
      </x:c>
      <x:c r="O1476" s="26" t="n">
        <x:v>124.45</x:v>
      </x:c>
      <x:c r="P1476" s="26" t="n">
        <x:v>30.27</x:v>
      </x:c>
      <x:c r="Q1476" s="26" t="n">
        <x:v>57.18</x:v>
      </x:c>
      <x:c r="R1476" s="26" t="n">
        <x:v>70.64</x:v>
      </x:c>
      <x:c r="S1476" s="26" t="n">
        <x:v>575.18</x:v>
      </x:c>
    </x:row>
    <x:row r="1477">
      <x:c r="A1477" t="n">
        <x:v>501474</x:v>
      </x:c>
      <x:c r="B1477" s="24" t="n">
        <x:v>45937</x:v>
      </x:c>
      <x:c r="C1477" t="n">
        <x:v>1022</x:v>
      </x:c>
      <x:c r="D1477" t="str">
        <x:v>Seller 1022</x:v>
      </x:c>
      <x:c r="E1477" t="str">
        <x:v>Gold</x:v>
      </x:c>
      <x:c r="F1477" t="str">
        <x:v>East</x:v>
      </x:c>
      <x:c r="G1477" t="str">
        <x:v>Apparel</x:v>
      </x:c>
      <x:c r="H1477" t="n">
        <x:v>3</x:v>
      </x:c>
      <x:c r="I1477" s="26" t="n">
        <x:v>1864.2</x:v>
      </x:c>
      <x:c r="J1477" s="26" t="n">
        <x:v>8677.2</x:v>
      </x:c>
      <x:c r="K1477" s="28" t="n">
        <x:v>0.1083</x:v>
      </x:c>
      <x:c r="L1477" s="26" t="n">
        <x:v>939.74</x:v>
      </x:c>
      <x:c r="M1477" t="n">
        <x:v>0</x:v>
      </x:c>
      <x:c r="N1477" s="26" t="n">
        <x:v>0</x:v>
      </x:c>
      <x:c r="O1477" s="26" t="n">
        <x:v>160.53</x:v>
      </x:c>
      <x:c r="P1477" s="26" t="n">
        <x:v>39.05</x:v>
      </x:c>
      <x:c r="Q1477" s="26" t="n">
        <x:v>73.76</x:v>
      </x:c>
      <x:c r="R1477" s="26" t="n">
        <x:v>91.11</x:v>
      </x:c>
      <x:c r="S1477" s="26" t="n">
        <x:v>575.3</x:v>
      </x:c>
    </x:row>
    <x:row r="1478">
      <x:c r="A1478" t="n">
        <x:v>501475</x:v>
      </x:c>
      <x:c r="B1478" s="24" t="n">
        <x:v>45942</x:v>
      </x:c>
      <x:c r="C1478" t="n">
        <x:v>1027</x:v>
      </x:c>
      <x:c r="D1478" t="str">
        <x:v>Seller 1027</x:v>
      </x:c>
      <x:c r="E1478" t="str">
        <x:v>Gold</x:v>
      </x:c>
      <x:c r="F1478" t="str">
        <x:v>West</x:v>
      </x:c>
      <x:c r="G1478" t="str">
        <x:v>Apparel</x:v>
      </x:c>
      <x:c r="H1478" t="n">
        <x:v>2</x:v>
      </x:c>
      <x:c r="I1478" s="26" t="n">
        <x:v>2444.4</x:v>
      </x:c>
      <x:c r="J1478" s="26" t="n">
        <x:v>7584.6</x:v>
      </x:c>
      <x:c r="K1478" s="28" t="n">
        <x:v>0.1269</x:v>
      </x:c>
      <x:c r="L1478" s="26" t="n">
        <x:v>962.49</x:v>
      </x:c>
      <x:c r="M1478" t="n">
        <x:v>0</x:v>
      </x:c>
      <x:c r="N1478" s="26" t="n">
        <x:v>0</x:v>
      </x:c>
      <x:c r="O1478" s="26" t="n">
        <x:v>140.32</x:v>
      </x:c>
      <x:c r="P1478" s="26" t="n">
        <x:v>34.13</x:v>
      </x:c>
      <x:c r="Q1478" s="26" t="n">
        <x:v>64.47</x:v>
      </x:c>
      <x:c r="R1478" s="26" t="n">
        <x:v>79.64</x:v>
      </x:c>
      <x:c r="S1478" s="26" t="n">
        <x:v>643.93</x:v>
      </x:c>
    </x:row>
    <x:row r="1479">
      <x:c r="A1479" t="n">
        <x:v>501476</x:v>
      </x:c>
      <x:c r="B1479" s="24" t="n">
        <x:v>45934</x:v>
      </x:c>
      <x:c r="C1479" t="n">
        <x:v>1073</x:v>
      </x:c>
      <x:c r="D1479" t="str">
        <x:v>Seller 1073</x:v>
      </x:c>
      <x:c r="E1479" t="str">
        <x:v>Bronze</x:v>
      </x:c>
      <x:c r="F1479" t="str">
        <x:v>Central</x:v>
      </x:c>
      <x:c r="G1479" t="str">
        <x:v>Electronics</x:v>
      </x:c>
      <x:c r="H1479" t="n">
        <x:v>3</x:v>
      </x:c>
      <x:c r="I1479" s="26" t="n">
        <x:v>1763.4</x:v>
      </x:c>
      <x:c r="J1479" s="26" t="n">
        <x:v>4425</x:v>
      </x:c>
      <x:c r="K1479" s="28" t="n">
        <x:v>0.1318</x:v>
      </x:c>
      <x:c r="L1479" s="26" t="n">
        <x:v>583.22</x:v>
      </x:c>
      <x:c r="M1479" t="n">
        <x:v>0</x:v>
      </x:c>
      <x:c r="N1479" s="26" t="n">
        <x:v>0</x:v>
      </x:c>
      <x:c r="O1479" s="26" t="n">
        <x:v>81.86</x:v>
      </x:c>
      <x:c r="P1479" s="26" t="n">
        <x:v>19.91</x:v>
      </x:c>
      <x:c r="Q1479" s="26" t="n">
        <x:v>37.61</x:v>
      </x:c>
      <x:c r="R1479" s="26" t="n">
        <x:v>46.46</x:v>
      </x:c>
      <x:c r="S1479" s="26" t="n">
        <x:v>397.37</x:v>
      </x:c>
    </x:row>
    <x:row r="1480">
      <x:c r="A1480" t="n">
        <x:v>501477</x:v>
      </x:c>
      <x:c r="B1480" s="24" t="n">
        <x:v>45945</x:v>
      </x:c>
      <x:c r="C1480" t="n">
        <x:v>1047</x:v>
      </x:c>
      <x:c r="D1480" t="str">
        <x:v>Seller 1047</x:v>
      </x:c>
      <x:c r="E1480" t="str">
        <x:v>Silver</x:v>
      </x:c>
      <x:c r="F1480" t="str">
        <x:v>East</x:v>
      </x:c>
      <x:c r="G1480" t="str">
        <x:v>Sports</x:v>
      </x:c>
      <x:c r="H1480" t="n">
        <x:v>2</x:v>
      </x:c>
      <x:c r="I1480" s="26" t="n">
        <x:v>2379</x:v>
      </x:c>
      <x:c r="J1480" s="26" t="n">
        <x:v>5648.4</x:v>
      </x:c>
      <x:c r="K1480" s="28" t="n">
        <x:v>0.1239</x:v>
      </x:c>
      <x:c r="L1480" s="26" t="n">
        <x:v>699.84</x:v>
      </x:c>
      <x:c r="M1480" t="n">
        <x:v>0</x:v>
      </x:c>
      <x:c r="N1480" s="26" t="n">
        <x:v>0</x:v>
      </x:c>
      <x:c r="O1480" s="26" t="n">
        <x:v>104.5</x:v>
      </x:c>
      <x:c r="P1480" s="26" t="n">
        <x:v>25.42</x:v>
      </x:c>
      <x:c r="Q1480" s="26" t="n">
        <x:v>48.01</x:v>
      </x:c>
      <x:c r="R1480" s="26" t="n">
        <x:v>59.31</x:v>
      </x:c>
      <x:c r="S1480" s="26" t="n">
        <x:v>462.6</x:v>
      </x:c>
    </x:row>
    <x:row r="1481">
      <x:c r="A1481" t="n">
        <x:v>501478</x:v>
      </x:c>
      <x:c r="B1481" s="24" t="n">
        <x:v>45957</x:v>
      </x:c>
      <x:c r="C1481" t="n">
        <x:v>1069</x:v>
      </x:c>
      <x:c r="D1481" t="str">
        <x:v>Seller 1069</x:v>
      </x:c>
      <x:c r="E1481" t="str">
        <x:v>Bronze</x:v>
      </x:c>
      <x:c r="F1481" t="str">
        <x:v>East</x:v>
      </x:c>
      <x:c r="G1481" t="str">
        <x:v>Electronics</x:v>
      </x:c>
      <x:c r="H1481" t="n">
        <x:v>1</x:v>
      </x:c>
      <x:c r="I1481" s="26" t="n">
        <x:v>8978.4</x:v>
      </x:c>
      <x:c r="J1481" s="26" t="n">
        <x:v>7509</x:v>
      </x:c>
      <x:c r="K1481" s="28" t="n">
        <x:v>0.1189</x:v>
      </x:c>
      <x:c r="L1481" s="26" t="n">
        <x:v>892.82</x:v>
      </x:c>
      <x:c r="M1481" t="n">
        <x:v>0</x:v>
      </x:c>
      <x:c r="N1481" s="26" t="n">
        <x:v>0</x:v>
      </x:c>
      <x:c r="O1481" s="26" t="n">
        <x:v>138.92</x:v>
      </x:c>
      <x:c r="P1481" s="26" t="n">
        <x:v>33.79</x:v>
      </x:c>
      <x:c r="Q1481" s="26" t="n">
        <x:v>63.83</x:v>
      </x:c>
      <x:c r="R1481" s="26" t="n">
        <x:v>78.84</x:v>
      </x:c>
      <x:c r="S1481" s="26" t="n">
        <x:v>577.44</x:v>
      </x:c>
    </x:row>
    <x:row r="1482">
      <x:c r="A1482" t="n">
        <x:v>501479</x:v>
      </x:c>
      <x:c r="B1482" s="24" t="n">
        <x:v>45951</x:v>
      </x:c>
      <x:c r="C1482" t="n">
        <x:v>1032</x:v>
      </x:c>
      <x:c r="D1482" t="str">
        <x:v>Seller 1032</x:v>
      </x:c>
      <x:c r="E1482" t="str">
        <x:v>Silver</x:v>
      </x:c>
      <x:c r="F1482" t="str">
        <x:v>West</x:v>
      </x:c>
      <x:c r="G1482" t="str">
        <x:v>Pet Supplies</x:v>
      </x:c>
      <x:c r="H1482" t="n">
        <x:v>2</x:v>
      </x:c>
      <x:c r="I1482" s="26" t="n">
        <x:v>1407</x:v>
      </x:c>
      <x:c r="J1482" s="26" t="n">
        <x:v>3340.8</x:v>
      </x:c>
      <x:c r="K1482" s="28" t="n">
        <x:v>0.1435</x:v>
      </x:c>
      <x:c r="L1482" s="26" t="n">
        <x:v>479.4</x:v>
      </x:c>
      <x:c r="M1482" t="n">
        <x:v>0</x:v>
      </x:c>
      <x:c r="N1482" s="26" t="n">
        <x:v>0</x:v>
      </x:c>
      <x:c r="O1482" s="26" t="n">
        <x:v>61.8</x:v>
      </x:c>
      <x:c r="P1482" s="26" t="n">
        <x:v>15.03</x:v>
      </x:c>
      <x:c r="Q1482" s="26" t="n">
        <x:v>28.4</x:v>
      </x:c>
      <x:c r="R1482" s="26" t="n">
        <x:v>35.08</x:v>
      </x:c>
      <x:c r="S1482" s="26" t="n">
        <x:v>339.09</x:v>
      </x:c>
    </x:row>
    <x:row r="1483">
      <x:c r="A1483" t="n">
        <x:v>501480</x:v>
      </x:c>
      <x:c r="B1483" s="24" t="n">
        <x:v>45935</x:v>
      </x:c>
      <x:c r="C1483" t="n">
        <x:v>1025</x:v>
      </x:c>
      <x:c r="D1483" t="str">
        <x:v>Seller 1025</x:v>
      </x:c>
      <x:c r="E1483" t="str">
        <x:v>Gold</x:v>
      </x:c>
      <x:c r="F1483" t="str">
        <x:v>Central</x:v>
      </x:c>
      <x:c r="G1483" t="str">
        <x:v>Pet Supplies</x:v>
      </x:c>
      <x:c r="H1483" t="n">
        <x:v>4</x:v>
      </x:c>
      <x:c r="I1483" s="26" t="n">
        <x:v>510.59999999999997</x:v>
      </x:c>
      <x:c r="J1483" s="26" t="n">
        <x:v>3170.4</x:v>
      </x:c>
      <x:c r="K1483" s="28" t="n">
        <x:v>0.1232</x:v>
      </x:c>
      <x:c r="L1483" s="26" t="n">
        <x:v>390.59</x:v>
      </x:c>
      <x:c r="M1483" t="n">
        <x:v>0</x:v>
      </x:c>
      <x:c r="N1483" s="26" t="n">
        <x:v>0</x:v>
      </x:c>
      <x:c r="O1483" s="26" t="n">
        <x:v>58.65</x:v>
      </x:c>
      <x:c r="P1483" s="26" t="n">
        <x:v>14.27</x:v>
      </x:c>
      <x:c r="Q1483" s="26" t="n">
        <x:v>26.95</x:v>
      </x:c>
      <x:c r="R1483" s="26" t="n">
        <x:v>33.29</x:v>
      </x:c>
      <x:c r="S1483" s="26" t="n">
        <x:v>257.44</x:v>
      </x:c>
    </x:row>
    <x:row r="1484">
      <x:c r="A1484" t="n">
        <x:v>501481</x:v>
      </x:c>
      <x:c r="B1484" s="24" t="n">
        <x:v>45934</x:v>
      </x:c>
      <x:c r="C1484" t="n">
        <x:v>1075</x:v>
      </x:c>
      <x:c r="D1484" t="str">
        <x:v>Seller 1075</x:v>
      </x:c>
      <x:c r="E1484" t="str">
        <x:v>Bronze</x:v>
      </x:c>
      <x:c r="F1484" t="str">
        <x:v>East</x:v>
      </x:c>
      <x:c r="G1484" t="str">
        <x:v>Apparel</x:v>
      </x:c>
      <x:c r="H1484" t="n">
        <x:v>1</x:v>
      </x:c>
      <x:c r="I1484" s="26" t="n">
        <x:v>3924.6</x:v>
      </x:c>
      <x:c r="J1484" s="26" t="n">
        <x:v>3282.6</x:v>
      </x:c>
      <x:c r="K1484" s="28" t="n">
        <x:v>0.1268</x:v>
      </x:c>
      <x:c r="L1484" s="26" t="n">
        <x:v>416.23</x:v>
      </x:c>
      <x:c r="M1484" t="n">
        <x:v>0</x:v>
      </x:c>
      <x:c r="N1484" s="26" t="n">
        <x:v>0</x:v>
      </x:c>
      <x:c r="O1484" s="26" t="n">
        <x:v>60.73</x:v>
      </x:c>
      <x:c r="P1484" s="26" t="n">
        <x:v>14.77</x:v>
      </x:c>
      <x:c r="Q1484" s="26" t="n">
        <x:v>27.9</x:v>
      </x:c>
      <x:c r="R1484" s="26" t="n">
        <x:v>34.47</x:v>
      </x:c>
      <x:c r="S1484" s="26" t="n">
        <x:v>278.36</x:v>
      </x:c>
    </x:row>
    <x:row r="1485">
      <x:c r="A1485" t="n">
        <x:v>501482</x:v>
      </x:c>
      <x:c r="B1485" s="24" t="n">
        <x:v>45946</x:v>
      </x:c>
      <x:c r="C1485" t="n">
        <x:v>1062</x:v>
      </x:c>
      <x:c r="D1485" t="str">
        <x:v>Seller 1062</x:v>
      </x:c>
      <x:c r="E1485" t="str">
        <x:v>Bronze</x:v>
      </x:c>
      <x:c r="F1485" t="str">
        <x:v>West</x:v>
      </x:c>
      <x:c r="G1485" t="str">
        <x:v>Electronics</x:v>
      </x:c>
      <x:c r="H1485" t="n">
        <x:v>3</x:v>
      </x:c>
      <x:c r="I1485" s="26" t="n">
        <x:v>3130.8</x:v>
      </x:c>
      <x:c r="J1485" s="26" t="n">
        <x:v>7855.8</x:v>
      </x:c>
      <x:c r="K1485" s="28" t="n">
        <x:v>0.126</x:v>
      </x:c>
      <x:c r="L1485" s="26" t="n">
        <x:v>989.83</x:v>
      </x:c>
      <x:c r="M1485" t="n">
        <x:v>0</x:v>
      </x:c>
      <x:c r="N1485" s="26" t="n">
        <x:v>0</x:v>
      </x:c>
      <x:c r="O1485" s="26" t="n">
        <x:v>145.33</x:v>
      </x:c>
      <x:c r="P1485" s="26" t="n">
        <x:v>35.35</x:v>
      </x:c>
      <x:c r="Q1485" s="26" t="n">
        <x:v>66.77</x:v>
      </x:c>
      <x:c r="R1485" s="26" t="n">
        <x:v>82.49</x:v>
      </x:c>
      <x:c r="S1485" s="26" t="n">
        <x:v>659.89</x:v>
      </x:c>
    </x:row>
    <x:row r="1486">
      <x:c r="A1486" t="n">
        <x:v>501483</x:v>
      </x:c>
      <x:c r="B1486" s="24" t="n">
        <x:v>45953</x:v>
      </x:c>
      <x:c r="C1486" t="n">
        <x:v>1002</x:v>
      </x:c>
      <x:c r="D1486" t="str">
        <x:v>Seller 1002</x:v>
      </x:c>
      <x:c r="E1486" t="str">
        <x:v>Platinum</x:v>
      </x:c>
      <x:c r="F1486" t="str">
        <x:v>Central</x:v>
      </x:c>
      <x:c r="G1486" t="str">
        <x:v>Home &amp; Kitchen</x:v>
      </x:c>
      <x:c r="H1486" t="n">
        <x:v>2</x:v>
      </x:c>
      <x:c r="I1486" s="26" t="n">
        <x:v>2313.6000000000004</x:v>
      </x:c>
      <x:c r="J1486" s="26" t="n">
        <x:v>9673.8</x:v>
      </x:c>
      <x:c r="K1486" s="28" t="n">
        <x:v>0.1443</x:v>
      </x:c>
      <x:c r="L1486" s="26" t="n">
        <x:v>1395.93</x:v>
      </x:c>
      <x:c r="M1486" t="n">
        <x:v>0</x:v>
      </x:c>
      <x:c r="N1486" s="26" t="n">
        <x:v>0</x:v>
      </x:c>
      <x:c r="O1486" s="26" t="n">
        <x:v>178.97</x:v>
      </x:c>
      <x:c r="P1486" s="26" t="n">
        <x:v>43.53</x:v>
      </x:c>
      <x:c r="Q1486" s="26" t="n">
        <x:v>82.23</x:v>
      </x:c>
      <x:c r="R1486" s="26" t="n">
        <x:v>101.57</x:v>
      </x:c>
      <x:c r="S1486" s="26" t="n">
        <x:v>989.63</x:v>
      </x:c>
    </x:row>
    <x:row r="1487">
      <x:c r="A1487" t="n">
        <x:v>501484</x:v>
      </x:c>
      <x:c r="B1487" s="24" t="n">
        <x:v>45943</x:v>
      </x:c>
      <x:c r="C1487" t="n">
        <x:v>1079</x:v>
      </x:c>
      <x:c r="D1487" t="str">
        <x:v>Seller 1079</x:v>
      </x:c>
      <x:c r="E1487" t="str">
        <x:v>Bronze</x:v>
      </x:c>
      <x:c r="F1487" t="str">
        <x:v>South</x:v>
      </x:c>
      <x:c r="G1487" t="str">
        <x:v>Electronics</x:v>
      </x:c>
      <x:c r="H1487" t="n">
        <x:v>2</x:v>
      </x:c>
      <x:c r="I1487" s="26" t="n">
        <x:v>5061.6</x:v>
      </x:c>
      <x:c r="J1487" s="26" t="n">
        <x:v>8466.6</x:v>
      </x:c>
      <x:c r="K1487" s="28" t="n">
        <x:v>0.1195</x:v>
      </x:c>
      <x:c r="L1487" s="26" t="n">
        <x:v>1011.76</x:v>
      </x:c>
      <x:c r="M1487" t="n">
        <x:v>0</x:v>
      </x:c>
      <x:c r="N1487" s="26" t="n">
        <x:v>0</x:v>
      </x:c>
      <x:c r="O1487" s="26" t="n">
        <x:v>156.63</x:v>
      </x:c>
      <x:c r="P1487" s="26" t="n">
        <x:v>38.1</x:v>
      </x:c>
      <x:c r="Q1487" s="26" t="n">
        <x:v>71.97</x:v>
      </x:c>
      <x:c r="R1487" s="26" t="n">
        <x:v>88.9</x:v>
      </x:c>
      <x:c r="S1487" s="26" t="n">
        <x:v>656.16</x:v>
      </x:c>
    </x:row>
    <x:row r="1488">
      <x:c r="A1488" t="n">
        <x:v>501485</x:v>
      </x:c>
      <x:c r="B1488" s="24" t="n">
        <x:v>45944</x:v>
      </x:c>
      <x:c r="C1488" t="n">
        <x:v>1066</x:v>
      </x:c>
      <x:c r="D1488" t="str">
        <x:v>Seller 1066</x:v>
      </x:c>
      <x:c r="E1488" t="str">
        <x:v>Bronze</x:v>
      </x:c>
      <x:c r="F1488" t="str">
        <x:v>South</x:v>
      </x:c>
      <x:c r="G1488" t="str">
        <x:v>Home &amp; Kitchen</x:v>
      </x:c>
      <x:c r="H1488" t="n">
        <x:v>2</x:v>
      </x:c>
      <x:c r="I1488" s="26" t="n">
        <x:v>2215.8</x:v>
      </x:c>
      <x:c r="J1488" s="26" t="n">
        <x:v>3706.8</x:v>
      </x:c>
      <x:c r="K1488" s="28" t="n">
        <x:v>0.1358</x:v>
      </x:c>
      <x:c r="L1488" s="26" t="n">
        <x:v>503.38</x:v>
      </x:c>
      <x:c r="M1488" t="n">
        <x:v>0</x:v>
      </x:c>
      <x:c r="N1488" s="26" t="n">
        <x:v>0</x:v>
      </x:c>
      <x:c r="O1488" s="26" t="n">
        <x:v>68.58</x:v>
      </x:c>
      <x:c r="P1488" s="26" t="n">
        <x:v>16.68</x:v>
      </x:c>
      <x:c r="Q1488" s="26" t="n">
        <x:v>31.51</x:v>
      </x:c>
      <x:c r="R1488" s="26" t="n">
        <x:v>38.92</x:v>
      </x:c>
      <x:c r="S1488" s="26" t="n">
        <x:v>347.7</x:v>
      </x:c>
    </x:row>
    <x:row r="1489">
      <x:c r="A1489" t="n">
        <x:v>501486</x:v>
      </x:c>
      <x:c r="B1489" s="24" t="n">
        <x:v>45944</x:v>
      </x:c>
      <x:c r="C1489" t="n">
        <x:v>1040</x:v>
      </x:c>
      <x:c r="D1489" t="str">
        <x:v>Seller 1040</x:v>
      </x:c>
      <x:c r="E1489" t="str">
        <x:v>Silver</x:v>
      </x:c>
      <x:c r="F1489" t="str">
        <x:v>West</x:v>
      </x:c>
      <x:c r="G1489" t="str">
        <x:v>Pet Supplies</x:v>
      </x:c>
      <x:c r="H1489" t="n">
        <x:v>3</x:v>
      </x:c>
      <x:c r="I1489" s="26" t="n">
        <x:v>1310.4</x:v>
      </x:c>
      <x:c r="J1489" s="26" t="n">
        <x:v>4666.8</x:v>
      </x:c>
      <x:c r="K1489" s="28" t="n">
        <x:v>0.1244</x:v>
      </x:c>
      <x:c r="L1489" s="26" t="n">
        <x:v>580.55</x:v>
      </x:c>
      <x:c r="M1489" t="n">
        <x:v>0</x:v>
      </x:c>
      <x:c r="N1489" s="26" t="n">
        <x:v>0</x:v>
      </x:c>
      <x:c r="O1489" s="26" t="n">
        <x:v>86.34</x:v>
      </x:c>
      <x:c r="P1489" s="26" t="n">
        <x:v>21</x:v>
      </x:c>
      <x:c r="Q1489" s="26" t="n">
        <x:v>39.67</x:v>
      </x:c>
      <x:c r="R1489" s="26" t="n">
        <x:v>49</x:v>
      </x:c>
      <x:c r="S1489" s="26" t="n">
        <x:v>384.54</x:v>
      </x:c>
    </x:row>
    <x:row r="1490">
      <x:c r="A1490" t="n">
        <x:v>501487</x:v>
      </x:c>
      <x:c r="B1490" s="24" t="n">
        <x:v>45938</x:v>
      </x:c>
      <x:c r="C1490" t="n">
        <x:v>1061</x:v>
      </x:c>
      <x:c r="D1490" t="str">
        <x:v>Seller 1061</x:v>
      </x:c>
      <x:c r="E1490" t="str">
        <x:v>Bronze</x:v>
      </x:c>
      <x:c r="F1490" t="str">
        <x:v>Central</x:v>
      </x:c>
      <x:c r="G1490" t="str">
        <x:v>Electronics</x:v>
      </x:c>
      <x:c r="H1490" t="n">
        <x:v>3</x:v>
      </x:c>
      <x:c r="I1490" s="26" t="n">
        <x:v>3960.6000000000004</x:v>
      </x:c>
      <x:c r="J1490" s="26" t="n">
        <x:v>9937.8</x:v>
      </x:c>
      <x:c r="K1490" s="28" t="n">
        <x:v>0.1292</x:v>
      </x:c>
      <x:c r="L1490" s="26" t="n">
        <x:v>1283.96</x:v>
      </x:c>
      <x:c r="M1490" t="n">
        <x:v>0</x:v>
      </x:c>
      <x:c r="N1490" s="26" t="n">
        <x:v>0</x:v>
      </x:c>
      <x:c r="O1490" s="26" t="n">
        <x:v>183.85</x:v>
      </x:c>
      <x:c r="P1490" s="26" t="n">
        <x:v>44.72</x:v>
      </x:c>
      <x:c r="Q1490" s="26" t="n">
        <x:v>84.47</x:v>
      </x:c>
      <x:c r="R1490" s="26" t="n">
        <x:v>104.35</x:v>
      </x:c>
      <x:c r="S1490" s="26" t="n">
        <x:v>866.58</x:v>
      </x:c>
    </x:row>
    <x:row r="1491">
      <x:c r="A1491" t="n">
        <x:v>501488</x:v>
      </x:c>
      <x:c r="B1491" s="24" t="n">
        <x:v>45944</x:v>
      </x:c>
      <x:c r="C1491" t="n">
        <x:v>1069</x:v>
      </x:c>
      <x:c r="D1491" t="str">
        <x:v>Seller 1069</x:v>
      </x:c>
      <x:c r="E1491" t="str">
        <x:v>Bronze</x:v>
      </x:c>
      <x:c r="F1491" t="str">
        <x:v>East</x:v>
      </x:c>
      <x:c r="G1491" t="str">
        <x:v>Home &amp; Kitchen</x:v>
      </x:c>
      <x:c r="H1491" t="n">
        <x:v>2</x:v>
      </x:c>
      <x:c r="I1491" s="26" t="n">
        <x:v>1803</x:v>
      </x:c>
      <x:c r="J1491" s="26" t="n">
        <x:v>3016.2</x:v>
      </x:c>
      <x:c r="K1491" s="28" t="n">
        <x:v>0.1281</x:v>
      </x:c>
      <x:c r="L1491" s="26" t="n">
        <x:v>386.38</x:v>
      </x:c>
      <x:c r="M1491" t="n">
        <x:v>0</x:v>
      </x:c>
      <x:c r="N1491" s="26" t="n">
        <x:v>0</x:v>
      </x:c>
      <x:c r="O1491" s="26" t="n">
        <x:v>55.8</x:v>
      </x:c>
      <x:c r="P1491" s="26" t="n">
        <x:v>13.57</x:v>
      </x:c>
      <x:c r="Q1491" s="26" t="n">
        <x:v>25.64</x:v>
      </x:c>
      <x:c r="R1491" s="26" t="n">
        <x:v>31.67</x:v>
      </x:c>
      <x:c r="S1491" s="26" t="n">
        <x:v>259.69</x:v>
      </x:c>
    </x:row>
    <x:row r="1492">
      <x:c r="A1492" t="n">
        <x:v>501489</x:v>
      </x:c>
      <x:c r="B1492" s="24" t="n">
        <x:v>45952</x:v>
      </x:c>
      <x:c r="C1492" t="n">
        <x:v>1061</x:v>
      </x:c>
      <x:c r="D1492" t="str">
        <x:v>Seller 1061</x:v>
      </x:c>
      <x:c r="E1492" t="str">
        <x:v>Bronze</x:v>
      </x:c>
      <x:c r="F1492" t="str">
        <x:v>Central</x:v>
      </x:c>
      <x:c r="G1492" t="str">
        <x:v>Electronics</x:v>
      </x:c>
      <x:c r="H1492" t="n">
        <x:v>2</x:v>
      </x:c>
      <x:c r="I1492" s="26" t="n">
        <x:v>5257.799999999999</x:v>
      </x:c>
      <x:c r="J1492" s="26" t="n">
        <x:v>8794.2</x:v>
      </x:c>
      <x:c r="K1492" s="28" t="n">
        <x:v>0.1267</x:v>
      </x:c>
      <x:c r="L1492" s="26" t="n">
        <x:v>1114.23</x:v>
      </x:c>
      <x:c r="M1492" t="n">
        <x:v>0</x:v>
      </x:c>
      <x:c r="N1492" s="26" t="n">
        <x:v>0</x:v>
      </x:c>
      <x:c r="O1492" s="26" t="n">
        <x:v>162.69</x:v>
      </x:c>
      <x:c r="P1492" s="26" t="n">
        <x:v>39.57</x:v>
      </x:c>
      <x:c r="Q1492" s="26" t="n">
        <x:v>74.75</x:v>
      </x:c>
      <x:c r="R1492" s="26" t="n">
        <x:v>92.34</x:v>
      </x:c>
      <x:c r="S1492" s="26" t="n">
        <x:v>744.87</x:v>
      </x:c>
    </x:row>
    <x:row r="1493">
      <x:c r="A1493" t="n">
        <x:v>501490</x:v>
      </x:c>
      <x:c r="B1493" s="24" t="n">
        <x:v>45953</x:v>
      </x:c>
      <x:c r="C1493" t="n">
        <x:v>1051</x:v>
      </x:c>
      <x:c r="D1493" t="str">
        <x:v>Seller 1051</x:v>
      </x:c>
      <x:c r="E1493" t="str">
        <x:v>Silver</x:v>
      </x:c>
      <x:c r="F1493" t="str">
        <x:v>East</x:v>
      </x:c>
      <x:c r="G1493" t="str">
        <x:v>Home &amp; Kitchen</x:v>
      </x:c>
      <x:c r="H1493" t="n">
        <x:v>2</x:v>
      </x:c>
      <x:c r="I1493" s="26" t="n">
        <x:v>2313</x:v>
      </x:c>
      <x:c r="J1493" s="26" t="n">
        <x:v>5491.8</x:v>
      </x:c>
      <x:c r="K1493" s="28" t="n">
        <x:v>0.146</x:v>
      </x:c>
      <x:c r="L1493" s="26" t="n">
        <x:v>801.8</x:v>
      </x:c>
      <x:c r="M1493" t="n">
        <x:v>0</x:v>
      </x:c>
      <x:c r="N1493" s="26" t="n">
        <x:v>0</x:v>
      </x:c>
      <x:c r="O1493" s="26" t="n">
        <x:v>101.6</x:v>
      </x:c>
      <x:c r="P1493" s="26" t="n">
        <x:v>24.71</x:v>
      </x:c>
      <x:c r="Q1493" s="26" t="n">
        <x:v>46.68</x:v>
      </x:c>
      <x:c r="R1493" s="26" t="n">
        <x:v>57.66</x:v>
      </x:c>
      <x:c r="S1493" s="26" t="n">
        <x:v>571.15</x:v>
      </x:c>
    </x:row>
    <x:row r="1494">
      <x:c r="A1494" t="n">
        <x:v>501491</x:v>
      </x:c>
      <x:c r="B1494" s="24" t="n">
        <x:v>45937</x:v>
      </x:c>
      <x:c r="C1494" t="n">
        <x:v>1054</x:v>
      </x:c>
      <x:c r="D1494" t="str">
        <x:v>Seller 1054</x:v>
      </x:c>
      <x:c r="E1494" t="str">
        <x:v>Silver</x:v>
      </x:c>
      <x:c r="F1494" t="str">
        <x:v>South</x:v>
      </x:c>
      <x:c r="G1494" t="str">
        <x:v>Beauty</x:v>
      </x:c>
      <x:c r="H1494" t="n">
        <x:v>2</x:v>
      </x:c>
      <x:c r="I1494" s="26" t="n">
        <x:v>1483.1999999999998</x:v>
      </x:c>
      <x:c r="J1494" s="26" t="n">
        <x:v>3522</x:v>
      </x:c>
      <x:c r="K1494" s="28" t="n">
        <x:v>0.1554</x:v>
      </x:c>
      <x:c r="L1494" s="26" t="n">
        <x:v>547.32</x:v>
      </x:c>
      <x:c r="M1494" t="n">
        <x:v>0</x:v>
      </x:c>
      <x:c r="N1494" s="26" t="n">
        <x:v>0</x:v>
      </x:c>
      <x:c r="O1494" s="26" t="n">
        <x:v>65.16</x:v>
      </x:c>
      <x:c r="P1494" s="26" t="n">
        <x:v>15.85</x:v>
      </x:c>
      <x:c r="Q1494" s="26" t="n">
        <x:v>29.94</x:v>
      </x:c>
      <x:c r="R1494" s="26" t="n">
        <x:v>36.98</x:v>
      </x:c>
      <x:c r="S1494" s="26" t="n">
        <x:v>399.39</x:v>
      </x:c>
    </x:row>
    <x:row r="1495">
      <x:c r="A1495" t="n">
        <x:v>501492</x:v>
      </x:c>
      <x:c r="B1495" s="24" t="n">
        <x:v>45928</x:v>
      </x:c>
      <x:c r="C1495" t="n">
        <x:v>1043</x:v>
      </x:c>
      <x:c r="D1495" t="str">
        <x:v>Seller 1043</x:v>
      </x:c>
      <x:c r="E1495" t="str">
        <x:v>Silver</x:v>
      </x:c>
      <x:c r="F1495" t="str">
        <x:v>West</x:v>
      </x:c>
      <x:c r="G1495" t="str">
        <x:v>Sports</x:v>
      </x:c>
      <x:c r="H1495" t="n">
        <x:v>2</x:v>
      </x:c>
      <x:c r="I1495" s="26" t="n">
        <x:v>2001</x:v>
      </x:c>
      <x:c r="J1495" s="26" t="n">
        <x:v>4750.8</x:v>
      </x:c>
      <x:c r="K1495" s="28" t="n">
        <x:v>0.1234</x:v>
      </x:c>
      <x:c r="L1495" s="26" t="n">
        <x:v>586.25</x:v>
      </x:c>
      <x:c r="M1495" t="n">
        <x:v>0</x:v>
      </x:c>
      <x:c r="N1495" s="26" t="n">
        <x:v>0</x:v>
      </x:c>
      <x:c r="O1495" s="26" t="n">
        <x:v>87.89</x:v>
      </x:c>
      <x:c r="P1495" s="26" t="n">
        <x:v>21.38</x:v>
      </x:c>
      <x:c r="Q1495" s="26" t="n">
        <x:v>40.38</x:v>
      </x:c>
      <x:c r="R1495" s="26" t="n">
        <x:v>49.88</x:v>
      </x:c>
      <x:c r="S1495" s="26" t="n">
        <x:v>386.72</x:v>
      </x:c>
    </x:row>
    <x:row r="1496">
      <x:c r="A1496" t="n">
        <x:v>501493</x:v>
      </x:c>
      <x:c r="B1496" s="24" t="n">
        <x:v>45954</x:v>
      </x:c>
      <x:c r="C1496" t="n">
        <x:v>1052</x:v>
      </x:c>
      <x:c r="D1496" t="str">
        <x:v>Seller 1052</x:v>
      </x:c>
      <x:c r="E1496" t="str">
        <x:v>Silver</x:v>
      </x:c>
      <x:c r="F1496" t="str">
        <x:v>Central</x:v>
      </x:c>
      <x:c r="G1496" t="str">
        <x:v>Pet Supplies</x:v>
      </x:c>
      <x:c r="H1496" t="n">
        <x:v>1</x:v>
      </x:c>
      <x:c r="I1496" s="26" t="n">
        <x:v>3315</x:v>
      </x:c>
      <x:c r="J1496" s="26" t="n">
        <x:v>3935.4</x:v>
      </x:c>
      <x:c r="K1496" s="28" t="n">
        <x:v>0.1234</x:v>
      </x:c>
      <x:c r="L1496" s="26" t="n">
        <x:v>485.63</x:v>
      </x:c>
      <x:c r="M1496" t="n">
        <x:v>0</x:v>
      </x:c>
      <x:c r="N1496" s="26" t="n">
        <x:v>0</x:v>
      </x:c>
      <x:c r="O1496" s="26" t="n">
        <x:v>72.8</x:v>
      </x:c>
      <x:c r="P1496" s="26" t="n">
        <x:v>17.71</x:v>
      </x:c>
      <x:c r="Q1496" s="26" t="n">
        <x:v>33.45</x:v>
      </x:c>
      <x:c r="R1496" s="26" t="n">
        <x:v>41.32</x:v>
      </x:c>
      <x:c r="S1496" s="26" t="n">
        <x:v>320.34</x:v>
      </x:c>
    </x:row>
    <x:row r="1497">
      <x:c r="A1497" t="n">
        <x:v>501494</x:v>
      </x:c>
      <x:c r="B1497" s="24" t="n">
        <x:v>45938</x:v>
      </x:c>
      <x:c r="C1497" t="n">
        <x:v>1026</x:v>
      </x:c>
      <x:c r="D1497" t="str">
        <x:v>Seller 1026</x:v>
      </x:c>
      <x:c r="E1497" t="str">
        <x:v>Gold</x:v>
      </x:c>
      <x:c r="F1497" t="str">
        <x:v>East</x:v>
      </x:c>
      <x:c r="G1497" t="str">
        <x:v>Home &amp; Kitchen</x:v>
      </x:c>
      <x:c r="H1497" t="n">
        <x:v>2</x:v>
      </x:c>
      <x:c r="I1497" s="26" t="n">
        <x:v>2138.4</x:v>
      </x:c>
      <x:c r="J1497" s="26" t="n">
        <x:v>6634.2</x:v>
      </x:c>
      <x:c r="K1497" s="28" t="n">
        <x:v>0.132</x:v>
      </x:c>
      <x:c r="L1497" s="26" t="n">
        <x:v>875.71</x:v>
      </x:c>
      <x:c r="M1497" t="n">
        <x:v>0</x:v>
      </x:c>
      <x:c r="N1497" s="26" t="n">
        <x:v>0</x:v>
      </x:c>
      <x:c r="O1497" s="26" t="n">
        <x:v>122.73</x:v>
      </x:c>
      <x:c r="P1497" s="26" t="n">
        <x:v>29.85</x:v>
      </x:c>
      <x:c r="Q1497" s="26" t="n">
        <x:v>56.39</x:v>
      </x:c>
      <x:c r="R1497" s="26" t="n">
        <x:v>69.66</x:v>
      </x:c>
      <x:c r="S1497" s="26" t="n">
        <x:v>597.08</x:v>
      </x:c>
    </x:row>
    <x:row r="1498">
      <x:c r="A1498" t="n">
        <x:v>501495</x:v>
      </x:c>
      <x:c r="B1498" s="24" t="n">
        <x:v>45935</x:v>
      </x:c>
      <x:c r="C1498" t="n">
        <x:v>1072</x:v>
      </x:c>
      <x:c r="D1498" t="str">
        <x:v>Seller 1072</x:v>
      </x:c>
      <x:c r="E1498" t="str">
        <x:v>Bronze</x:v>
      </x:c>
      <x:c r="F1498" t="str">
        <x:v>South</x:v>
      </x:c>
      <x:c r="G1498" t="str">
        <x:v>Home &amp; Kitchen</x:v>
      </x:c>
      <x:c r="H1498" t="n">
        <x:v>2</x:v>
      </x:c>
      <x:c r="I1498" s="26" t="n">
        <x:v>2720.4</x:v>
      </x:c>
      <x:c r="J1498" s="26" t="n">
        <x:v>4549.8</x:v>
      </x:c>
      <x:c r="K1498" s="28" t="n">
        <x:v>0.1351</x:v>
      </x:c>
      <x:c r="L1498" s="26" t="n">
        <x:v>614.68</x:v>
      </x:c>
      <x:c r="M1498" t="n">
        <x:v>0</x:v>
      </x:c>
      <x:c r="N1498" s="26" t="n">
        <x:v>0</x:v>
      </x:c>
      <x:c r="O1498" s="26" t="n">
        <x:v>84.17</x:v>
      </x:c>
      <x:c r="P1498" s="26" t="n">
        <x:v>20.47</x:v>
      </x:c>
      <x:c r="Q1498" s="26" t="n">
        <x:v>38.67</x:v>
      </x:c>
      <x:c r="R1498" s="26" t="n">
        <x:v>47.77</x:v>
      </x:c>
      <x:c r="S1498" s="26" t="n">
        <x:v>423.59</x:v>
      </x:c>
    </x:row>
    <x:row r="1499">
      <x:c r="A1499" t="n">
        <x:v>501496</x:v>
      </x:c>
      <x:c r="B1499" s="24" t="n">
        <x:v>45949</x:v>
      </x:c>
      <x:c r="C1499" t="n">
        <x:v>1021</x:v>
      </x:c>
      <x:c r="D1499" t="str">
        <x:v>Seller 1021</x:v>
      </x:c>
      <x:c r="E1499" t="str">
        <x:v>Gold</x:v>
      </x:c>
      <x:c r="F1499" t="str">
        <x:v>Central</x:v>
      </x:c>
      <x:c r="G1499" t="str">
        <x:v>Pet Supplies</x:v>
      </x:c>
      <x:c r="H1499" t="n">
        <x:v>1</x:v>
      </x:c>
      <x:c r="I1499" s="26" t="n">
        <x:v>3171</x:v>
      </x:c>
      <x:c r="J1499" s="26" t="n">
        <x:v>4918.8</x:v>
      </x:c>
      <x:c r="K1499" s="28" t="n">
        <x:v>0.1313</x:v>
      </x:c>
      <x:c r="L1499" s="26" t="n">
        <x:v>645.84</x:v>
      </x:c>
      <x:c r="M1499" t="n">
        <x:v>0</x:v>
      </x:c>
      <x:c r="N1499" s="26" t="n">
        <x:v>0</x:v>
      </x:c>
      <x:c r="O1499" s="26" t="n">
        <x:v>91</x:v>
      </x:c>
      <x:c r="P1499" s="26" t="n">
        <x:v>22.13</x:v>
      </x:c>
      <x:c r="Q1499" s="26" t="n">
        <x:v>41.81</x:v>
      </x:c>
      <x:c r="R1499" s="26" t="n">
        <x:v>51.65</x:v>
      </x:c>
      <x:c r="S1499" s="26" t="n">
        <x:v>439.25</x:v>
      </x:c>
    </x:row>
    <x:row r="1500">
      <x:c r="A1500" t="n">
        <x:v>501497</x:v>
      </x:c>
      <x:c r="B1500" s="24" t="n">
        <x:v>45931</x:v>
      </x:c>
      <x:c r="C1500" t="n">
        <x:v>1050</x:v>
      </x:c>
      <x:c r="D1500" t="str">
        <x:v>Seller 1050</x:v>
      </x:c>
      <x:c r="E1500" t="str">
        <x:v>Silver</x:v>
      </x:c>
      <x:c r="F1500" t="str">
        <x:v>East</x:v>
      </x:c>
      <x:c r="G1500" t="str">
        <x:v>Electronics</x:v>
      </x:c>
      <x:c r="H1500" t="n">
        <x:v>3</x:v>
      </x:c>
      <x:c r="I1500" s="26" t="n">
        <x:v>2464.2</x:v>
      </x:c>
      <x:c r="J1500" s="26" t="n">
        <x:v>8776.2</x:v>
      </x:c>
      <x:c r="K1500" s="28" t="n">
        <x:v>0.1197</x:v>
      </x:c>
      <x:c r="L1500" s="26" t="n">
        <x:v>1050.51</x:v>
      </x:c>
      <x:c r="M1500" t="n">
        <x:v>0</x:v>
      </x:c>
      <x:c r="N1500" s="26" t="n">
        <x:v>0</x:v>
      </x:c>
      <x:c r="O1500" s="26" t="n">
        <x:v>162.36</x:v>
      </x:c>
      <x:c r="P1500" s="26" t="n">
        <x:v>39.49</x:v>
      </x:c>
      <x:c r="Q1500" s="26" t="n">
        <x:v>74.6</x:v>
      </x:c>
      <x:c r="R1500" s="26" t="n">
        <x:v>92.15</x:v>
      </x:c>
      <x:c r="S1500" s="26" t="n">
        <x:v>681.91</x:v>
      </x:c>
    </x:row>
    <x:row r="1501">
      <x:c r="A1501" t="n">
        <x:v>501498</x:v>
      </x:c>
      <x:c r="B1501" s="24" t="n">
        <x:v>45951</x:v>
      </x:c>
      <x:c r="C1501" t="n">
        <x:v>1008</x:v>
      </x:c>
      <x:c r="D1501" t="str">
        <x:v>Seller 1008</x:v>
      </x:c>
      <x:c r="E1501" t="str">
        <x:v>Platinum</x:v>
      </x:c>
      <x:c r="F1501" t="str">
        <x:v>West</x:v>
      </x:c>
      <x:c r="G1501" t="str">
        <x:v>Electronics</x:v>
      </x:c>
      <x:c r="H1501" t="n">
        <x:v>2</x:v>
      </x:c>
      <x:c r="I1501" s="26" t="n">
        <x:v>5009.4</x:v>
      </x:c>
      <x:c r="J1501" s="26" t="n">
        <x:v>20948.4</x:v>
      </x:c>
      <x:c r="K1501" s="28" t="n">
        <x:v>0.1352</x:v>
      </x:c>
      <x:c r="L1501" s="26" t="n">
        <x:v>2832.22</x:v>
      </x:c>
      <x:c r="M1501" t="n">
        <x:v>0</x:v>
      </x:c>
      <x:c r="N1501" s="26" t="n">
        <x:v>0</x:v>
      </x:c>
      <x:c r="O1501" s="26" t="n">
        <x:v>387.55</x:v>
      </x:c>
      <x:c r="P1501" s="26" t="n">
        <x:v>94.27</x:v>
      </x:c>
      <x:c r="Q1501" s="26" t="n">
        <x:v>178.06</x:v>
      </x:c>
      <x:c r="R1501" s="26" t="n">
        <x:v>219.96</x:v>
      </x:c>
      <x:c r="S1501" s="26" t="n">
        <x:v>1952.39</x:v>
      </x:c>
    </x:row>
    <x:row r="1502">
      <x:c r="A1502" t="n">
        <x:v>501499</x:v>
      </x:c>
      <x:c r="B1502" s="24" t="n">
        <x:v>45934</x:v>
      </x:c>
      <x:c r="C1502" t="n">
        <x:v>1010</x:v>
      </x:c>
      <x:c r="D1502" t="str">
        <x:v>Seller 1010</x:v>
      </x:c>
      <x:c r="E1502" t="str">
        <x:v>Platinum</x:v>
      </x:c>
      <x:c r="F1502" t="str">
        <x:v>West</x:v>
      </x:c>
      <x:c r="G1502" t="str">
        <x:v>Home &amp; Kitchen</x:v>
      </x:c>
      <x:c r="H1502" t="n">
        <x:v>2</x:v>
      </x:c>
      <x:c r="I1502" s="26" t="n">
        <x:v>2058.6000000000004</x:v>
      </x:c>
      <x:c r="J1502" s="26" t="n">
        <x:v>8607</x:v>
      </x:c>
      <x:c r="K1502" s="28" t="n">
        <x:v>0.1266</x:v>
      </x:c>
      <x:c r="L1502" s="26" t="n">
        <x:v>1089.65</x:v>
      </x:c>
      <x:c r="M1502" t="n">
        <x:v>0</x:v>
      </x:c>
      <x:c r="N1502" s="26" t="n">
        <x:v>0</x:v>
      </x:c>
      <x:c r="O1502" s="26" t="n">
        <x:v>159.23</x:v>
      </x:c>
      <x:c r="P1502" s="26" t="n">
        <x:v>38.73</x:v>
      </x:c>
      <x:c r="Q1502" s="26" t="n">
        <x:v>73.16</x:v>
      </x:c>
      <x:c r="R1502" s="26" t="n">
        <x:v>90.37</x:v>
      </x:c>
      <x:c r="S1502" s="26" t="n">
        <x:v>728.15</x:v>
      </x:c>
    </x:row>
    <x:row r="1503">
      <x:c r="A1503" t="n">
        <x:v>501500</x:v>
      </x:c>
      <x:c r="B1503" s="24" t="n">
        <x:v>45937</x:v>
      </x:c>
      <x:c r="C1503" t="n">
        <x:v>1072</x:v>
      </x:c>
      <x:c r="D1503" t="str">
        <x:v>Seller 1072</x:v>
      </x:c>
      <x:c r="E1503" t="str">
        <x:v>Bronze</x:v>
      </x:c>
      <x:c r="F1503" t="str">
        <x:v>South</x:v>
      </x:c>
      <x:c r="G1503" t="str">
        <x:v>Home &amp; Kitchen</x:v>
      </x:c>
      <x:c r="H1503" t="n">
        <x:v>2</x:v>
      </x:c>
      <x:c r="I1503" s="26" t="n">
        <x:v>2973</x:v>
      </x:c>
      <x:c r="J1503" s="26" t="n">
        <x:v>4972.8</x:v>
      </x:c>
      <x:c r="K1503" s="28" t="n">
        <x:v>0.1413</x:v>
      </x:c>
      <x:c r="L1503" s="26" t="n">
        <x:v>702.66</x:v>
      </x:c>
      <x:c r="M1503" t="n">
        <x:v>0</x:v>
      </x:c>
      <x:c r="N1503" s="26" t="n">
        <x:v>0</x:v>
      </x:c>
      <x:c r="O1503" s="26" t="n">
        <x:v>92</x:v>
      </x:c>
      <x:c r="P1503" s="26" t="n">
        <x:v>22.38</x:v>
      </x:c>
      <x:c r="Q1503" s="26" t="n">
        <x:v>42.27</x:v>
      </x:c>
      <x:c r="R1503" s="26" t="n">
        <x:v>52.21</x:v>
      </x:c>
      <x:c r="S1503" s="26" t="n">
        <x:v>493.8</x:v>
      </x:c>
    </x:row>
    <x:row r="1504">
      <x:c r="A1504" t="n">
        <x:v>501501</x:v>
      </x:c>
      <x:c r="B1504" s="24" t="n">
        <x:v>45939</x:v>
      </x:c>
      <x:c r="C1504" t="n">
        <x:v>1003</x:v>
      </x:c>
      <x:c r="D1504" t="str">
        <x:v>Seller 1003</x:v>
      </x:c>
      <x:c r="E1504" t="str">
        <x:v>Platinum</x:v>
      </x:c>
      <x:c r="F1504" t="str">
        <x:v>East</x:v>
      </x:c>
      <x:c r="G1504" t="str">
        <x:v>Pet Supplies</x:v>
      </x:c>
      <x:c r="H1504" t="n">
        <x:v>2</x:v>
      </x:c>
      <x:c r="I1504" s="26" t="n">
        <x:v>1059</x:v>
      </x:c>
      <x:c r="J1504" s="26" t="n">
        <x:v>4428.6</x:v>
      </x:c>
      <x:c r="K1504" s="28" t="n">
        <x:v>0.1368</x:v>
      </x:c>
      <x:c r="L1504" s="26" t="n">
        <x:v>605.83</x:v>
      </x:c>
      <x:c r="M1504" t="n">
        <x:v>0</x:v>
      </x:c>
      <x:c r="N1504" s="26" t="n">
        <x:v>0</x:v>
      </x:c>
      <x:c r="O1504" s="26" t="n">
        <x:v>81.93</x:v>
      </x:c>
      <x:c r="P1504" s="26" t="n">
        <x:v>19.93</x:v>
      </x:c>
      <x:c r="Q1504" s="26" t="n">
        <x:v>37.64</x:v>
      </x:c>
      <x:c r="R1504" s="26" t="n">
        <x:v>46.5</x:v>
      </x:c>
      <x:c r="S1504" s="26" t="n">
        <x:v>419.83</x:v>
      </x:c>
    </x:row>
    <x:row r="1505">
      <x:c r="A1505" t="n">
        <x:v>501502</x:v>
      </x:c>
      <x:c r="B1505" s="24" t="n">
        <x:v>45950</x:v>
      </x:c>
      <x:c r="C1505" t="n">
        <x:v>1058</x:v>
      </x:c>
      <x:c r="D1505" t="str">
        <x:v>Seller 1058</x:v>
      </x:c>
      <x:c r="E1505" t="str">
        <x:v>Bronze</x:v>
      </x:c>
      <x:c r="F1505" t="str">
        <x:v>East</x:v>
      </x:c>
      <x:c r="G1505" t="str">
        <x:v>Home &amp; Kitchen</x:v>
      </x:c>
      <x:c r="H1505" t="n">
        <x:v>3</x:v>
      </x:c>
      <x:c r="I1505" s="26" t="n">
        <x:v>2044.8</x:v>
      </x:c>
      <x:c r="J1505" s="26" t="n">
        <x:v>5131.2</x:v>
      </x:c>
      <x:c r="K1505" s="28" t="n">
        <x:v>0.1341</x:v>
      </x:c>
      <x:c r="L1505" s="26" t="n">
        <x:v>688.09</x:v>
      </x:c>
      <x:c r="M1505" t="n">
        <x:v>0</x:v>
      </x:c>
      <x:c r="N1505" s="26" t="n">
        <x:v>0</x:v>
      </x:c>
      <x:c r="O1505" s="26" t="n">
        <x:v>94.93</x:v>
      </x:c>
      <x:c r="P1505" s="26" t="n">
        <x:v>23.09</x:v>
      </x:c>
      <x:c r="Q1505" s="26" t="n">
        <x:v>43.62</x:v>
      </x:c>
      <x:c r="R1505" s="26" t="n">
        <x:v>53.88</x:v>
      </x:c>
      <x:c r="S1505" s="26" t="n">
        <x:v>472.58</x:v>
      </x:c>
    </x:row>
    <x:row r="1506">
      <x:c r="A1506" t="n">
        <x:v>501503</x:v>
      </x:c>
      <x:c r="B1506" s="24" t="n">
        <x:v>45943</x:v>
      </x:c>
      <x:c r="C1506" t="n">
        <x:v>1034</x:v>
      </x:c>
      <x:c r="D1506" t="str">
        <x:v>Seller 1034</x:v>
      </x:c>
      <x:c r="E1506" t="str">
        <x:v>Silver</x:v>
      </x:c>
      <x:c r="F1506" t="str">
        <x:v>Central</x:v>
      </x:c>
      <x:c r="G1506" t="str">
        <x:v>Sports</x:v>
      </x:c>
      <x:c r="H1506" t="n">
        <x:v>2</x:v>
      </x:c>
      <x:c r="I1506" s="26" t="n">
        <x:v>2200.8</x:v>
      </x:c>
      <x:c r="J1506" s="26" t="n">
        <x:v>5225.4</x:v>
      </x:c>
      <x:c r="K1506" s="28" t="n">
        <x:v>0.1189</x:v>
      </x:c>
      <x:c r="L1506" s="26" t="n">
        <x:v>621.3</x:v>
      </x:c>
      <x:c r="M1506" t="n">
        <x:v>0</x:v>
      </x:c>
      <x:c r="N1506" s="26" t="n">
        <x:v>0</x:v>
      </x:c>
      <x:c r="O1506" s="26" t="n">
        <x:v>96.67</x:v>
      </x:c>
      <x:c r="P1506" s="26" t="n">
        <x:v>23.51</x:v>
      </x:c>
      <x:c r="Q1506" s="26" t="n">
        <x:v>44.42</x:v>
      </x:c>
      <x:c r="R1506" s="26" t="n">
        <x:v>54.87</x:v>
      </x:c>
      <x:c r="S1506" s="26" t="n">
        <x:v>401.83</x:v>
      </x:c>
    </x:row>
    <x:row r="1507">
      <x:c r="A1507" t="n">
        <x:v>501504</x:v>
      </x:c>
      <x:c r="B1507" s="24" t="n">
        <x:v>45953</x:v>
      </x:c>
      <x:c r="C1507" t="n">
        <x:v>1007</x:v>
      </x:c>
      <x:c r="D1507" t="str">
        <x:v>Seller 1007</x:v>
      </x:c>
      <x:c r="E1507" t="str">
        <x:v>Platinum</x:v>
      </x:c>
      <x:c r="F1507" t="str">
        <x:v>South</x:v>
      </x:c>
      <x:c r="G1507" t="str">
        <x:v>Electronics</x:v>
      </x:c>
      <x:c r="H1507" t="n">
        <x:v>3</x:v>
      </x:c>
      <x:c r="I1507" s="26" t="n">
        <x:v>2466.6</x:v>
      </x:c>
      <x:c r="J1507" s="26" t="n">
        <x:v>15470.4</x:v>
      </x:c>
      <x:c r="K1507" s="28" t="n">
        <x:v>0.1134</x:v>
      </x:c>
      <x:c r="L1507" s="26" t="n">
        <x:v>1754.34</x:v>
      </x:c>
      <x:c r="M1507" t="n">
        <x:v>1</x:v>
      </x:c>
      <x:c r="N1507" s="26" t="n">
        <x:v>12019.2</x:v>
      </x:c>
      <x:c r="O1507" s="26" t="n">
        <x:v>286.2</x:v>
      </x:c>
      <x:c r="P1507" s="26" t="n">
        <x:v>69.62</x:v>
      </x:c>
      <x:c r="Q1507" s="26" t="n">
        <x:v>131.5</x:v>
      </x:c>
      <x:c r="R1507" s="26" t="n">
        <x:v>162.44</x:v>
      </x:c>
      <x:c r="S1507" s="26" t="n">
        <x:v>864.2</x:v>
      </x:c>
    </x:row>
    <x:row r="1508">
      <x:c r="A1508" t="n">
        <x:v>501505</x:v>
      </x:c>
      <x:c r="B1508" s="24" t="n">
        <x:v>45945</x:v>
      </x:c>
      <x:c r="C1508" t="n">
        <x:v>1042</x:v>
      </x:c>
      <x:c r="D1508" t="str">
        <x:v>Seller 1042</x:v>
      </x:c>
      <x:c r="E1508" t="str">
        <x:v>Silver</x:v>
      </x:c>
      <x:c r="F1508" t="str">
        <x:v>East</x:v>
      </x:c>
      <x:c r="G1508" t="str">
        <x:v>Apparel</x:v>
      </x:c>
      <x:c r="H1508" t="n">
        <x:v>2</x:v>
      </x:c>
      <x:c r="I1508" s="26" t="n">
        <x:v>2191.2000000000003</x:v>
      </x:c>
      <x:c r="J1508" s="26" t="n">
        <x:v>5202</x:v>
      </x:c>
      <x:c r="K1508" s="28" t="n">
        <x:v>0.1096</x:v>
      </x:c>
      <x:c r="L1508" s="26" t="n">
        <x:v>570.14</x:v>
      </x:c>
      <x:c r="M1508" t="n">
        <x:v>0</x:v>
      </x:c>
      <x:c r="N1508" s="26" t="n">
        <x:v>0</x:v>
      </x:c>
      <x:c r="O1508" s="26" t="n">
        <x:v>96.24</x:v>
      </x:c>
      <x:c r="P1508" s="26" t="n">
        <x:v>23.41</x:v>
      </x:c>
      <x:c r="Q1508" s="26" t="n">
        <x:v>44.22</x:v>
      </x:c>
      <x:c r="R1508" s="26" t="n">
        <x:v>54.62</x:v>
      </x:c>
      <x:c r="S1508" s="26" t="n">
        <x:v>351.66</x:v>
      </x:c>
    </x:row>
    <x:row r="1509">
      <x:c r="A1509" t="n">
        <x:v>501506</x:v>
      </x:c>
      <x:c r="B1509" s="24" t="n">
        <x:v>45934</x:v>
      </x:c>
      <x:c r="C1509" t="n">
        <x:v>1015</x:v>
      </x:c>
      <x:c r="D1509" t="str">
        <x:v>Seller 1015</x:v>
      </x:c>
      <x:c r="E1509" t="str">
        <x:v>Gold</x:v>
      </x:c>
      <x:c r="F1509" t="str">
        <x:v>West</x:v>
      </x:c>
      <x:c r="G1509" t="str">
        <x:v>Pet Supplies</x:v>
      </x:c>
      <x:c r="H1509" t="n">
        <x:v>3</x:v>
      </x:c>
      <x:c r="I1509" s="26" t="n">
        <x:v>579</x:v>
      </x:c>
      <x:c r="J1509" s="26" t="n">
        <x:v>2695.8</x:v>
      </x:c>
      <x:c r="K1509" s="28" t="n">
        <x:v>0.1221</x:v>
      </x:c>
      <x:c r="L1509" s="26" t="n">
        <x:v>329.16</x:v>
      </x:c>
      <x:c r="M1509" t="n">
        <x:v>0</x:v>
      </x:c>
      <x:c r="N1509" s="26" t="n">
        <x:v>0</x:v>
      </x:c>
      <x:c r="O1509" s="26" t="n">
        <x:v>49.87</x:v>
      </x:c>
      <x:c r="P1509" s="26" t="n">
        <x:v>12.13</x:v>
      </x:c>
      <x:c r="Q1509" s="26" t="n">
        <x:v>22.91</x:v>
      </x:c>
      <x:c r="R1509" s="26" t="n">
        <x:v>28.31</x:v>
      </x:c>
      <x:c r="S1509" s="26" t="n">
        <x:v>215.93</x:v>
      </x:c>
    </x:row>
    <x:row r="1510">
      <x:c r="A1510" t="n">
        <x:v>501507</x:v>
      </x:c>
      <x:c r="B1510" s="24" t="n">
        <x:v>45938</x:v>
      </x:c>
      <x:c r="C1510" t="n">
        <x:v>1010</x:v>
      </x:c>
      <x:c r="D1510" t="str">
        <x:v>Seller 1010</x:v>
      </x:c>
      <x:c r="E1510" t="str">
        <x:v>Platinum</x:v>
      </x:c>
      <x:c r="F1510" t="str">
        <x:v>West</x:v>
      </x:c>
      <x:c r="G1510" t="str">
        <x:v>Apparel</x:v>
      </x:c>
      <x:c r="H1510" t="n">
        <x:v>3</x:v>
      </x:c>
      <x:c r="I1510" s="26" t="n">
        <x:v>966.5999999999999</x:v>
      </x:c>
      <x:c r="J1510" s="26" t="n">
        <x:v>6064.2</x:v>
      </x:c>
      <x:c r="K1510" s="28" t="n">
        <x:v>0.1293</x:v>
      </x:c>
      <x:c r="L1510" s="26" t="n">
        <x:v>784.1</x:v>
      </x:c>
      <x:c r="M1510" t="n">
        <x:v>0</x:v>
      </x:c>
      <x:c r="N1510" s="26" t="n">
        <x:v>0</x:v>
      </x:c>
      <x:c r="O1510" s="26" t="n">
        <x:v>112.19</x:v>
      </x:c>
      <x:c r="P1510" s="26" t="n">
        <x:v>27.29</x:v>
      </x:c>
      <x:c r="Q1510" s="26" t="n">
        <x:v>51.55</x:v>
      </x:c>
      <x:c r="R1510" s="26" t="n">
        <x:v>63.67</x:v>
      </x:c>
      <x:c r="S1510" s="26" t="n">
        <x:v>529.4</x:v>
      </x:c>
    </x:row>
    <x:row r="1511">
      <x:c r="A1511" t="n">
        <x:v>501508</x:v>
      </x:c>
      <x:c r="B1511" s="24" t="n">
        <x:v>45956</x:v>
      </x:c>
      <x:c r="C1511" t="n">
        <x:v>1010</x:v>
      </x:c>
      <x:c r="D1511" t="str">
        <x:v>Seller 1010</x:v>
      </x:c>
      <x:c r="E1511" t="str">
        <x:v>Platinum</x:v>
      </x:c>
      <x:c r="F1511" t="str">
        <x:v>West</x:v>
      </x:c>
      <x:c r="G1511" t="str">
        <x:v>Home &amp; Kitchen</x:v>
      </x:c>
      <x:c r="H1511" t="n">
        <x:v>1</x:v>
      </x:c>
      <x:c r="I1511" s="26" t="n">
        <x:v>4722.599999999999</x:v>
      </x:c>
      <x:c r="J1511" s="26" t="n">
        <x:v>9874.8</x:v>
      </x:c>
      <x:c r="K1511" s="28" t="n">
        <x:v>0.1417</x:v>
      </x:c>
      <x:c r="L1511" s="26" t="n">
        <x:v>1399.26</x:v>
      </x:c>
      <x:c r="M1511" t="n">
        <x:v>0</x:v>
      </x:c>
      <x:c r="N1511" s="26" t="n">
        <x:v>0</x:v>
      </x:c>
      <x:c r="O1511" s="26" t="n">
        <x:v>182.68</x:v>
      </x:c>
      <x:c r="P1511" s="26" t="n">
        <x:v>44.44</x:v>
      </x:c>
      <x:c r="Q1511" s="26" t="n">
        <x:v>83.94</x:v>
      </x:c>
      <x:c r="R1511" s="26" t="n">
        <x:v>103.69</x:v>
      </x:c>
      <x:c r="S1511" s="26" t="n">
        <x:v>984.52</x:v>
      </x:c>
    </x:row>
    <x:row r="1512">
      <x:c r="A1512" t="n">
        <x:v>501509</x:v>
      </x:c>
      <x:c r="B1512" s="24" t="n">
        <x:v>45932</x:v>
      </x:c>
      <x:c r="C1512" t="n">
        <x:v>1003</x:v>
      </x:c>
      <x:c r="D1512" t="str">
        <x:v>Seller 1003</x:v>
      </x:c>
      <x:c r="E1512" t="str">
        <x:v>Platinum</x:v>
      </x:c>
      <x:c r="F1512" t="str">
        <x:v>East</x:v>
      </x:c>
      <x:c r="G1512" t="str">
        <x:v>Pet Supplies</x:v>
      </x:c>
      <x:c r="H1512" t="n">
        <x:v>2</x:v>
      </x:c>
      <x:c r="I1512" s="26" t="n">
        <x:v>1896</x:v>
      </x:c>
      <x:c r="J1512" s="26" t="n">
        <x:v>7927.8</x:v>
      </x:c>
      <x:c r="K1512" s="28" t="n">
        <x:v>0.1294</x:v>
      </x:c>
      <x:c r="L1512" s="26" t="n">
        <x:v>1025.86</x:v>
      </x:c>
      <x:c r="M1512" t="n">
        <x:v>0</x:v>
      </x:c>
      <x:c r="N1512" s="26" t="n">
        <x:v>0</x:v>
      </x:c>
      <x:c r="O1512" s="26" t="n">
        <x:v>146.66</x:v>
      </x:c>
      <x:c r="P1512" s="26" t="n">
        <x:v>35.68</x:v>
      </x:c>
      <x:c r="Q1512" s="26" t="n">
        <x:v>67.39</x:v>
      </x:c>
      <x:c r="R1512" s="26" t="n">
        <x:v>83.24</x:v>
      </x:c>
      <x:c r="S1512" s="26" t="n">
        <x:v>692.89</x:v>
      </x:c>
    </x:row>
    <x:row r="1513">
      <x:c r="A1513" t="n">
        <x:v>501510</x:v>
      </x:c>
      <x:c r="B1513" s="24" t="n">
        <x:v>45946</x:v>
      </x:c>
      <x:c r="C1513" t="n">
        <x:v>1034</x:v>
      </x:c>
      <x:c r="D1513" t="str">
        <x:v>Seller 1034</x:v>
      </x:c>
      <x:c r="E1513" t="str">
        <x:v>Silver</x:v>
      </x:c>
      <x:c r="F1513" t="str">
        <x:v>Central</x:v>
      </x:c>
      <x:c r="G1513" t="str">
        <x:v>Sports</x:v>
      </x:c>
      <x:c r="H1513" t="n">
        <x:v>2</x:v>
      </x:c>
      <x:c r="I1513" s="26" t="n">
        <x:v>1991.3999999999999</x:v>
      </x:c>
      <x:c r="J1513" s="26" t="n">
        <x:v>4728</x:v>
      </x:c>
      <x:c r="K1513" s="28" t="n">
        <x:v>0.127</x:v>
      </x:c>
      <x:c r="L1513" s="26" t="n">
        <x:v>600.46</x:v>
      </x:c>
      <x:c r="M1513" t="n">
        <x:v>0</x:v>
      </x:c>
      <x:c r="N1513" s="26" t="n">
        <x:v>0</x:v>
      </x:c>
      <x:c r="O1513" s="26" t="n">
        <x:v>87.47</x:v>
      </x:c>
      <x:c r="P1513" s="26" t="n">
        <x:v>21.28</x:v>
      </x:c>
      <x:c r="Q1513" s="26" t="n">
        <x:v>40.19</x:v>
      </x:c>
      <x:c r="R1513" s="26" t="n">
        <x:v>49.64</x:v>
      </x:c>
      <x:c r="S1513" s="26" t="n">
        <x:v>401.88</x:v>
      </x:c>
    </x:row>
    <x:row r="1514">
      <x:c r="A1514" t="n">
        <x:v>501511</x:v>
      </x:c>
      <x:c r="B1514" s="24" t="n">
        <x:v>45928</x:v>
      </x:c>
      <x:c r="C1514" t="n">
        <x:v>1046</x:v>
      </x:c>
      <x:c r="D1514" t="str">
        <x:v>Seller 1046</x:v>
      </x:c>
      <x:c r="E1514" t="str">
        <x:v>Silver</x:v>
      </x:c>
      <x:c r="F1514" t="str">
        <x:v>Central</x:v>
      </x:c>
      <x:c r="G1514" t="str">
        <x:v>Pet Supplies</x:v>
      </x:c>
      <x:c r="H1514" t="n">
        <x:v>2</x:v>
      </x:c>
      <x:c r="I1514" s="26" t="n">
        <x:v>1453.8</x:v>
      </x:c>
      <x:c r="J1514" s="26" t="n">
        <x:v>3451.2</x:v>
      </x:c>
      <x:c r="K1514" s="28" t="n">
        <x:v>0.1386</x:v>
      </x:c>
      <x:c r="L1514" s="26" t="n">
        <x:v>478.34</x:v>
      </x:c>
      <x:c r="M1514" t="n">
        <x:v>0</x:v>
      </x:c>
      <x:c r="N1514" s="26" t="n">
        <x:v>0</x:v>
      </x:c>
      <x:c r="O1514" s="26" t="n">
        <x:v>63.85</x:v>
      </x:c>
      <x:c r="P1514" s="26" t="n">
        <x:v>15.53</x:v>
      </x:c>
      <x:c r="Q1514" s="26" t="n">
        <x:v>29.34</x:v>
      </x:c>
      <x:c r="R1514" s="26" t="n">
        <x:v>36.24</x:v>
      </x:c>
      <x:c r="S1514" s="26" t="n">
        <x:v>333.39</x:v>
      </x:c>
    </x:row>
    <x:row r="1515">
      <x:c r="A1515" t="n">
        <x:v>501512</x:v>
      </x:c>
      <x:c r="B1515" s="24" t="n">
        <x:v>45938</x:v>
      </x:c>
      <x:c r="C1515" t="n">
        <x:v>1069</x:v>
      </x:c>
      <x:c r="D1515" t="str">
        <x:v>Seller 1069</x:v>
      </x:c>
      <x:c r="E1515" t="str">
        <x:v>Bronze</x:v>
      </x:c>
      <x:c r="F1515" t="str">
        <x:v>East</x:v>
      </x:c>
      <x:c r="G1515" t="str">
        <x:v>Electronics</x:v>
      </x:c>
      <x:c r="H1515" t="n">
        <x:v>3</x:v>
      </x:c>
      <x:c r="I1515" s="26" t="n">
        <x:v>1897.8</x:v>
      </x:c>
      <x:c r="J1515" s="26" t="n">
        <x:v>4761.6</x:v>
      </x:c>
      <x:c r="K1515" s="28" t="n">
        <x:v>0.126</x:v>
      </x:c>
      <x:c r="L1515" s="26" t="n">
        <x:v>599.96</x:v>
      </x:c>
      <x:c r="M1515" t="n">
        <x:v>0</x:v>
      </x:c>
      <x:c r="N1515" s="26" t="n">
        <x:v>0</x:v>
      </x:c>
      <x:c r="O1515" s="26" t="n">
        <x:v>88.09</x:v>
      </x:c>
      <x:c r="P1515" s="26" t="n">
        <x:v>21.43</x:v>
      </x:c>
      <x:c r="Q1515" s="26" t="n">
        <x:v>40.47</x:v>
      </x:c>
      <x:c r="R1515" s="26" t="n">
        <x:v>50</x:v>
      </x:c>
      <x:c r="S1515" s="26" t="n">
        <x:v>399.97</x:v>
      </x:c>
    </x:row>
    <x:row r="1516">
      <x:c r="A1516" t="n">
        <x:v>501513</x:v>
      </x:c>
      <x:c r="B1516" s="24" t="n">
        <x:v>45952</x:v>
      </x:c>
      <x:c r="C1516" t="n">
        <x:v>1030</x:v>
      </x:c>
      <x:c r="D1516" t="str">
        <x:v>Seller 1030</x:v>
      </x:c>
      <x:c r="E1516" t="str">
        <x:v>Gold</x:v>
      </x:c>
      <x:c r="F1516" t="str">
        <x:v>South</x:v>
      </x:c>
      <x:c r="G1516" t="str">
        <x:v>Pet Supplies</x:v>
      </x:c>
      <x:c r="H1516" t="n">
        <x:v>2</x:v>
      </x:c>
      <x:c r="I1516" s="26" t="n">
        <x:v>1702.2</x:v>
      </x:c>
      <x:c r="J1516" s="26" t="n">
        <x:v>5281.2</x:v>
      </x:c>
      <x:c r="K1516" s="28" t="n">
        <x:v>0.1438</x:v>
      </x:c>
      <x:c r="L1516" s="26" t="n">
        <x:v>759.44</x:v>
      </x:c>
      <x:c r="M1516" t="n">
        <x:v>0</x:v>
      </x:c>
      <x:c r="N1516" s="26" t="n">
        <x:v>0</x:v>
      </x:c>
      <x:c r="O1516" s="26" t="n">
        <x:v>97.7</x:v>
      </x:c>
      <x:c r="P1516" s="26" t="n">
        <x:v>23.77</x:v>
      </x:c>
      <x:c r="Q1516" s="26" t="n">
        <x:v>44.89</x:v>
      </x:c>
      <x:c r="R1516" s="26" t="n">
        <x:v>55.45</x:v>
      </x:c>
      <x:c r="S1516" s="26" t="n">
        <x:v>537.63</x:v>
      </x:c>
    </x:row>
    <x:row r="1517">
      <x:c r="A1517" t="n">
        <x:v>501514</x:v>
      </x:c>
      <x:c r="B1517" s="24" t="n">
        <x:v>45955</x:v>
      </x:c>
      <x:c r="C1517" t="n">
        <x:v>1046</x:v>
      </x:c>
      <x:c r="D1517" t="str">
        <x:v>Seller 1046</x:v>
      </x:c>
      <x:c r="E1517" t="str">
        <x:v>Silver</x:v>
      </x:c>
      <x:c r="F1517" t="str">
        <x:v>Central</x:v>
      </x:c>
      <x:c r="G1517" t="str">
        <x:v>Sports</x:v>
      </x:c>
      <x:c r="H1517" t="n">
        <x:v>4</x:v>
      </x:c>
      <x:c r="I1517" s="26" t="n">
        <x:v>530.4</x:v>
      </x:c>
      <x:c r="J1517" s="26" t="n">
        <x:v>2517.6</x:v>
      </x:c>
      <x:c r="K1517" s="28" t="n">
        <x:v>0.119</x:v>
      </x:c>
      <x:c r="L1517" s="26" t="n">
        <x:v>299.59</x:v>
      </x:c>
      <x:c r="M1517" t="n">
        <x:v>1</x:v>
      </x:c>
      <x:c r="N1517" s="26" t="n">
        <x:v>2367.6</x:v>
      </x:c>
      <x:c r="O1517" s="26" t="n">
        <x:v>46.58</x:v>
      </x:c>
      <x:c r="P1517" s="26" t="n">
        <x:v>11.33</x:v>
      </x:c>
      <x:c r="Q1517" s="26" t="n">
        <x:v>21.4</x:v>
      </x:c>
      <x:c r="R1517" s="26" t="n">
        <x:v>26.43</x:v>
      </x:c>
      <x:c r="S1517" s="26" t="n">
        <x:v>146.5</x:v>
      </x:c>
    </x:row>
    <x:row r="1518">
      <x:c r="A1518" t="n">
        <x:v>501515</x:v>
      </x:c>
      <x:c r="B1518" s="24" t="n">
        <x:v>45930</x:v>
      </x:c>
      <x:c r="C1518" t="n">
        <x:v>1027</x:v>
      </x:c>
      <x:c r="D1518" t="str">
        <x:v>Seller 1027</x:v>
      </x:c>
      <x:c r="E1518" t="str">
        <x:v>Gold</x:v>
      </x:c>
      <x:c r="F1518" t="str">
        <x:v>West</x:v>
      </x:c>
      <x:c r="G1518" t="str">
        <x:v>Apparel</x:v>
      </x:c>
      <x:c r="H1518" t="n">
        <x:v>1</x:v>
      </x:c>
      <x:c r="I1518" s="26" t="n">
        <x:v>3942</x:v>
      </x:c>
      <x:c r="J1518" s="26" t="n">
        <x:v>6114.6</x:v>
      </x:c>
      <x:c r="K1518" s="28" t="n">
        <x:v>0.1129</x:v>
      </x:c>
      <x:c r="L1518" s="26" t="n">
        <x:v>690.34</x:v>
      </x:c>
      <x:c r="M1518" t="n">
        <x:v>0</x:v>
      </x:c>
      <x:c r="N1518" s="26" t="n">
        <x:v>0</x:v>
      </x:c>
      <x:c r="O1518" s="26" t="n">
        <x:v>113.12</x:v>
      </x:c>
      <x:c r="P1518" s="26" t="n">
        <x:v>27.52</x:v>
      </x:c>
      <x:c r="Q1518" s="26" t="n">
        <x:v>51.97</x:v>
      </x:c>
      <x:c r="R1518" s="26" t="n">
        <x:v>64.2</x:v>
      </x:c>
      <x:c r="S1518" s="26" t="n">
        <x:v>433.53</x:v>
      </x:c>
    </x:row>
    <x:row r="1519">
      <x:c r="A1519" t="n">
        <x:v>501516</x:v>
      </x:c>
      <x:c r="B1519" s="24" t="n">
        <x:v>45951</x:v>
      </x:c>
      <x:c r="C1519" t="n">
        <x:v>1023</x:v>
      </x:c>
      <x:c r="D1519" t="str">
        <x:v>Seller 1023</x:v>
      </x:c>
      <x:c r="E1519" t="str">
        <x:v>Gold</x:v>
      </x:c>
      <x:c r="F1519" t="str">
        <x:v>Central</x:v>
      </x:c>
      <x:c r="G1519" t="str">
        <x:v>Home &amp; Kitchen</x:v>
      </x:c>
      <x:c r="H1519" t="n">
        <x:v>1</x:v>
      </x:c>
      <x:c r="I1519" s="26" t="n">
        <x:v>4695.6</x:v>
      </x:c>
      <x:c r="J1519" s="26" t="n">
        <x:v>7284.6</x:v>
      </x:c>
      <x:c r="K1519" s="28" t="n">
        <x:v>0.1269</x:v>
      </x:c>
      <x:c r="L1519" s="26" t="n">
        <x:v>924.42</x:v>
      </x:c>
      <x:c r="M1519" t="n">
        <x:v>0</x:v>
      </x:c>
      <x:c r="N1519" s="26" t="n">
        <x:v>0</x:v>
      </x:c>
      <x:c r="O1519" s="26" t="n">
        <x:v>134.77</x:v>
      </x:c>
      <x:c r="P1519" s="26" t="n">
        <x:v>32.78</x:v>
      </x:c>
      <x:c r="Q1519" s="26" t="n">
        <x:v>61.92</x:v>
      </x:c>
      <x:c r="R1519" s="26" t="n">
        <x:v>76.49</x:v>
      </x:c>
      <x:c r="S1519" s="26" t="n">
        <x:v>618.46</x:v>
      </x:c>
    </x:row>
    <x:row r="1520">
      <x:c r="A1520" t="n">
        <x:v>501517</x:v>
      </x:c>
      <x:c r="B1520" s="24" t="n">
        <x:v>45943</x:v>
      </x:c>
      <x:c r="C1520" t="n">
        <x:v>1078</x:v>
      </x:c>
      <x:c r="D1520" t="str">
        <x:v>Seller 1078</x:v>
      </x:c>
      <x:c r="E1520" t="str">
        <x:v>Bronze</x:v>
      </x:c>
      <x:c r="F1520" t="str">
        <x:v>East</x:v>
      </x:c>
      <x:c r="G1520" t="str">
        <x:v>Home &amp; Kitchen</x:v>
      </x:c>
      <x:c r="H1520" t="n">
        <x:v>3</x:v>
      </x:c>
      <x:c r="I1520" s="26" t="n">
        <x:v>1628.4</x:v>
      </x:c>
      <x:c r="J1520" s="26" t="n">
        <x:v>4084.8</x:v>
      </x:c>
      <x:c r="K1520" s="28" t="n">
        <x:v>0.128</x:v>
      </x:c>
      <x:c r="L1520" s="26" t="n">
        <x:v>522.85</x:v>
      </x:c>
      <x:c r="M1520" t="n">
        <x:v>0</x:v>
      </x:c>
      <x:c r="N1520" s="26" t="n">
        <x:v>0</x:v>
      </x:c>
      <x:c r="O1520" s="26" t="n">
        <x:v>75.57</x:v>
      </x:c>
      <x:c r="P1520" s="26" t="n">
        <x:v>18.38</x:v>
      </x:c>
      <x:c r="Q1520" s="26" t="n">
        <x:v>34.72</x:v>
      </x:c>
      <x:c r="R1520" s="26" t="n">
        <x:v>42.89</x:v>
      </x:c>
      <x:c r="S1520" s="26" t="n">
        <x:v>351.29</x:v>
      </x:c>
    </x:row>
    <x:row r="1521">
      <x:c r="A1521" t="n">
        <x:v>501518</x:v>
      </x:c>
      <x:c r="B1521" s="24" t="n">
        <x:v>45931</x:v>
      </x:c>
      <x:c r="C1521" t="n">
        <x:v>1033</x:v>
      </x:c>
      <x:c r="D1521" t="str">
        <x:v>Seller 1033</x:v>
      </x:c>
      <x:c r="E1521" t="str">
        <x:v>Silver</x:v>
      </x:c>
      <x:c r="F1521" t="str">
        <x:v>South</x:v>
      </x:c>
      <x:c r="G1521" t="str">
        <x:v>Beauty</x:v>
      </x:c>
      <x:c r="H1521" t="n">
        <x:v>2</x:v>
      </x:c>
      <x:c r="I1521" s="26" t="n">
        <x:v>1306.8000000000002</x:v>
      </x:c>
      <x:c r="J1521" s="26" t="n">
        <x:v>3103.2</x:v>
      </x:c>
      <x:c r="K1521" s="28" t="n">
        <x:v>0.1421</x:v>
      </x:c>
      <x:c r="L1521" s="26" t="n">
        <x:v>440.96</x:v>
      </x:c>
      <x:c r="M1521" t="n">
        <x:v>0</x:v>
      </x:c>
      <x:c r="N1521" s="26" t="n">
        <x:v>0</x:v>
      </x:c>
      <x:c r="O1521" s="26" t="n">
        <x:v>57.41</x:v>
      </x:c>
      <x:c r="P1521" s="26" t="n">
        <x:v>13.96</x:v>
      </x:c>
      <x:c r="Q1521" s="26" t="n">
        <x:v>26.38</x:v>
      </x:c>
      <x:c r="R1521" s="26" t="n">
        <x:v>32.58</x:v>
      </x:c>
      <x:c r="S1521" s="26" t="n">
        <x:v>310.63</x:v>
      </x:c>
    </x:row>
    <x:row r="1522">
      <x:c r="A1522" t="n">
        <x:v>501519</x:v>
      </x:c>
      <x:c r="B1522" s="24" t="n">
        <x:v>45950</x:v>
      </x:c>
      <x:c r="C1522" t="n">
        <x:v>1046</x:v>
      </x:c>
      <x:c r="D1522" t="str">
        <x:v>Seller 1046</x:v>
      </x:c>
      <x:c r="E1522" t="str">
        <x:v>Silver</x:v>
      </x:c>
      <x:c r="F1522" t="str">
        <x:v>Central</x:v>
      </x:c>
      <x:c r="G1522" t="str">
        <x:v>Sports</x:v>
      </x:c>
      <x:c r="H1522" t="n">
        <x:v>2</x:v>
      </x:c>
      <x:c r="I1522" s="26" t="n">
        <x:v>2404.7999999999997</x:v>
      </x:c>
      <x:c r="J1522" s="26" t="n">
        <x:v>5709</x:v>
      </x:c>
      <x:c r="K1522" s="28" t="n">
        <x:v>0.1387</x:v>
      </x:c>
      <x:c r="L1522" s="26" t="n">
        <x:v>791.84</x:v>
      </x:c>
      <x:c r="M1522" t="n">
        <x:v>0</x:v>
      </x:c>
      <x:c r="N1522" s="26" t="n">
        <x:v>0</x:v>
      </x:c>
      <x:c r="O1522" s="26" t="n">
        <x:v>105.62</x:v>
      </x:c>
      <x:c r="P1522" s="26" t="n">
        <x:v>25.69</x:v>
      </x:c>
      <x:c r="Q1522" s="26" t="n">
        <x:v>48.53</x:v>
      </x:c>
      <x:c r="R1522" s="26" t="n">
        <x:v>59.94</x:v>
      </x:c>
      <x:c r="S1522" s="26" t="n">
        <x:v>552.06</x:v>
      </x:c>
    </x:row>
    <x:row r="1523">
      <x:c r="A1523" t="n">
        <x:v>501520</x:v>
      </x:c>
      <x:c r="B1523" s="24" t="n">
        <x:v>45956</x:v>
      </x:c>
      <x:c r="C1523" t="n">
        <x:v>1011</x:v>
      </x:c>
      <x:c r="D1523" t="str">
        <x:v>Seller 1011</x:v>
      </x:c>
      <x:c r="E1523" t="str">
        <x:v>Platinum</x:v>
      </x:c>
      <x:c r="F1523" t="str">
        <x:v>West</x:v>
      </x:c>
      <x:c r="G1523" t="str">
        <x:v>Electronics</x:v>
      </x:c>
      <x:c r="H1523" t="n">
        <x:v>3</x:v>
      </x:c>
      <x:c r="I1523" s="26" t="n">
        <x:v>1578.6</x:v>
      </x:c>
      <x:c r="J1523" s="26" t="n">
        <x:v>9901.2</x:v>
      </x:c>
      <x:c r="K1523" s="28" t="n">
        <x:v>0.1134</x:v>
      </x:c>
      <x:c r="L1523" s="26" t="n">
        <x:v>1122.8</x:v>
      </x:c>
      <x:c r="M1523" t="n">
        <x:v>0</x:v>
      </x:c>
      <x:c r="N1523" s="26" t="n">
        <x:v>0</x:v>
      </x:c>
      <x:c r="O1523" s="26" t="n">
        <x:v>183.17</x:v>
      </x:c>
      <x:c r="P1523" s="26" t="n">
        <x:v>44.56</x:v>
      </x:c>
      <x:c r="Q1523" s="26" t="n">
        <x:v>84.16</x:v>
      </x:c>
      <x:c r="R1523" s="26" t="n">
        <x:v>103.96</x:v>
      </x:c>
      <x:c r="S1523" s="26" t="n">
        <x:v>706.95</x:v>
      </x:c>
    </x:row>
    <x:row r="1524">
      <x:c r="A1524" t="n">
        <x:v>501521</x:v>
      </x:c>
      <x:c r="B1524" s="24" t="n">
        <x:v>45943</x:v>
      </x:c>
      <x:c r="C1524" t="n">
        <x:v>1042</x:v>
      </x:c>
      <x:c r="D1524" t="str">
        <x:v>Seller 1042</x:v>
      </x:c>
      <x:c r="E1524" t="str">
        <x:v>Silver</x:v>
      </x:c>
      <x:c r="F1524" t="str">
        <x:v>East</x:v>
      </x:c>
      <x:c r="G1524" t="str">
        <x:v>Pet Supplies</x:v>
      </x:c>
      <x:c r="H1524" t="n">
        <x:v>2</x:v>
      </x:c>
      <x:c r="I1524" s="26" t="n">
        <x:v>1432.2</x:v>
      </x:c>
      <x:c r="J1524" s="26" t="n">
        <x:v>3400.8</x:v>
      </x:c>
      <x:c r="K1524" s="28" t="n">
        <x:v>0.1202</x:v>
      </x:c>
      <x:c r="L1524" s="26" t="n">
        <x:v>408.78</x:v>
      </x:c>
      <x:c r="M1524" t="n">
        <x:v>0</x:v>
      </x:c>
      <x:c r="N1524" s="26" t="n">
        <x:v>0</x:v>
      </x:c>
      <x:c r="O1524" s="26" t="n">
        <x:v>62.91</x:v>
      </x:c>
      <x:c r="P1524" s="26" t="n">
        <x:v>15.3</x:v>
      </x:c>
      <x:c r="Q1524" s="26" t="n">
        <x:v>28.91</x:v>
      </x:c>
      <x:c r="R1524" s="26" t="n">
        <x:v>35.71</x:v>
      </x:c>
      <x:c r="S1524" s="26" t="n">
        <x:v>265.94</x:v>
      </x:c>
    </x:row>
    <x:row r="1525">
      <x:c r="A1525" t="n">
        <x:v>501522</x:v>
      </x:c>
      <x:c r="B1525" s="24" t="n">
        <x:v>45933</x:v>
      </x:c>
      <x:c r="C1525" t="n">
        <x:v>1005</x:v>
      </x:c>
      <x:c r="D1525" t="str">
        <x:v>Seller 1005</x:v>
      </x:c>
      <x:c r="E1525" t="str">
        <x:v>Platinum</x:v>
      </x:c>
      <x:c r="F1525" t="str">
        <x:v>East</x:v>
      </x:c>
      <x:c r="G1525" t="str">
        <x:v>Electronics</x:v>
      </x:c>
      <x:c r="H1525" t="n">
        <x:v>3</x:v>
      </x:c>
      <x:c r="I1525" s="26" t="n">
        <x:v>1578.6</x:v>
      </x:c>
      <x:c r="J1525" s="26" t="n">
        <x:v>9901.8</x:v>
      </x:c>
      <x:c r="K1525" s="28" t="n">
        <x:v>0.1289</x:v>
      </x:c>
      <x:c r="L1525" s="26" t="n">
        <x:v>1276.34</x:v>
      </x:c>
      <x:c r="M1525" t="n">
        <x:v>0</x:v>
      </x:c>
      <x:c r="N1525" s="26" t="n">
        <x:v>0</x:v>
      </x:c>
      <x:c r="O1525" s="26" t="n">
        <x:v>183.18</x:v>
      </x:c>
      <x:c r="P1525" s="26" t="n">
        <x:v>44.56</x:v>
      </x:c>
      <x:c r="Q1525" s="26" t="n">
        <x:v>84.17</x:v>
      </x:c>
      <x:c r="R1525" s="26" t="n">
        <x:v>103.97</x:v>
      </x:c>
      <x:c r="S1525" s="26" t="n">
        <x:v>860.47</x:v>
      </x:c>
    </x:row>
    <x:row r="1526">
      <x:c r="A1526" t="n">
        <x:v>501523</x:v>
      </x:c>
      <x:c r="B1526" s="24" t="n">
        <x:v>45956</x:v>
      </x:c>
      <x:c r="C1526" t="n">
        <x:v>1054</x:v>
      </x:c>
      <x:c r="D1526" t="str">
        <x:v>Seller 1054</x:v>
      </x:c>
      <x:c r="E1526" t="str">
        <x:v>Silver</x:v>
      </x:c>
      <x:c r="F1526" t="str">
        <x:v>South</x:v>
      </x:c>
      <x:c r="G1526" t="str">
        <x:v>Home &amp; Kitchen</x:v>
      </x:c>
      <x:c r="H1526" t="n">
        <x:v>4</x:v>
      </x:c>
      <x:c r="I1526" s="26" t="n">
        <x:v>832.1999999999999</x:v>
      </x:c>
      <x:c r="J1526" s="26" t="n">
        <x:v>3952.2</x:v>
      </x:c>
      <x:c r="K1526" s="28" t="n">
        <x:v>0.1408</x:v>
      </x:c>
      <x:c r="L1526" s="26" t="n">
        <x:v>556.47</x:v>
      </x:c>
      <x:c r="M1526" t="n">
        <x:v>0</x:v>
      </x:c>
      <x:c r="N1526" s="26" t="n">
        <x:v>0</x:v>
      </x:c>
      <x:c r="O1526" s="26" t="n">
        <x:v>73.12</x:v>
      </x:c>
      <x:c r="P1526" s="26" t="n">
        <x:v>17.78</x:v>
      </x:c>
      <x:c r="Q1526" s="26" t="n">
        <x:v>33.59</x:v>
      </x:c>
      <x:c r="R1526" s="26" t="n">
        <x:v>41.5</x:v>
      </x:c>
      <x:c r="S1526" s="26" t="n">
        <x:v>390.48</x:v>
      </x:c>
    </x:row>
    <x:row r="1527">
      <x:c r="A1527" t="n">
        <x:v>501524</x:v>
      </x:c>
      <x:c r="B1527" s="24" t="n">
        <x:v>45938</x:v>
      </x:c>
      <x:c r="C1527" t="n">
        <x:v>1015</x:v>
      </x:c>
      <x:c r="D1527" t="str">
        <x:v>Seller 1015</x:v>
      </x:c>
      <x:c r="E1527" t="str">
        <x:v>Gold</x:v>
      </x:c>
      <x:c r="F1527" t="str">
        <x:v>West</x:v>
      </x:c>
      <x:c r="G1527" t="str">
        <x:v>Electronics</x:v>
      </x:c>
      <x:c r="H1527" t="n">
        <x:v>1</x:v>
      </x:c>
      <x:c r="I1527" s="26" t="n">
        <x:v>8709</x:v>
      </x:c>
      <x:c r="J1527" s="26" t="n">
        <x:v>13510.2</x:v>
      </x:c>
      <x:c r="K1527" s="28" t="n">
        <x:v>0.128</x:v>
      </x:c>
      <x:c r="L1527" s="26" t="n">
        <x:v>1729.31</x:v>
      </x:c>
      <x:c r="M1527" t="n">
        <x:v>0</x:v>
      </x:c>
      <x:c r="N1527" s="26" t="n">
        <x:v>0</x:v>
      </x:c>
      <x:c r="O1527" s="26" t="n">
        <x:v>249.94</x:v>
      </x:c>
      <x:c r="P1527" s="26" t="n">
        <x:v>60.8</x:v>
      </x:c>
      <x:c r="Q1527" s="26" t="n">
        <x:v>114.84</x:v>
      </x:c>
      <x:c r="R1527" s="26" t="n">
        <x:v>141.86</x:v>
      </x:c>
      <x:c r="S1527" s="26" t="n">
        <x:v>1161.88</x:v>
      </x:c>
    </x:row>
    <x:row r="1528">
      <x:c r="A1528" t="n">
        <x:v>501525</x:v>
      </x:c>
      <x:c r="B1528" s="24" t="n">
        <x:v>45945</x:v>
      </x:c>
      <x:c r="C1528" t="n">
        <x:v>1004</x:v>
      </x:c>
      <x:c r="D1528" t="str">
        <x:v>Seller 1004</x:v>
      </x:c>
      <x:c r="E1528" t="str">
        <x:v>Platinum</x:v>
      </x:c>
      <x:c r="F1528" t="str">
        <x:v>East</x:v>
      </x:c>
      <x:c r="G1528" t="str">
        <x:v>Beauty</x:v>
      </x:c>
      <x:c r="H1528" t="n">
        <x:v>3</x:v>
      </x:c>
      <x:c r="I1528" s="26" t="n">
        <x:v>922.1999999999999</x:v>
      </x:c>
      <x:c r="J1528" s="26" t="n">
        <x:v>5785.8</x:v>
      </x:c>
      <x:c r="K1528" s="28" t="n">
        <x:v>0.1506</x:v>
      </x:c>
      <x:c r="L1528" s="26" t="n">
        <x:v>871.34</x:v>
      </x:c>
      <x:c r="M1528" t="n">
        <x:v>0</x:v>
      </x:c>
      <x:c r="N1528" s="26" t="n">
        <x:v>0</x:v>
      </x:c>
      <x:c r="O1528" s="26" t="n">
        <x:v>107.04</x:v>
      </x:c>
      <x:c r="P1528" s="26" t="n">
        <x:v>26.04</x:v>
      </x:c>
      <x:c r="Q1528" s="26" t="n">
        <x:v>49.18</x:v>
      </x:c>
      <x:c r="R1528" s="26" t="n">
        <x:v>60.75</x:v>
      </x:c>
      <x:c r="S1528" s="26" t="n">
        <x:v>628.34</x:v>
      </x:c>
    </x:row>
    <x:row r="1529">
      <x:c r="A1529" t="n">
        <x:v>501526</x:v>
      </x:c>
      <x:c r="B1529" s="24" t="n">
        <x:v>45930</x:v>
      </x:c>
      <x:c r="C1529" t="n">
        <x:v>1049</x:v>
      </x:c>
      <x:c r="D1529" t="str">
        <x:v>Seller 1049</x:v>
      </x:c>
      <x:c r="E1529" t="str">
        <x:v>Silver</x:v>
      </x:c>
      <x:c r="F1529" t="str">
        <x:v>West</x:v>
      </x:c>
      <x:c r="G1529" t="str">
        <x:v>Pet Supplies</x:v>
      </x:c>
      <x:c r="H1529" t="n">
        <x:v>2</x:v>
      </x:c>
      <x:c r="I1529" s="26" t="n">
        <x:v>1537.2</x:v>
      </x:c>
      <x:c r="J1529" s="26" t="n">
        <x:v>3648.6</x:v>
      </x:c>
      <x:c r="K1529" s="28" t="n">
        <x:v>0.1204</x:v>
      </x:c>
      <x:c r="L1529" s="26" t="n">
        <x:v>439.29</x:v>
      </x:c>
      <x:c r="M1529" t="n">
        <x:v>0</x:v>
      </x:c>
      <x:c r="N1529" s="26" t="n">
        <x:v>0</x:v>
      </x:c>
      <x:c r="O1529" s="26" t="n">
        <x:v>67.5</x:v>
      </x:c>
      <x:c r="P1529" s="26" t="n">
        <x:v>16.42</x:v>
      </x:c>
      <x:c r="Q1529" s="26" t="n">
        <x:v>31.01</x:v>
      </x:c>
      <x:c r="R1529" s="26" t="n">
        <x:v>38.31</x:v>
      </x:c>
      <x:c r="S1529" s="26" t="n">
        <x:v>286.05</x:v>
      </x:c>
    </x:row>
    <x:row r="1530">
      <x:c r="A1530" t="n">
        <x:v>501527</x:v>
      </x:c>
      <x:c r="B1530" s="24" t="n">
        <x:v>45948</x:v>
      </x:c>
      <x:c r="C1530" t="n">
        <x:v>1015</x:v>
      </x:c>
      <x:c r="D1530" t="str">
        <x:v>Seller 1015</x:v>
      </x:c>
      <x:c r="E1530" t="str">
        <x:v>Gold</x:v>
      </x:c>
      <x:c r="F1530" t="str">
        <x:v>West</x:v>
      </x:c>
      <x:c r="G1530" t="str">
        <x:v>Apparel</x:v>
      </x:c>
      <x:c r="H1530" t="n">
        <x:v>4</x:v>
      </x:c>
      <x:c r="I1530" s="26" t="n">
        <x:v>897</x:v>
      </x:c>
      <x:c r="J1530" s="26" t="n">
        <x:v>5565.6</x:v>
      </x:c>
      <x:c r="K1530" s="28" t="n">
        <x:v>0.1209</x:v>
      </x:c>
      <x:c r="L1530" s="26" t="n">
        <x:v>672.88</x:v>
      </x:c>
      <x:c r="M1530" t="n">
        <x:v>0</x:v>
      </x:c>
      <x:c r="N1530" s="26" t="n">
        <x:v>0</x:v>
      </x:c>
      <x:c r="O1530" s="26" t="n">
        <x:v>102.96</x:v>
      </x:c>
      <x:c r="P1530" s="26" t="n">
        <x:v>25.05</x:v>
      </x:c>
      <x:c r="Q1530" s="26" t="n">
        <x:v>47.31</x:v>
      </x:c>
      <x:c r="R1530" s="26" t="n">
        <x:v>58.44</x:v>
      </x:c>
      <x:c r="S1530" s="26" t="n">
        <x:v>439.13</x:v>
      </x:c>
    </x:row>
    <x:row r="1531">
      <x:c r="A1531" t="n">
        <x:v>501528</x:v>
      </x:c>
      <x:c r="B1531" s="24" t="n">
        <x:v>45947</x:v>
      </x:c>
      <x:c r="C1531" t="n">
        <x:v>1001</x:v>
      </x:c>
      <x:c r="D1531" t="str">
        <x:v>Seller 1001</x:v>
      </x:c>
      <x:c r="E1531" t="str">
        <x:v>Platinum</x:v>
      </x:c>
      <x:c r="F1531" t="str">
        <x:v>East</x:v>
      </x:c>
      <x:c r="G1531" t="str">
        <x:v>Electronics</x:v>
      </x:c>
      <x:c r="H1531" t="n">
        <x:v>1</x:v>
      </x:c>
      <x:c r="I1531" s="26" t="n">
        <x:v>8986.2</x:v>
      </x:c>
      <x:c r="J1531" s="26" t="n">
        <x:v>18789</x:v>
      </x:c>
      <x:c r="K1531" s="28" t="n">
        <x:v>0.1161</x:v>
      </x:c>
      <x:c r="L1531" s="26" t="n">
        <x:v>2181.4</x:v>
      </x:c>
      <x:c r="M1531" t="n">
        <x:v>0</x:v>
      </x:c>
      <x:c r="N1531" s="26" t="n">
        <x:v>0</x:v>
      </x:c>
      <x:c r="O1531" s="26" t="n">
        <x:v>347.6</x:v>
      </x:c>
      <x:c r="P1531" s="26" t="n">
        <x:v>84.55</x:v>
      </x:c>
      <x:c r="Q1531" s="26" t="n">
        <x:v>159.71</x:v>
      </x:c>
      <x:c r="R1531" s="26" t="n">
        <x:v>197.28</x:v>
      </x:c>
      <x:c r="S1531" s="26" t="n">
        <x:v>1392.26</x:v>
      </x:c>
    </x:row>
    <x:row r="1532">
      <x:c r="A1532" t="n">
        <x:v>501529</x:v>
      </x:c>
      <x:c r="B1532" s="24" t="n">
        <x:v>45932</x:v>
      </x:c>
      <x:c r="C1532" t="n">
        <x:v>1013</x:v>
      </x:c>
      <x:c r="D1532" t="str">
        <x:v>Seller 1013</x:v>
      </x:c>
      <x:c r="E1532" t="str">
        <x:v>Gold</x:v>
      </x:c>
      <x:c r="F1532" t="str">
        <x:v>West</x:v>
      </x:c>
      <x:c r="G1532" t="str">
        <x:v>Electronics</x:v>
      </x:c>
      <x:c r="H1532" t="n">
        <x:v>2</x:v>
      </x:c>
      <x:c r="I1532" s="26" t="n">
        <x:v>2989.7999999999997</x:v>
      </x:c>
      <x:c r="J1532" s="26" t="n">
        <x:v>9275.4</x:v>
      </x:c>
      <x:c r="K1532" s="28" t="n">
        <x:v>0.1177</x:v>
      </x:c>
      <x:c r="L1532" s="26" t="n">
        <x:v>1091.71</x:v>
      </x:c>
      <x:c r="M1532" t="n">
        <x:v>0</x:v>
      </x:c>
      <x:c r="N1532" s="26" t="n">
        <x:v>0</x:v>
      </x:c>
      <x:c r="O1532" s="26" t="n">
        <x:v>171.59</x:v>
      </x:c>
      <x:c r="P1532" s="26" t="n">
        <x:v>41.74</x:v>
      </x:c>
      <x:c r="Q1532" s="26" t="n">
        <x:v>78.84</x:v>
      </x:c>
      <x:c r="R1532" s="26" t="n">
        <x:v>97.39</x:v>
      </x:c>
      <x:c r="S1532" s="26" t="n">
        <x:v>702.15</x:v>
      </x:c>
    </x:row>
    <x:row r="1533">
      <x:c r="A1533" t="n">
        <x:v>501530</x:v>
      </x:c>
      <x:c r="B1533" s="24" t="n">
        <x:v>45936</x:v>
      </x:c>
      <x:c r="C1533" t="n">
        <x:v>1029</x:v>
      </x:c>
      <x:c r="D1533" t="str">
        <x:v>Seller 1029</x:v>
      </x:c>
      <x:c r="E1533" t="str">
        <x:v>Gold</x:v>
      </x:c>
      <x:c r="F1533" t="str">
        <x:v>West</x:v>
      </x:c>
      <x:c r="G1533" t="str">
        <x:v>Home &amp; Kitchen</x:v>
      </x:c>
      <x:c r="H1533" t="n">
        <x:v>2</x:v>
      </x:c>
      <x:c r="I1533" s="26" t="n">
        <x:v>1834.8</x:v>
      </x:c>
      <x:c r="J1533" s="26" t="n">
        <x:v>5692.8</x:v>
      </x:c>
      <x:c r="K1533" s="28" t="n">
        <x:v>0.1298</x:v>
      </x:c>
      <x:c r="L1533" s="26" t="n">
        <x:v>738.93</x:v>
      </x:c>
      <x:c r="M1533" t="n">
        <x:v>0</x:v>
      </x:c>
      <x:c r="N1533" s="26" t="n">
        <x:v>0</x:v>
      </x:c>
      <x:c r="O1533" s="26" t="n">
        <x:v>105.32</x:v>
      </x:c>
      <x:c r="P1533" s="26" t="n">
        <x:v>25.62</x:v>
      </x:c>
      <x:c r="Q1533" s="26" t="n">
        <x:v>48.39</x:v>
      </x:c>
      <x:c r="R1533" s="26" t="n">
        <x:v>59.77</x:v>
      </x:c>
      <x:c r="S1533" s="26" t="n">
        <x:v>499.83</x:v>
      </x:c>
    </x:row>
    <x:row r="1534">
      <x:c r="A1534" t="n">
        <x:v>501531</x:v>
      </x:c>
      <x:c r="B1534" s="24" t="n">
        <x:v>45956</x:v>
      </x:c>
      <x:c r="C1534" t="n">
        <x:v>1024</x:v>
      </x:c>
      <x:c r="D1534" t="str">
        <x:v>Seller 1024</x:v>
      </x:c>
      <x:c r="E1534" t="str">
        <x:v>Gold</x:v>
      </x:c>
      <x:c r="F1534" t="str">
        <x:v>West</x:v>
      </x:c>
      <x:c r="G1534" t="str">
        <x:v>Pet Supplies</x:v>
      </x:c>
      <x:c r="H1534" t="n">
        <x:v>2</x:v>
      </x:c>
      <x:c r="I1534" s="26" t="n">
        <x:v>1932.6000000000001</x:v>
      </x:c>
      <x:c r="J1534" s="26" t="n">
        <x:v>5997</x:v>
      </x:c>
      <x:c r="K1534" s="28" t="n">
        <x:v>0.1311</x:v>
      </x:c>
      <x:c r="L1534" s="26" t="n">
        <x:v>786.21</x:v>
      </x:c>
      <x:c r="M1534" t="n">
        <x:v>0</x:v>
      </x:c>
      <x:c r="N1534" s="26" t="n">
        <x:v>0</x:v>
      </x:c>
      <x:c r="O1534" s="26" t="n">
        <x:v>110.94</x:v>
      </x:c>
      <x:c r="P1534" s="26" t="n">
        <x:v>26.99</x:v>
      </x:c>
      <x:c r="Q1534" s="26" t="n">
        <x:v>50.97</x:v>
      </x:c>
      <x:c r="R1534" s="26" t="n">
        <x:v>62.97</x:v>
      </x:c>
      <x:c r="S1534" s="26" t="n">
        <x:v>534.33</x:v>
      </x:c>
    </x:row>
    <x:row r="1535">
      <x:c r="A1535" t="n">
        <x:v>501532</x:v>
      </x:c>
      <x:c r="B1535" s="24" t="n">
        <x:v>45951</x:v>
      </x:c>
      <x:c r="C1535" t="n">
        <x:v>1035</x:v>
      </x:c>
      <x:c r="D1535" t="str">
        <x:v>Seller 1035</x:v>
      </x:c>
      <x:c r="E1535" t="str">
        <x:v>Silver</x:v>
      </x:c>
      <x:c r="F1535" t="str">
        <x:v>East</x:v>
      </x:c>
      <x:c r="G1535" t="str">
        <x:v>Home &amp; Kitchen</x:v>
      </x:c>
      <x:c r="H1535" t="n">
        <x:v>2</x:v>
      </x:c>
      <x:c r="I1535" s="26" t="n">
        <x:v>2796.6</x:v>
      </x:c>
      <x:c r="J1535" s="26" t="n">
        <x:v>6639.6</x:v>
      </x:c>
      <x:c r="K1535" s="28" t="n">
        <x:v>0.1265</x:v>
      </x:c>
      <x:c r="L1535" s="26" t="n">
        <x:v>839.91</x:v>
      </x:c>
      <x:c r="M1535" t="n">
        <x:v>0</x:v>
      </x:c>
      <x:c r="N1535" s="26" t="n">
        <x:v>0</x:v>
      </x:c>
      <x:c r="O1535" s="26" t="n">
        <x:v>122.83</x:v>
      </x:c>
      <x:c r="P1535" s="26" t="n">
        <x:v>29.88</x:v>
      </x:c>
      <x:c r="Q1535" s="26" t="n">
        <x:v>56.44</x:v>
      </x:c>
      <x:c r="R1535" s="26" t="n">
        <x:v>69.72</x:v>
      </x:c>
      <x:c r="S1535" s="26" t="n">
        <x:v>561.05</x:v>
      </x:c>
    </x:row>
    <x:row r="1536">
      <x:c r="A1536" t="n">
        <x:v>501533</x:v>
      </x:c>
      <x:c r="B1536" s="24" t="n">
        <x:v>45935</x:v>
      </x:c>
      <x:c r="C1536" t="n">
        <x:v>1050</x:v>
      </x:c>
      <x:c r="D1536" t="str">
        <x:v>Seller 1050</x:v>
      </x:c>
      <x:c r="E1536" t="str">
        <x:v>Silver</x:v>
      </x:c>
      <x:c r="F1536" t="str">
        <x:v>East</x:v>
      </x:c>
      <x:c r="G1536" t="str">
        <x:v>Electronics</x:v>
      </x:c>
      <x:c r="H1536" t="n">
        <x:v>3</x:v>
      </x:c>
      <x:c r="I1536" s="26" t="n">
        <x:v>1033.1999999999998</x:v>
      </x:c>
      <x:c r="J1536" s="26" t="n">
        <x:v>3679.8</x:v>
      </x:c>
      <x:c r="K1536" s="28" t="n">
        <x:v>0.1133</x:v>
      </x:c>
      <x:c r="L1536" s="26" t="n">
        <x:v>416.92</x:v>
      </x:c>
      <x:c r="M1536" t="n">
        <x:v>0</x:v>
      </x:c>
      <x:c r="N1536" s="26" t="n">
        <x:v>0</x:v>
      </x:c>
      <x:c r="O1536" s="26" t="n">
        <x:v>68.08</x:v>
      </x:c>
      <x:c r="P1536" s="26" t="n">
        <x:v>16.56</x:v>
      </x:c>
      <x:c r="Q1536" s="26" t="n">
        <x:v>31.28</x:v>
      </x:c>
      <x:c r="R1536" s="26" t="n">
        <x:v>38.64</x:v>
      </x:c>
      <x:c r="S1536" s="26" t="n">
        <x:v>262.37</x:v>
      </x:c>
    </x:row>
    <x:row r="1537">
      <x:c r="A1537" t="n">
        <x:v>501534</x:v>
      </x:c>
      <x:c r="B1537" s="24" t="n">
        <x:v>45946</x:v>
      </x:c>
      <x:c r="C1537" t="n">
        <x:v>1021</x:v>
      </x:c>
      <x:c r="D1537" t="str">
        <x:v>Seller 1021</x:v>
      </x:c>
      <x:c r="E1537" t="str">
        <x:v>Gold</x:v>
      </x:c>
      <x:c r="F1537" t="str">
        <x:v>Central</x:v>
      </x:c>
      <x:c r="G1537" t="str">
        <x:v>Pet Supplies</x:v>
      </x:c>
      <x:c r="H1537" t="n">
        <x:v>3</x:v>
      </x:c>
      <x:c r="I1537" s="26" t="n">
        <x:v>1060.8</x:v>
      </x:c>
      <x:c r="J1537" s="26" t="n">
        <x:v>4938</x:v>
      </x:c>
      <x:c r="K1537" s="28" t="n">
        <x:v>0.1406</x:v>
      </x:c>
      <x:c r="L1537" s="26" t="n">
        <x:v>694.28</x:v>
      </x:c>
      <x:c r="M1537" t="n">
        <x:v>0</x:v>
      </x:c>
      <x:c r="N1537" s="26" t="n">
        <x:v>0</x:v>
      </x:c>
      <x:c r="O1537" s="26" t="n">
        <x:v>91.35</x:v>
      </x:c>
      <x:c r="P1537" s="26" t="n">
        <x:v>22.22</x:v>
      </x:c>
      <x:c r="Q1537" s="26" t="n">
        <x:v>41.97</x:v>
      </x:c>
      <x:c r="R1537" s="26" t="n">
        <x:v>51.85</x:v>
      </x:c>
      <x:c r="S1537" s="26" t="n">
        <x:v>486.89</x:v>
      </x:c>
    </x:row>
    <x:row r="1538">
      <x:c r="A1538" t="n">
        <x:v>501535</x:v>
      </x:c>
      <x:c r="B1538" s="24" t="n">
        <x:v>45952</x:v>
      </x:c>
      <x:c r="C1538" t="n">
        <x:v>1052</x:v>
      </x:c>
      <x:c r="D1538" t="str">
        <x:v>Seller 1052</x:v>
      </x:c>
      <x:c r="E1538" t="str">
        <x:v>Silver</x:v>
      </x:c>
      <x:c r="F1538" t="str">
        <x:v>Central</x:v>
      </x:c>
      <x:c r="G1538" t="str">
        <x:v>Pet Supplies</x:v>
      </x:c>
      <x:c r="H1538" t="n">
        <x:v>2</x:v>
      </x:c>
      <x:c r="I1538" s="26" t="n">
        <x:v>1899.6</x:v>
      </x:c>
      <x:c r="J1538" s="26" t="n">
        <x:v>4509.6</x:v>
      </x:c>
      <x:c r="K1538" s="28" t="n">
        <x:v>0.1331</x:v>
      </x:c>
      <x:c r="L1538" s="26" t="n">
        <x:v>600.23</x:v>
      </x:c>
      <x:c r="M1538" t="n">
        <x:v>0</x:v>
      </x:c>
      <x:c r="N1538" s="26" t="n">
        <x:v>0</x:v>
      </x:c>
      <x:c r="O1538" s="26" t="n">
        <x:v>83.43</x:v>
      </x:c>
      <x:c r="P1538" s="26" t="n">
        <x:v>20.29</x:v>
      </x:c>
      <x:c r="Q1538" s="26" t="n">
        <x:v>38.33</x:v>
      </x:c>
      <x:c r="R1538" s="26" t="n">
        <x:v>47.35</x:v>
      </x:c>
      <x:c r="S1538" s="26" t="n">
        <x:v>410.82</x:v>
      </x:c>
    </x:row>
    <x:row r="1539">
      <x:c r="A1539" t="n">
        <x:v>501536</x:v>
      </x:c>
      <x:c r="B1539" s="24" t="n">
        <x:v>45942</x:v>
      </x:c>
      <x:c r="C1539" t="n">
        <x:v>1066</x:v>
      </x:c>
      <x:c r="D1539" t="str">
        <x:v>Seller 1066</x:v>
      </x:c>
      <x:c r="E1539" t="str">
        <x:v>Bronze</x:v>
      </x:c>
      <x:c r="F1539" t="str">
        <x:v>South</x:v>
      </x:c>
      <x:c r="G1539" t="str">
        <x:v>Beauty</x:v>
      </x:c>
      <x:c r="H1539" t="n">
        <x:v>3</x:v>
      </x:c>
      <x:c r="I1539" s="26" t="n">
        <x:v>877.1999999999999</x:v>
      </x:c>
      <x:c r="J1539" s="26" t="n">
        <x:v>2200.8</x:v>
      </x:c>
      <x:c r="K1539" s="28" t="n">
        <x:v>0.1412</x:v>
      </x:c>
      <x:c r="L1539" s="26" t="n">
        <x:v>310.75</x:v>
      </x:c>
      <x:c r="M1539" t="n">
        <x:v>0</x:v>
      </x:c>
      <x:c r="N1539" s="26" t="n">
        <x:v>0</x:v>
      </x:c>
      <x:c r="O1539" s="26" t="n">
        <x:v>40.71</x:v>
      </x:c>
      <x:c r="P1539" s="26" t="n">
        <x:v>9.9</x:v>
      </x:c>
      <x:c r="Q1539" s="26" t="n">
        <x:v>18.71</x:v>
      </x:c>
      <x:c r="R1539" s="26" t="n">
        <x:v>23.11</x:v>
      </x:c>
      <x:c r="S1539" s="26" t="n">
        <x:v>218.32</x:v>
      </x:c>
    </x:row>
    <x:row r="1540">
      <x:c r="A1540" t="n">
        <x:v>501537</x:v>
      </x:c>
      <x:c r="B1540" s="24" t="n">
        <x:v>45945</x:v>
      </x:c>
      <x:c r="C1540" t="n">
        <x:v>1013</x:v>
      </x:c>
      <x:c r="D1540" t="str">
        <x:v>Seller 1013</x:v>
      </x:c>
      <x:c r="E1540" t="str">
        <x:v>Gold</x:v>
      </x:c>
      <x:c r="F1540" t="str">
        <x:v>West</x:v>
      </x:c>
      <x:c r="G1540" t="str">
        <x:v>Electronics</x:v>
      </x:c>
      <x:c r="H1540" t="n">
        <x:v>2</x:v>
      </x:c>
      <x:c r="I1540" s="26" t="n">
        <x:v>5054.4</x:v>
      </x:c>
      <x:c r="J1540" s="26" t="n">
        <x:v>15681</x:v>
      </x:c>
      <x:c r="K1540" s="28" t="n">
        <x:v>0.1145</x:v>
      </x:c>
      <x:c r="L1540" s="26" t="n">
        <x:v>1795.47</x:v>
      </x:c>
      <x:c r="M1540" t="n">
        <x:v>0</x:v>
      </x:c>
      <x:c r="N1540" s="26" t="n">
        <x:v>0</x:v>
      </x:c>
      <x:c r="O1540" s="26" t="n">
        <x:v>290.1</x:v>
      </x:c>
      <x:c r="P1540" s="26" t="n">
        <x:v>70.56</x:v>
      </x:c>
      <x:c r="Q1540" s="26" t="n">
        <x:v>133.29</x:v>
      </x:c>
      <x:c r="R1540" s="26" t="n">
        <x:v>164.65</x:v>
      </x:c>
      <x:c r="S1540" s="26" t="n">
        <x:v>1136.87</x:v>
      </x:c>
    </x:row>
    <x:row r="1541">
      <x:c r="A1541" t="n">
        <x:v>501538</x:v>
      </x:c>
      <x:c r="B1541" s="24" t="n">
        <x:v>45939</x:v>
      </x:c>
      <x:c r="C1541" t="n">
        <x:v>1017</x:v>
      </x:c>
      <x:c r="D1541" t="str">
        <x:v>Seller 1017</x:v>
      </x:c>
      <x:c r="E1541" t="str">
        <x:v>Gold</x:v>
      </x:c>
      <x:c r="F1541" t="str">
        <x:v>East</x:v>
      </x:c>
      <x:c r="G1541" t="str">
        <x:v>Electronics</x:v>
      </x:c>
      <x:c r="H1541" t="n">
        <x:v>4</x:v>
      </x:c>
      <x:c r="I1541" s="26" t="n">
        <x:v>1971</x:v>
      </x:c>
      <x:c r="J1541" s="26" t="n">
        <x:v>12228.6</x:v>
      </x:c>
      <x:c r="K1541" s="28" t="n">
        <x:v>0.1159</x:v>
      </x:c>
      <x:c r="L1541" s="26" t="n">
        <x:v>1417.29</x:v>
      </x:c>
      <x:c r="M1541" t="n">
        <x:v>0</x:v>
      </x:c>
      <x:c r="N1541" s="26" t="n">
        <x:v>0</x:v>
      </x:c>
      <x:c r="O1541" s="26" t="n">
        <x:v>226.23</x:v>
      </x:c>
      <x:c r="P1541" s="26" t="n">
        <x:v>55.03</x:v>
      </x:c>
      <x:c r="Q1541" s="26" t="n">
        <x:v>103.94</x:v>
      </x:c>
      <x:c r="R1541" s="26" t="n">
        <x:v>128.4</x:v>
      </x:c>
      <x:c r="S1541" s="26" t="n">
        <x:v>903.69</x:v>
      </x:c>
    </x:row>
    <x:row r="1542">
      <x:c r="A1542" t="n">
        <x:v>501539</x:v>
      </x:c>
      <x:c r="B1542" s="24" t="n">
        <x:v>45954</x:v>
      </x:c>
      <x:c r="C1542" t="n">
        <x:v>1040</x:v>
      </x:c>
      <x:c r="D1542" t="str">
        <x:v>Seller 1040</x:v>
      </x:c>
      <x:c r="E1542" t="str">
        <x:v>Silver</x:v>
      </x:c>
      <x:c r="F1542" t="str">
        <x:v>West</x:v>
      </x:c>
      <x:c r="G1542" t="str">
        <x:v>Pet Supplies</x:v>
      </x:c>
      <x:c r="H1542" t="n">
        <x:v>1</x:v>
      </x:c>
      <x:c r="I1542" s="26" t="n">
        <x:v>2925.6</x:v>
      </x:c>
      <x:c r="J1542" s="26" t="n">
        <x:v>3472.8</x:v>
      </x:c>
      <x:c r="K1542" s="28" t="n">
        <x:v>0.1432</x:v>
      </x:c>
      <x:c r="L1542" s="26" t="n">
        <x:v>497.3</x:v>
      </x:c>
      <x:c r="M1542" t="n">
        <x:v>0</x:v>
      </x:c>
      <x:c r="N1542" s="26" t="n">
        <x:v>0</x:v>
      </x:c>
      <x:c r="O1542" s="26" t="n">
        <x:v>64.25</x:v>
      </x:c>
      <x:c r="P1542" s="26" t="n">
        <x:v>15.63</x:v>
      </x:c>
      <x:c r="Q1542" s="26" t="n">
        <x:v>29.52</x:v>
      </x:c>
      <x:c r="R1542" s="26" t="n">
        <x:v>36.46</x:v>
      </x:c>
      <x:c r="S1542" s="26" t="n">
        <x:v>351.45</x:v>
      </x:c>
    </x:row>
    <x:row r="1543">
      <x:c r="A1543" t="n">
        <x:v>501540</x:v>
      </x:c>
      <x:c r="B1543" s="24" t="n">
        <x:v>45947</x:v>
      </x:c>
      <x:c r="C1543" t="n">
        <x:v>1066</x:v>
      </x:c>
      <x:c r="D1543" t="str">
        <x:v>Seller 1066</x:v>
      </x:c>
      <x:c r="E1543" t="str">
        <x:v>Bronze</x:v>
      </x:c>
      <x:c r="F1543" t="str">
        <x:v>South</x:v>
      </x:c>
      <x:c r="G1543" t="str">
        <x:v>Home &amp; Kitchen</x:v>
      </x:c>
      <x:c r="H1543" t="n">
        <x:v>2</x:v>
      </x:c>
      <x:c r="I1543" s="26" t="n">
        <x:v>2224.7999999999997</x:v>
      </x:c>
      <x:c r="J1543" s="26" t="n">
        <x:v>3721.2</x:v>
      </x:c>
      <x:c r="K1543" s="28" t="n">
        <x:v>0.1234</x:v>
      </x:c>
      <x:c r="L1543" s="26" t="n">
        <x:v>459.2</x:v>
      </x:c>
      <x:c r="M1543" t="n">
        <x:v>0</x:v>
      </x:c>
      <x:c r="N1543" s="26" t="n">
        <x:v>0</x:v>
      </x:c>
      <x:c r="O1543" s="26" t="n">
        <x:v>68.84</x:v>
      </x:c>
      <x:c r="P1543" s="26" t="n">
        <x:v>16.75</x:v>
      </x:c>
      <x:c r="Q1543" s="26" t="n">
        <x:v>31.63</x:v>
      </x:c>
      <x:c r="R1543" s="26" t="n">
        <x:v>39.07</x:v>
      </x:c>
      <x:c r="S1543" s="26" t="n">
        <x:v>302.91</x:v>
      </x:c>
    </x:row>
    <x:row r="1544">
      <x:c r="A1544" t="n">
        <x:v>501541</x:v>
      </x:c>
      <x:c r="B1544" s="24" t="n">
        <x:v>45944</x:v>
      </x:c>
      <x:c r="C1544" t="n">
        <x:v>1020</x:v>
      </x:c>
      <x:c r="D1544" t="str">
        <x:v>Seller 1020</x:v>
      </x:c>
      <x:c r="E1544" t="str">
        <x:v>Gold</x:v>
      </x:c>
      <x:c r="F1544" t="str">
        <x:v>West</x:v>
      </x:c>
      <x:c r="G1544" t="str">
        <x:v>Home &amp; Kitchen</x:v>
      </x:c>
      <x:c r="H1544" t="n">
        <x:v>2</x:v>
      </x:c>
      <x:c r="I1544" s="26" t="n">
        <x:v>2436.6</x:v>
      </x:c>
      <x:c r="J1544" s="26" t="n">
        <x:v>7560</x:v>
      </x:c>
      <x:c r="K1544" s="28" t="n">
        <x:v>0.1358</x:v>
      </x:c>
      <x:c r="L1544" s="26" t="n">
        <x:v>1026.65</x:v>
      </x:c>
      <x:c r="M1544" t="n">
        <x:v>0</x:v>
      </x:c>
      <x:c r="N1544" s="26" t="n">
        <x:v>0</x:v>
      </x:c>
      <x:c r="O1544" s="26" t="n">
        <x:v>139.86</x:v>
      </x:c>
      <x:c r="P1544" s="26" t="n">
        <x:v>34.02</x:v>
      </x:c>
      <x:c r="Q1544" s="26" t="n">
        <x:v>64.26</x:v>
      </x:c>
      <x:c r="R1544" s="26" t="n">
        <x:v>79.38</x:v>
      </x:c>
      <x:c r="S1544" s="26" t="n">
        <x:v>709.13</x:v>
      </x:c>
    </x:row>
    <x:row r="1545">
      <x:c r="A1545" t="n">
        <x:v>501542</x:v>
      </x:c>
      <x:c r="B1545" s="24" t="n">
        <x:v>45952</x:v>
      </x:c>
      <x:c r="C1545" t="n">
        <x:v>1022</x:v>
      </x:c>
      <x:c r="D1545" t="str">
        <x:v>Seller 1022</x:v>
      </x:c>
      <x:c r="E1545" t="str">
        <x:v>Gold</x:v>
      </x:c>
      <x:c r="F1545" t="str">
        <x:v>East</x:v>
      </x:c>
      <x:c r="G1545" t="str">
        <x:v>Sports</x:v>
      </x:c>
      <x:c r="H1545" t="n">
        <x:v>3</x:v>
      </x:c>
      <x:c r="I1545" s="26" t="n">
        <x:v>1649.3999999999999</x:v>
      </x:c>
      <x:c r="J1545" s="26" t="n">
        <x:v>7675.2</x:v>
      </x:c>
      <x:c r="K1545" s="28" t="n">
        <x:v>0.1312</x:v>
      </x:c>
      <x:c r="L1545" s="26" t="n">
        <x:v>1006.99</x:v>
      </x:c>
      <x:c r="M1545" t="n">
        <x:v>0</x:v>
      </x:c>
      <x:c r="N1545" s="26" t="n">
        <x:v>0</x:v>
      </x:c>
      <x:c r="O1545" s="26" t="n">
        <x:v>141.99</x:v>
      </x:c>
      <x:c r="P1545" s="26" t="n">
        <x:v>34.54</x:v>
      </x:c>
      <x:c r="Q1545" s="26" t="n">
        <x:v>65.24</x:v>
      </x:c>
      <x:c r="R1545" s="26" t="n">
        <x:v>80.59</x:v>
      </x:c>
      <x:c r="S1545" s="26" t="n">
        <x:v>684.63</x:v>
      </x:c>
    </x:row>
    <x:row r="1546">
      <x:c r="A1546" t="n">
        <x:v>501543</x:v>
      </x:c>
      <x:c r="B1546" s="24" t="n">
        <x:v>45940</x:v>
      </x:c>
      <x:c r="C1546" t="n">
        <x:v>1020</x:v>
      </x:c>
      <x:c r="D1546" t="str">
        <x:v>Seller 1020</x:v>
      </x:c>
      <x:c r="E1546" t="str">
        <x:v>Gold</x:v>
      </x:c>
      <x:c r="F1546" t="str">
        <x:v>West</x:v>
      </x:c>
      <x:c r="G1546" t="str">
        <x:v>Home &amp; Kitchen</x:v>
      </x:c>
      <x:c r="H1546" t="n">
        <x:v>3</x:v>
      </x:c>
      <x:c r="I1546" s="26" t="n">
        <x:v>1525.2</x:v>
      </x:c>
      <x:c r="J1546" s="26" t="n">
        <x:v>7096.8</x:v>
      </x:c>
      <x:c r="K1546" s="28" t="n">
        <x:v>0.1279</x:v>
      </x:c>
      <x:c r="L1546" s="26" t="n">
        <x:v>907.68</x:v>
      </x:c>
      <x:c r="M1546" t="n">
        <x:v>0</x:v>
      </x:c>
      <x:c r="N1546" s="26" t="n">
        <x:v>0</x:v>
      </x:c>
      <x:c r="O1546" s="26" t="n">
        <x:v>131.29</x:v>
      </x:c>
      <x:c r="P1546" s="26" t="n">
        <x:v>31.94</x:v>
      </x:c>
      <x:c r="Q1546" s="26" t="n">
        <x:v>60.32</x:v>
      </x:c>
      <x:c r="R1546" s="26" t="n">
        <x:v>74.52</x:v>
      </x:c>
      <x:c r="S1546" s="26" t="n">
        <x:v>609.62</x:v>
      </x:c>
    </x:row>
    <x:row r="1547">
      <x:c r="A1547" t="n">
        <x:v>501544</x:v>
      </x:c>
      <x:c r="B1547" s="24" t="n">
        <x:v>45937</x:v>
      </x:c>
      <x:c r="C1547" t="n">
        <x:v>1038</x:v>
      </x:c>
      <x:c r="D1547" t="str">
        <x:v>Seller 1038</x:v>
      </x:c>
      <x:c r="E1547" t="str">
        <x:v>Silver</x:v>
      </x:c>
      <x:c r="F1547" t="str">
        <x:v>South</x:v>
      </x:c>
      <x:c r="G1547" t="str">
        <x:v>Sports</x:v>
      </x:c>
      <x:c r="H1547" t="n">
        <x:v>1</x:v>
      </x:c>
      <x:c r="I1547" s="26" t="n">
        <x:v>4507.799999999999</x:v>
      </x:c>
      <x:c r="J1547" s="26" t="n">
        <x:v>5351.4</x:v>
      </x:c>
      <x:c r="K1547" s="28" t="n">
        <x:v>0.1274</x:v>
      </x:c>
      <x:c r="L1547" s="26" t="n">
        <x:v>681.77</x:v>
      </x:c>
      <x:c r="M1547" t="n">
        <x:v>0</x:v>
      </x:c>
      <x:c r="N1547" s="26" t="n">
        <x:v>0</x:v>
      </x:c>
      <x:c r="O1547" s="26" t="n">
        <x:v>99</x:v>
      </x:c>
      <x:c r="P1547" s="26" t="n">
        <x:v>24.08</x:v>
      </x:c>
      <x:c r="Q1547" s="26" t="n">
        <x:v>45.49</x:v>
      </x:c>
      <x:c r="R1547" s="26" t="n">
        <x:v>56.19</x:v>
      </x:c>
      <x:c r="S1547" s="26" t="n">
        <x:v>457.01</x:v>
      </x:c>
    </x:row>
    <x:row r="1548">
      <x:c r="A1548" t="n">
        <x:v>501545</x:v>
      </x:c>
      <x:c r="B1548" s="24" t="n">
        <x:v>45930</x:v>
      </x:c>
      <x:c r="C1548" t="n">
        <x:v>1001</x:v>
      </x:c>
      <x:c r="D1548" t="str">
        <x:v>Seller 1001</x:v>
      </x:c>
      <x:c r="E1548" t="str">
        <x:v>Platinum</x:v>
      </x:c>
      <x:c r="F1548" t="str">
        <x:v>East</x:v>
      </x:c>
      <x:c r="G1548" t="str">
        <x:v>Electronics</x:v>
      </x:c>
      <x:c r="H1548" t="n">
        <x:v>2</x:v>
      </x:c>
      <x:c r="I1548" s="26" t="n">
        <x:v>3351.6</x:v>
      </x:c>
      <x:c r="J1548" s="26" t="n">
        <x:v>14014.8</x:v>
      </x:c>
      <x:c r="K1548" s="28" t="n">
        <x:v>0.118</x:v>
      </x:c>
      <x:c r="L1548" s="26" t="n">
        <x:v>1653.75</x:v>
      </x:c>
      <x:c r="M1548" t="n">
        <x:v>0</x:v>
      </x:c>
      <x:c r="N1548" s="26" t="n">
        <x:v>0</x:v>
      </x:c>
      <x:c r="O1548" s="26" t="n">
        <x:v>259.27</x:v>
      </x:c>
      <x:c r="P1548" s="26" t="n">
        <x:v>63.07</x:v>
      </x:c>
      <x:c r="Q1548" s="26" t="n">
        <x:v>119.13</x:v>
      </x:c>
      <x:c r="R1548" s="26" t="n">
        <x:v>147.16</x:v>
      </x:c>
      <x:c r="S1548" s="26" t="n">
        <x:v>1065.12</x:v>
      </x:c>
    </x:row>
    <x:row r="1549">
      <x:c r="A1549" t="n">
        <x:v>501546</x:v>
      </x:c>
      <x:c r="B1549" s="24" t="n">
        <x:v>45935</x:v>
      </x:c>
      <x:c r="C1549" t="n">
        <x:v>1008</x:v>
      </x:c>
      <x:c r="D1549" t="str">
        <x:v>Seller 1008</x:v>
      </x:c>
      <x:c r="E1549" t="str">
        <x:v>Platinum</x:v>
      </x:c>
      <x:c r="F1549" t="str">
        <x:v>West</x:v>
      </x:c>
      <x:c r="G1549" t="str">
        <x:v>Home &amp; Kitchen</x:v>
      </x:c>
      <x:c r="H1549" t="n">
        <x:v>3</x:v>
      </x:c>
      <x:c r="I1549" s="26" t="n">
        <x:v>2214.6</x:v>
      </x:c>
      <x:c r="J1549" s="26" t="n">
        <x:v>13892.4</x:v>
      </x:c>
      <x:c r="K1549" s="28" t="n">
        <x:v>0.1414</x:v>
      </x:c>
      <x:c r="L1549" s="26" t="n">
        <x:v>1964.39</x:v>
      </x:c>
      <x:c r="M1549" t="n">
        <x:v>0</x:v>
      </x:c>
      <x:c r="N1549" s="26" t="n">
        <x:v>0</x:v>
      </x:c>
      <x:c r="O1549" s="26" t="n">
        <x:v>257.01</x:v>
      </x:c>
      <x:c r="P1549" s="26" t="n">
        <x:v>62.52</x:v>
      </x:c>
      <x:c r="Q1549" s="26" t="n">
        <x:v>118.09</x:v>
      </x:c>
      <x:c r="R1549" s="26" t="n">
        <x:v>145.87</x:v>
      </x:c>
      <x:c r="S1549" s="26" t="n">
        <x:v>1380.9</x:v>
      </x:c>
    </x:row>
    <x:row r="1550">
      <x:c r="A1550" t="n">
        <x:v>501547</x:v>
      </x:c>
      <x:c r="B1550" s="24" t="n">
        <x:v>45936</x:v>
      </x:c>
      <x:c r="C1550" t="n">
        <x:v>1051</x:v>
      </x:c>
      <x:c r="D1550" t="str">
        <x:v>Seller 1051</x:v>
      </x:c>
      <x:c r="E1550" t="str">
        <x:v>Silver</x:v>
      </x:c>
      <x:c r="F1550" t="str">
        <x:v>East</x:v>
      </x:c>
      <x:c r="G1550" t="str">
        <x:v>Pet Supplies</x:v>
      </x:c>
      <x:c r="H1550" t="n">
        <x:v>1</x:v>
      </x:c>
      <x:c r="I1550" s="26" t="n">
        <x:v>3282.6</x:v>
      </x:c>
      <x:c r="J1550" s="26" t="n">
        <x:v>3897</x:v>
      </x:c>
      <x:c r="K1550" s="28" t="n">
        <x:v>0.126</x:v>
      </x:c>
      <x:c r="L1550" s="26" t="n">
        <x:v>491.02</x:v>
      </x:c>
      <x:c r="M1550" t="n">
        <x:v>0</x:v>
      </x:c>
      <x:c r="N1550" s="26" t="n">
        <x:v>0</x:v>
      </x:c>
      <x:c r="O1550" s="26" t="n">
        <x:v>72.09</x:v>
      </x:c>
      <x:c r="P1550" s="26" t="n">
        <x:v>17.54</x:v>
      </x:c>
      <x:c r="Q1550" s="26" t="n">
        <x:v>33.12</x:v>
      </x:c>
      <x:c r="R1550" s="26" t="n">
        <x:v>40.92</x:v>
      </x:c>
      <x:c r="S1550" s="26" t="n">
        <x:v>327.35</x:v>
      </x:c>
    </x:row>
    <x:row r="1551">
      <x:c r="A1551" t="n">
        <x:v>501548</x:v>
      </x:c>
      <x:c r="B1551" s="24" t="n">
        <x:v>45936</x:v>
      </x:c>
      <x:c r="C1551" t="n">
        <x:v>1018</x:v>
      </x:c>
      <x:c r="D1551" t="str">
        <x:v>Seller 1018</x:v>
      </x:c>
      <x:c r="E1551" t="str">
        <x:v>Gold</x:v>
      </x:c>
      <x:c r="F1551" t="str">
        <x:v>West</x:v>
      </x:c>
      <x:c r="G1551" t="str">
        <x:v>Electronics</x:v>
      </x:c>
      <x:c r="H1551" t="n">
        <x:v>2</x:v>
      </x:c>
      <x:c r="I1551" s="26" t="n">
        <x:v>3436.2000000000003</x:v>
      </x:c>
      <x:c r="J1551" s="26" t="n">
        <x:v>10661.4</x:v>
      </x:c>
      <x:c r="K1551" s="28" t="n">
        <x:v>0.1291</x:v>
      </x:c>
      <x:c r="L1551" s="26" t="n">
        <x:v>1376.39</x:v>
      </x:c>
      <x:c r="M1551" t="n">
        <x:v>0</x:v>
      </x:c>
      <x:c r="N1551" s="26" t="n">
        <x:v>0</x:v>
      </x:c>
      <x:c r="O1551" s="26" t="n">
        <x:v>197.24</x:v>
      </x:c>
      <x:c r="P1551" s="26" t="n">
        <x:v>47.98</x:v>
      </x:c>
      <x:c r="Q1551" s="26" t="n">
        <x:v>90.62</x:v>
      </x:c>
      <x:c r="R1551" s="26" t="n">
        <x:v>111.94</x:v>
      </x:c>
      <x:c r="S1551" s="26" t="n">
        <x:v>928.61</x:v>
      </x:c>
    </x:row>
    <x:row r="1552">
      <x:c r="A1552" t="n">
        <x:v>501549</x:v>
      </x:c>
      <x:c r="B1552" s="24" t="n">
        <x:v>45949</x:v>
      </x:c>
      <x:c r="C1552" t="n">
        <x:v>1042</x:v>
      </x:c>
      <x:c r="D1552" t="str">
        <x:v>Seller 1042</x:v>
      </x:c>
      <x:c r="E1552" t="str">
        <x:v>Silver</x:v>
      </x:c>
      <x:c r="F1552" t="str">
        <x:v>East</x:v>
      </x:c>
      <x:c r="G1552" t="str">
        <x:v>Pet Supplies</x:v>
      </x:c>
      <x:c r="H1552" t="n">
        <x:v>3</x:v>
      </x:c>
      <x:c r="I1552" s="26" t="n">
        <x:v>1185</x:v>
      </x:c>
      <x:c r="J1552" s="26" t="n">
        <x:v>4219.2</x:v>
      </x:c>
      <x:c r="K1552" s="28" t="n">
        <x:v>0.1225</x:v>
      </x:c>
      <x:c r="L1552" s="26" t="n">
        <x:v>516.85</x:v>
      </x:c>
      <x:c r="M1552" t="n">
        <x:v>0</x:v>
      </x:c>
      <x:c r="N1552" s="26" t="n">
        <x:v>0</x:v>
      </x:c>
      <x:c r="O1552" s="26" t="n">
        <x:v>78.06</x:v>
      </x:c>
      <x:c r="P1552" s="26" t="n">
        <x:v>18.99</x:v>
      </x:c>
      <x:c r="Q1552" s="26" t="n">
        <x:v>35.86</x:v>
      </x:c>
      <x:c r="R1552" s="26" t="n">
        <x:v>44.3</x:v>
      </x:c>
      <x:c r="S1552" s="26" t="n">
        <x:v>339.65</x:v>
      </x:c>
    </x:row>
    <x:row r="1553">
      <x:c r="A1553" t="n">
        <x:v>501550</x:v>
      </x:c>
      <x:c r="B1553" s="24" t="n">
        <x:v>45957</x:v>
      </x:c>
      <x:c r="C1553" t="n">
        <x:v>1057</x:v>
      </x:c>
      <x:c r="D1553" t="str">
        <x:v>Seller 1057</x:v>
      </x:c>
      <x:c r="E1553" t="str">
        <x:v>Bronze</x:v>
      </x:c>
      <x:c r="F1553" t="str">
        <x:v>South</x:v>
      </x:c>
      <x:c r="G1553" t="str">
        <x:v>Electronics</x:v>
      </x:c>
      <x:c r="H1553" t="n">
        <x:v>3</x:v>
      </x:c>
      <x:c r="I1553" s="26" t="n">
        <x:v>3710.4</x:v>
      </x:c>
      <x:c r="J1553" s="26" t="n">
        <x:v>9309.6</x:v>
      </x:c>
      <x:c r="K1553" s="28" t="n">
        <x:v>0.1239</x:v>
      </x:c>
      <x:c r="L1553" s="26" t="n">
        <x:v>1153.46</x:v>
      </x:c>
      <x:c r="M1553" t="n">
        <x:v>0</x:v>
      </x:c>
      <x:c r="N1553" s="26" t="n">
        <x:v>0</x:v>
      </x:c>
      <x:c r="O1553" s="26" t="n">
        <x:v>172.23</x:v>
      </x:c>
      <x:c r="P1553" s="26" t="n">
        <x:v>41.89</x:v>
      </x:c>
      <x:c r="Q1553" s="26" t="n">
        <x:v>79.13</x:v>
      </x:c>
      <x:c r="R1553" s="26" t="n">
        <x:v>97.75</x:v>
      </x:c>
      <x:c r="S1553" s="26" t="n">
        <x:v>762.46</x:v>
      </x:c>
    </x:row>
    <x:row r="1554">
      <x:c r="A1554" t="n">
        <x:v>501551</x:v>
      </x:c>
      <x:c r="B1554" s="24" t="n">
        <x:v>45956</x:v>
      </x:c>
      <x:c r="C1554" t="n">
        <x:v>1044</x:v>
      </x:c>
      <x:c r="D1554" t="str">
        <x:v>Seller 1044</x:v>
      </x:c>
      <x:c r="E1554" t="str">
        <x:v>Silver</x:v>
      </x:c>
      <x:c r="F1554" t="str">
        <x:v>East</x:v>
      </x:c>
      <x:c r="G1554" t="str">
        <x:v>Electronics</x:v>
      </x:c>
      <x:c r="H1554" t="n">
        <x:v>1</x:v>
      </x:c>
      <x:c r="I1554" s="26" t="n">
        <x:v>9693</x:v>
      </x:c>
      <x:c r="J1554" s="26" t="n">
        <x:v>11506.2</x:v>
      </x:c>
      <x:c r="K1554" s="28" t="n">
        <x:v>0.1157</x:v>
      </x:c>
      <x:c r="L1554" s="26" t="n">
        <x:v>1331.27</x:v>
      </x:c>
      <x:c r="M1554" t="n">
        <x:v>0</x:v>
      </x:c>
      <x:c r="N1554" s="26" t="n">
        <x:v>0</x:v>
      </x:c>
      <x:c r="O1554" s="26" t="n">
        <x:v>212.86</x:v>
      </x:c>
      <x:c r="P1554" s="26" t="n">
        <x:v>51.78</x:v>
      </x:c>
      <x:c r="Q1554" s="26" t="n">
        <x:v>97.8</x:v>
      </x:c>
      <x:c r="R1554" s="26" t="n">
        <x:v>120.82</x:v>
      </x:c>
      <x:c r="S1554" s="26" t="n">
        <x:v>848.01</x:v>
      </x:c>
    </x:row>
    <x:row r="1555">
      <x:c r="A1555" t="n">
        <x:v>501552</x:v>
      </x:c>
      <x:c r="B1555" s="24" t="n">
        <x:v>45935</x:v>
      </x:c>
      <x:c r="C1555" t="n">
        <x:v>1063</x:v>
      </x:c>
      <x:c r="D1555" t="str">
        <x:v>Seller 1063</x:v>
      </x:c>
      <x:c r="E1555" t="str">
        <x:v>Bronze</x:v>
      </x:c>
      <x:c r="F1555" t="str">
        <x:v>West</x:v>
      </x:c>
      <x:c r="G1555" t="str">
        <x:v>Home &amp; Kitchen</x:v>
      </x:c>
      <x:c r="H1555" t="n">
        <x:v>2</x:v>
      </x:c>
      <x:c r="I1555" s="26" t="n">
        <x:v>2436</x:v>
      </x:c>
      <x:c r="J1555" s="26" t="n">
        <x:v>4074</x:v>
      </x:c>
      <x:c r="K1555" s="28" t="n">
        <x:v>0.1406</x:v>
      </x:c>
      <x:c r="L1555" s="26" t="n">
        <x:v>572.8</x:v>
      </x:c>
      <x:c r="M1555" t="n">
        <x:v>0</x:v>
      </x:c>
      <x:c r="N1555" s="26" t="n">
        <x:v>0</x:v>
      </x:c>
      <x:c r="O1555" s="26" t="n">
        <x:v>75.37</x:v>
      </x:c>
      <x:c r="P1555" s="26" t="n">
        <x:v>18.33</x:v>
      </x:c>
      <x:c r="Q1555" s="26" t="n">
        <x:v>34.63</x:v>
      </x:c>
      <x:c r="R1555" s="26" t="n">
        <x:v>42.78</x:v>
      </x:c>
      <x:c r="S1555" s="26" t="n">
        <x:v>401.7</x:v>
      </x:c>
    </x:row>
    <x:row r="1556">
      <x:c r="A1556" t="n">
        <x:v>501553</x:v>
      </x:c>
      <x:c r="B1556" s="24" t="n">
        <x:v>45936</x:v>
      </x:c>
      <x:c r="C1556" t="n">
        <x:v>1064</x:v>
      </x:c>
      <x:c r="D1556" t="str">
        <x:v>Seller 1064</x:v>
      </x:c>
      <x:c r="E1556" t="str">
        <x:v>Bronze</x:v>
      </x:c>
      <x:c r="F1556" t="str">
        <x:v>Central</x:v>
      </x:c>
      <x:c r="G1556" t="str">
        <x:v>Apparel</x:v>
      </x:c>
      <x:c r="H1556" t="n">
        <x:v>1</x:v>
      </x:c>
      <x:c r="I1556" s="26" t="n">
        <x:v>4047</x:v>
      </x:c>
      <x:c r="J1556" s="26" t="n">
        <x:v>3384.6</x:v>
      </x:c>
      <x:c r="K1556" s="28" t="n">
        <x:v>0.1288</x:v>
      </x:c>
      <x:c r="L1556" s="26" t="n">
        <x:v>435.94</x:v>
      </x:c>
      <x:c r="M1556" t="n">
        <x:v>0</x:v>
      </x:c>
      <x:c r="N1556" s="26" t="n">
        <x:v>0</x:v>
      </x:c>
      <x:c r="O1556" s="26" t="n">
        <x:v>62.62</x:v>
      </x:c>
      <x:c r="P1556" s="26" t="n">
        <x:v>15.23</x:v>
      </x:c>
      <x:c r="Q1556" s="26" t="n">
        <x:v>28.77</x:v>
      </x:c>
      <x:c r="R1556" s="26" t="n">
        <x:v>35.54</x:v>
      </x:c>
      <x:c r="S1556" s="26" t="n">
        <x:v>293.78</x:v>
      </x:c>
    </x:row>
    <x:row r="1557">
      <x:c r="A1557" t="n">
        <x:v>501554</x:v>
      </x:c>
      <x:c r="B1557" s="24" t="n">
        <x:v>45943</x:v>
      </x:c>
      <x:c r="C1557" t="n">
        <x:v>1033</x:v>
      </x:c>
      <x:c r="D1557" t="str">
        <x:v>Seller 1033</x:v>
      </x:c>
      <x:c r="E1557" t="str">
        <x:v>Silver</x:v>
      </x:c>
      <x:c r="F1557" t="str">
        <x:v>South</x:v>
      </x:c>
      <x:c r="G1557" t="str">
        <x:v>Beauty</x:v>
      </x:c>
      <x:c r="H1557" t="n">
        <x:v>1</x:v>
      </x:c>
      <x:c r="I1557" s="26" t="n">
        <x:v>2915.4</x:v>
      </x:c>
      <x:c r="J1557" s="26" t="n">
        <x:v>3460.8</x:v>
      </x:c>
      <x:c r="K1557" s="28" t="n">
        <x:v>0.139</x:v>
      </x:c>
      <x:c r="L1557" s="26" t="n">
        <x:v>481.05</x:v>
      </x:c>
      <x:c r="M1557" t="n">
        <x:v>1</x:v>
      </x:c>
      <x:c r="N1557" s="26" t="n">
        <x:v>3014.4</x:v>
      </x:c>
      <x:c r="O1557" s="26" t="n">
        <x:v>64.02</x:v>
      </x:c>
      <x:c r="P1557" s="26" t="n">
        <x:v>15.57</x:v>
      </x:c>
      <x:c r="Q1557" s="26" t="n">
        <x:v>29.42</x:v>
      </x:c>
      <x:c r="R1557" s="26" t="n">
        <x:v>36.34</x:v>
      </x:c>
      <x:c r="S1557" s="26" t="n">
        <x:v>275.41</x:v>
      </x:c>
    </x:row>
    <x:row r="1558">
      <x:c r="A1558" t="n">
        <x:v>501555</x:v>
      </x:c>
      <x:c r="B1558" s="24" t="n">
        <x:v>45943</x:v>
      </x:c>
      <x:c r="C1558" t="n">
        <x:v>1032</x:v>
      </x:c>
      <x:c r="D1558" t="str">
        <x:v>Seller 1032</x:v>
      </x:c>
      <x:c r="E1558" t="str">
        <x:v>Silver</x:v>
      </x:c>
      <x:c r="F1558" t="str">
        <x:v>West</x:v>
      </x:c>
      <x:c r="G1558" t="str">
        <x:v>Pet Supplies</x:v>
      </x:c>
      <x:c r="H1558" t="n">
        <x:v>2</x:v>
      </x:c>
      <x:c r="I1558" s="26" t="n">
        <x:v>1822.2</x:v>
      </x:c>
      <x:c r="J1558" s="26" t="n">
        <x:v>4325.4</x:v>
      </x:c>
      <x:c r="K1558" s="28" t="n">
        <x:v>0.1264</x:v>
      </x:c>
      <x:c r="L1558" s="26" t="n">
        <x:v>546.73</x:v>
      </x:c>
      <x:c r="M1558" t="n">
        <x:v>0</x:v>
      </x:c>
      <x:c r="N1558" s="26" t="n">
        <x:v>0</x:v>
      </x:c>
      <x:c r="O1558" s="26" t="n">
        <x:v>80.02</x:v>
      </x:c>
      <x:c r="P1558" s="26" t="n">
        <x:v>19.46</x:v>
      </x:c>
      <x:c r="Q1558" s="26" t="n">
        <x:v>36.77</x:v>
      </x:c>
      <x:c r="R1558" s="26" t="n">
        <x:v>45.42</x:v>
      </x:c>
      <x:c r="S1558" s="26" t="n">
        <x:v>365.06</x:v>
      </x:c>
    </x:row>
    <x:row r="1559">
      <x:c r="A1559" t="n">
        <x:v>501556</x:v>
      </x:c>
      <x:c r="B1559" s="24" t="n">
        <x:v>45931</x:v>
      </x:c>
      <x:c r="C1559" t="n">
        <x:v>1072</x:v>
      </x:c>
      <x:c r="D1559" t="str">
        <x:v>Seller 1072</x:v>
      </x:c>
      <x:c r="E1559" t="str">
        <x:v>Bronze</x:v>
      </x:c>
      <x:c r="F1559" t="str">
        <x:v>South</x:v>
      </x:c>
      <x:c r="G1559" t="str">
        <x:v>Home &amp; Kitchen</x:v>
      </x:c>
      <x:c r="H1559" t="n">
        <x:v>1</x:v>
      </x:c>
      <x:c r="I1559" s="26" t="n">
        <x:v>4704.599999999999</x:v>
      </x:c>
      <x:c r="J1559" s="26" t="n">
        <x:v>3934.8</x:v>
      </x:c>
      <x:c r="K1559" s="28" t="n">
        <x:v>0.1439</x:v>
      </x:c>
      <x:c r="L1559" s="26" t="n">
        <x:v>566.22</x:v>
      </x:c>
      <x:c r="M1559" t="n">
        <x:v>0</x:v>
      </x:c>
      <x:c r="N1559" s="26" t="n">
        <x:v>0</x:v>
      </x:c>
      <x:c r="O1559" s="26" t="n">
        <x:v>72.79</x:v>
      </x:c>
      <x:c r="P1559" s="26" t="n">
        <x:v>17.71</x:v>
      </x:c>
      <x:c r="Q1559" s="26" t="n">
        <x:v>33.45</x:v>
      </x:c>
      <x:c r="R1559" s="26" t="n">
        <x:v>41.32</x:v>
      </x:c>
      <x:c r="S1559" s="26" t="n">
        <x:v>400.96</x:v>
      </x:c>
    </x:row>
    <x:row r="1560">
      <x:c r="A1560" t="n">
        <x:v>501557</x:v>
      </x:c>
      <x:c r="B1560" s="24" t="n">
        <x:v>45949</x:v>
      </x:c>
      <x:c r="C1560" t="n">
        <x:v>1076</x:v>
      </x:c>
      <x:c r="D1560" t="str">
        <x:v>Seller 1076</x:v>
      </x:c>
      <x:c r="E1560" t="str">
        <x:v>Bronze</x:v>
      </x:c>
      <x:c r="F1560" t="str">
        <x:v>Central</x:v>
      </x:c>
      <x:c r="G1560" t="str">
        <x:v>Pet Supplies</x:v>
      </x:c>
      <x:c r="H1560" t="n">
        <x:v>3</x:v>
      </x:c>
      <x:c r="I1560" s="26" t="n">
        <x:v>946.8</x:v>
      </x:c>
      <x:c r="J1560" s="26" t="n">
        <x:v>2376</x:v>
      </x:c>
      <x:c r="K1560" s="28" t="n">
        <x:v>0.1228</x:v>
      </x:c>
      <x:c r="L1560" s="26" t="n">
        <x:v>291.77</x:v>
      </x:c>
      <x:c r="M1560" t="n">
        <x:v>0</x:v>
      </x:c>
      <x:c r="N1560" s="26" t="n">
        <x:v>0</x:v>
      </x:c>
      <x:c r="O1560" s="26" t="n">
        <x:v>43.96</x:v>
      </x:c>
      <x:c r="P1560" s="26" t="n">
        <x:v>10.69</x:v>
      </x:c>
      <x:c r="Q1560" s="26" t="n">
        <x:v>20.2</x:v>
      </x:c>
      <x:c r="R1560" s="26" t="n">
        <x:v>24.95</x:v>
      </x:c>
      <x:c r="S1560" s="26" t="n">
        <x:v>191.98</x:v>
      </x:c>
    </x:row>
    <x:row r="1561">
      <x:c r="A1561" t="n">
        <x:v>501558</x:v>
      </x:c>
      <x:c r="B1561" s="24" t="n">
        <x:v>45946</x:v>
      </x:c>
      <x:c r="C1561" t="n">
        <x:v>1078</x:v>
      </x:c>
      <x:c r="D1561" t="str">
        <x:v>Seller 1078</x:v>
      </x:c>
      <x:c r="E1561" t="str">
        <x:v>Bronze</x:v>
      </x:c>
      <x:c r="F1561" t="str">
        <x:v>East</x:v>
      </x:c>
      <x:c r="G1561" t="str">
        <x:v>Home &amp; Kitchen</x:v>
      </x:c>
      <x:c r="H1561" t="n">
        <x:v>1</x:v>
      </x:c>
      <x:c r="I1561" s="26" t="n">
        <x:v>5322.599999999999</x:v>
      </x:c>
      <x:c r="J1561" s="26" t="n">
        <x:v>4451.4</x:v>
      </x:c>
      <x:c r="K1561" s="28" t="n">
        <x:v>0.1313</x:v>
      </x:c>
      <x:c r="L1561" s="26" t="n">
        <x:v>584.47</x:v>
      </x:c>
      <x:c r="M1561" t="n">
        <x:v>0</x:v>
      </x:c>
      <x:c r="N1561" s="26" t="n">
        <x:v>0</x:v>
      </x:c>
      <x:c r="O1561" s="26" t="n">
        <x:v>82.35</x:v>
      </x:c>
      <x:c r="P1561" s="26" t="n">
        <x:v>20.03</x:v>
      </x:c>
      <x:c r="Q1561" s="26" t="n">
        <x:v>37.84</x:v>
      </x:c>
      <x:c r="R1561" s="26" t="n">
        <x:v>46.74</x:v>
      </x:c>
      <x:c r="S1561" s="26" t="n">
        <x:v>397.51</x:v>
      </x:c>
    </x:row>
    <x:row r="1562">
      <x:c r="A1562" t="n">
        <x:v>501559</x:v>
      </x:c>
      <x:c r="B1562" s="24" t="n">
        <x:v>45934</x:v>
      </x:c>
      <x:c r="C1562" t="n">
        <x:v>1067</x:v>
      </x:c>
      <x:c r="D1562" t="str">
        <x:v>Seller 1067</x:v>
      </x:c>
      <x:c r="E1562" t="str">
        <x:v>Bronze</x:v>
      </x:c>
      <x:c r="F1562" t="str">
        <x:v>South</x:v>
      </x:c>
      <x:c r="G1562" t="str">
        <x:v>Beauty</x:v>
      </x:c>
      <x:c r="H1562" t="n">
        <x:v>1</x:v>
      </x:c>
      <x:c r="I1562" s="26" t="n">
        <x:v>2866.8</x:v>
      </x:c>
      <x:c r="J1562" s="26" t="n">
        <x:v>2397.6</x:v>
      </x:c>
      <x:c r="K1562" s="28" t="n">
        <x:v>0.1509</x:v>
      </x:c>
      <x:c r="L1562" s="26" t="n">
        <x:v>361.8</x:v>
      </x:c>
      <x:c r="M1562" t="n">
        <x:v>0</x:v>
      </x:c>
      <x:c r="N1562" s="26" t="n">
        <x:v>0</x:v>
      </x:c>
      <x:c r="O1562" s="26" t="n">
        <x:v>44.36</x:v>
      </x:c>
      <x:c r="P1562" s="26" t="n">
        <x:v>10.79</x:v>
      </x:c>
      <x:c r="Q1562" s="26" t="n">
        <x:v>20.38</x:v>
      </x:c>
      <x:c r="R1562" s="26" t="n">
        <x:v>25.17</x:v>
      </x:c>
      <x:c r="S1562" s="26" t="n">
        <x:v>261.1</x:v>
      </x:c>
    </x:row>
    <x:row r="1563">
      <x:c r="A1563" t="n">
        <x:v>501560</x:v>
      </x:c>
      <x:c r="B1563" s="24" t="n">
        <x:v>45956</x:v>
      </x:c>
      <x:c r="C1563" t="n">
        <x:v>1073</x:v>
      </x:c>
      <x:c r="D1563" t="str">
        <x:v>Seller 1073</x:v>
      </x:c>
      <x:c r="E1563" t="str">
        <x:v>Bronze</x:v>
      </x:c>
      <x:c r="F1563" t="str">
        <x:v>Central</x:v>
      </x:c>
      <x:c r="G1563" t="str">
        <x:v>Electronics</x:v>
      </x:c>
      <x:c r="H1563" t="n">
        <x:v>2</x:v>
      </x:c>
      <x:c r="I1563" s="26" t="n">
        <x:v>3895.2000000000003</x:v>
      </x:c>
      <x:c r="J1563" s="26" t="n">
        <x:v>6516</x:v>
      </x:c>
      <x:c r="K1563" s="28" t="n">
        <x:v>0.12</x:v>
      </x:c>
      <x:c r="L1563" s="26" t="n">
        <x:v>781.92</x:v>
      </x:c>
      <x:c r="M1563" t="n">
        <x:v>1</x:v>
      </x:c>
      <x:c r="N1563" s="26" t="n">
        <x:v>4922.4</x:v>
      </x:c>
      <x:c r="O1563" s="26" t="n">
        <x:v>120.55</x:v>
      </x:c>
      <x:c r="P1563" s="26" t="n">
        <x:v>29.32</x:v>
      </x:c>
      <x:c r="Q1563" s="26" t="n">
        <x:v>55.39</x:v>
      </x:c>
      <x:c r="R1563" s="26" t="n">
        <x:v>68.42</x:v>
      </x:c>
      <x:c r="S1563" s="26" t="n">
        <x:v>409.8</x:v>
      </x:c>
    </x:row>
    <x:row r="1564">
      <x:c r="A1564" t="n">
        <x:v>501561</x:v>
      </x:c>
      <x:c r="B1564" s="24" t="n">
        <x:v>45938</x:v>
      </x:c>
      <x:c r="C1564" t="n">
        <x:v>1033</x:v>
      </x:c>
      <x:c r="D1564" t="str">
        <x:v>Seller 1033</x:v>
      </x:c>
      <x:c r="E1564" t="str">
        <x:v>Silver</x:v>
      </x:c>
      <x:c r="F1564" t="str">
        <x:v>South</x:v>
      </x:c>
      <x:c r="G1564" t="str">
        <x:v>Beauty</x:v>
      </x:c>
      <x:c r="H1564" t="n">
        <x:v>2</x:v>
      </x:c>
      <x:c r="I1564" s="26" t="n">
        <x:v>1140.6000000000001</x:v>
      </x:c>
      <x:c r="J1564" s="26" t="n">
        <x:v>2707.2</x:v>
      </x:c>
      <x:c r="K1564" s="28" t="n">
        <x:v>0.1562</x:v>
      </x:c>
      <x:c r="L1564" s="26" t="n">
        <x:v>422.86</x:v>
      </x:c>
      <x:c r="M1564" t="n">
        <x:v>0</x:v>
      </x:c>
      <x:c r="N1564" s="26" t="n">
        <x:v>0</x:v>
      </x:c>
      <x:c r="O1564" s="26" t="n">
        <x:v>50.08</x:v>
      </x:c>
      <x:c r="P1564" s="26" t="n">
        <x:v>12.18</x:v>
      </x:c>
      <x:c r="Q1564" s="26" t="n">
        <x:v>23.01</x:v>
      </x:c>
      <x:c r="R1564" s="26" t="n">
        <x:v>28.43</x:v>
      </x:c>
      <x:c r="S1564" s="26" t="n">
        <x:v>309.16</x:v>
      </x:c>
    </x:row>
    <x:row r="1565">
      <x:c r="A1565" t="n">
        <x:v>501562</x:v>
      </x:c>
      <x:c r="B1565" s="24" t="n">
        <x:v>45948</x:v>
      </x:c>
      <x:c r="C1565" t="n">
        <x:v>1059</x:v>
      </x:c>
      <x:c r="D1565" t="str">
        <x:v>Seller 1059</x:v>
      </x:c>
      <x:c r="E1565" t="str">
        <x:v>Bronze</x:v>
      </x:c>
      <x:c r="F1565" t="str">
        <x:v>Central</x:v>
      </x:c>
      <x:c r="G1565" t="str">
        <x:v>Sports</x:v>
      </x:c>
      <x:c r="H1565" t="n">
        <x:v>1</x:v>
      </x:c>
      <x:c r="I1565" s="26" t="n">
        <x:v>4092.5999999999995</x:v>
      </x:c>
      <x:c r="J1565" s="26" t="n">
        <x:v>3422.4</x:v>
      </x:c>
      <x:c r="K1565" s="28" t="n">
        <x:v>0.1199</x:v>
      </x:c>
      <x:c r="L1565" s="26" t="n">
        <x:v>410.35</x:v>
      </x:c>
      <x:c r="M1565" t="n">
        <x:v>0</x:v>
      </x:c>
      <x:c r="N1565" s="26" t="n">
        <x:v>0</x:v>
      </x:c>
      <x:c r="O1565" s="26" t="n">
        <x:v>63.31</x:v>
      </x:c>
      <x:c r="P1565" s="26" t="n">
        <x:v>15.4</x:v>
      </x:c>
      <x:c r="Q1565" s="26" t="n">
        <x:v>29.09</x:v>
      </x:c>
      <x:c r="R1565" s="26" t="n">
        <x:v>35.94</x:v>
      </x:c>
      <x:c r="S1565" s="26" t="n">
        <x:v>266.6</x:v>
      </x:c>
    </x:row>
    <x:row r="1566">
      <x:c r="A1566" t="n">
        <x:v>501563</x:v>
      </x:c>
      <x:c r="B1566" s="24" t="n">
        <x:v>45945</x:v>
      </x:c>
      <x:c r="C1566" t="n">
        <x:v>1042</x:v>
      </x:c>
      <x:c r="D1566" t="str">
        <x:v>Seller 1042</x:v>
      </x:c>
      <x:c r="E1566" t="str">
        <x:v>Silver</x:v>
      </x:c>
      <x:c r="F1566" t="str">
        <x:v>East</x:v>
      </x:c>
      <x:c r="G1566" t="str">
        <x:v>Beauty</x:v>
      </x:c>
      <x:c r="H1566" t="n">
        <x:v>2</x:v>
      </x:c>
      <x:c r="I1566" s="26" t="n">
        <x:v>1192.8</x:v>
      </x:c>
      <x:c r="J1566" s="26" t="n">
        <x:v>2831.4</x:v>
      </x:c>
      <x:c r="K1566" s="28" t="n">
        <x:v>0.145</x:v>
      </x:c>
      <x:c r="L1566" s="26" t="n">
        <x:v>410.55</x:v>
      </x:c>
      <x:c r="M1566" t="n">
        <x:v>0</x:v>
      </x:c>
      <x:c r="N1566" s="26" t="n">
        <x:v>0</x:v>
      </x:c>
      <x:c r="O1566" s="26" t="n">
        <x:v>52.38</x:v>
      </x:c>
      <x:c r="P1566" s="26" t="n">
        <x:v>12.74</x:v>
      </x:c>
      <x:c r="Q1566" s="26" t="n">
        <x:v>24.07</x:v>
      </x:c>
      <x:c r="R1566" s="26" t="n">
        <x:v>29.73</x:v>
      </x:c>
      <x:c r="S1566" s="26" t="n">
        <x:v>291.63</x:v>
      </x:c>
    </x:row>
    <x:row r="1567">
      <x:c r="A1567" t="n">
        <x:v>501564</x:v>
      </x:c>
      <x:c r="B1567" s="24" t="n">
        <x:v>45948</x:v>
      </x:c>
      <x:c r="C1567" t="n">
        <x:v>1030</x:v>
      </x:c>
      <x:c r="D1567" t="str">
        <x:v>Seller 1030</x:v>
      </x:c>
      <x:c r="E1567" t="str">
        <x:v>Gold</x:v>
      </x:c>
      <x:c r="F1567" t="str">
        <x:v>South</x:v>
      </x:c>
      <x:c r="G1567" t="str">
        <x:v>Pet Supplies</x:v>
      </x:c>
      <x:c r="H1567" t="n">
        <x:v>1</x:v>
      </x:c>
      <x:c r="I1567" s="26" t="n">
        <x:v>3639.6</x:v>
      </x:c>
      <x:c r="J1567" s="26" t="n">
        <x:v>5646</x:v>
      </x:c>
      <x:c r="K1567" s="28" t="n">
        <x:v>0.1222</x:v>
      </x:c>
      <x:c r="L1567" s="26" t="n">
        <x:v>689.94</x:v>
      </x:c>
      <x:c r="M1567" t="n">
        <x:v>0</x:v>
      </x:c>
      <x:c r="N1567" s="26" t="n">
        <x:v>0</x:v>
      </x:c>
      <x:c r="O1567" s="26" t="n">
        <x:v>104.45</x:v>
      </x:c>
      <x:c r="P1567" s="26" t="n">
        <x:v>25.41</x:v>
      </x:c>
      <x:c r="Q1567" s="26" t="n">
        <x:v>47.99</x:v>
      </x:c>
      <x:c r="R1567" s="26" t="n">
        <x:v>59.28</x:v>
      </x:c>
      <x:c r="S1567" s="26" t="n">
        <x:v>452.81</x:v>
      </x:c>
    </x:row>
    <x:row r="1568">
      <x:c r="A1568" t="n">
        <x:v>501565</x:v>
      </x:c>
      <x:c r="B1568" s="24" t="n">
        <x:v>45952</x:v>
      </x:c>
      <x:c r="C1568" t="n">
        <x:v>1024</x:v>
      </x:c>
      <x:c r="D1568" t="str">
        <x:v>Seller 1024</x:v>
      </x:c>
      <x:c r="E1568" t="str">
        <x:v>Gold</x:v>
      </x:c>
      <x:c r="F1568" t="str">
        <x:v>West</x:v>
      </x:c>
      <x:c r="G1568" t="str">
        <x:v>Home &amp; Kitchen</x:v>
      </x:c>
      <x:c r="H1568" t="n">
        <x:v>2</x:v>
      </x:c>
      <x:c r="I1568" s="26" t="n">
        <x:v>3074.4</x:v>
      </x:c>
      <x:c r="J1568" s="26" t="n">
        <x:v>9538.8</x:v>
      </x:c>
      <x:c r="K1568" s="28" t="n">
        <x:v>0.1314</x:v>
      </x:c>
      <x:c r="L1568" s="26" t="n">
        <x:v>1253.4</x:v>
      </x:c>
      <x:c r="M1568" t="n">
        <x:v>0</x:v>
      </x:c>
      <x:c r="N1568" s="26" t="n">
        <x:v>0</x:v>
      </x:c>
      <x:c r="O1568" s="26" t="n">
        <x:v>176.47</x:v>
      </x:c>
      <x:c r="P1568" s="26" t="n">
        <x:v>42.92</x:v>
      </x:c>
      <x:c r="Q1568" s="26" t="n">
        <x:v>81.08</x:v>
      </x:c>
      <x:c r="R1568" s="26" t="n">
        <x:v>100.16</x:v>
      </x:c>
      <x:c r="S1568" s="26" t="n">
        <x:v>852.77</x:v>
      </x:c>
    </x:row>
    <x:row r="1569">
      <x:c r="A1569" t="n">
        <x:v>501566</x:v>
      </x:c>
      <x:c r="B1569" s="24" t="n">
        <x:v>45937</x:v>
      </x:c>
      <x:c r="C1569" t="n">
        <x:v>1021</x:v>
      </x:c>
      <x:c r="D1569" t="str">
        <x:v>Seller 1021</x:v>
      </x:c>
      <x:c r="E1569" t="str">
        <x:v>Gold</x:v>
      </x:c>
      <x:c r="F1569" t="str">
        <x:v>Central</x:v>
      </x:c>
      <x:c r="G1569" t="str">
        <x:v>Beauty</x:v>
      </x:c>
      <x:c r="H1569" t="n">
        <x:v>3</x:v>
      </x:c>
      <x:c r="I1569" s="26" t="n">
        <x:v>893.4000000000001</x:v>
      </x:c>
      <x:c r="J1569" s="26" t="n">
        <x:v>4159.2</x:v>
      </x:c>
      <x:c r="K1569" s="28" t="n">
        <x:v>0.1405</x:v>
      </x:c>
      <x:c r="L1569" s="26" t="n">
        <x:v>584.37</x:v>
      </x:c>
      <x:c r="M1569" t="n">
        <x:v>0</x:v>
      </x:c>
      <x:c r="N1569" s="26" t="n">
        <x:v>0</x:v>
      </x:c>
      <x:c r="O1569" s="26" t="n">
        <x:v>76.95</x:v>
      </x:c>
      <x:c r="P1569" s="26" t="n">
        <x:v>18.72</x:v>
      </x:c>
      <x:c r="Q1569" s="26" t="n">
        <x:v>35.35</x:v>
      </x:c>
      <x:c r="R1569" s="26" t="n">
        <x:v>43.67</x:v>
      </x:c>
      <x:c r="S1569" s="26" t="n">
        <x:v>409.68</x:v>
      </x:c>
    </x:row>
    <x:row r="1570">
      <x:c r="A1570" t="n">
        <x:v>501567</x:v>
      </x:c>
      <x:c r="B1570" s="24" t="n">
        <x:v>45956</x:v>
      </x:c>
      <x:c r="C1570" t="n">
        <x:v>1072</x:v>
      </x:c>
      <x:c r="D1570" t="str">
        <x:v>Seller 1072</x:v>
      </x:c>
      <x:c r="E1570" t="str">
        <x:v>Bronze</x:v>
      </x:c>
      <x:c r="F1570" t="str">
        <x:v>South</x:v>
      </x:c>
      <x:c r="G1570" t="str">
        <x:v>Home &amp; Kitchen</x:v>
      </x:c>
      <x:c r="H1570" t="n">
        <x:v>1</x:v>
      </x:c>
      <x:c r="I1570" s="26" t="n">
        <x:v>5283</x:v>
      </x:c>
      <x:c r="J1570" s="26" t="n">
        <x:v>4418.4</x:v>
      </x:c>
      <x:c r="K1570" s="28" t="n">
        <x:v>0.1278</x:v>
      </x:c>
      <x:c r="L1570" s="26" t="n">
        <x:v>564.67</x:v>
      </x:c>
      <x:c r="M1570" t="n">
        <x:v>0</x:v>
      </x:c>
      <x:c r="N1570" s="26" t="n">
        <x:v>0</x:v>
      </x:c>
      <x:c r="O1570" s="26" t="n">
        <x:v>81.74</x:v>
      </x:c>
      <x:c r="P1570" s="26" t="n">
        <x:v>19.88</x:v>
      </x:c>
      <x:c r="Q1570" s="26" t="n">
        <x:v>37.56</x:v>
      </x:c>
      <x:c r="R1570" s="26" t="n">
        <x:v>46.39</x:v>
      </x:c>
      <x:c r="S1570" s="26" t="n">
        <x:v>379.1</x:v>
      </x:c>
    </x:row>
    <x:row r="1571">
      <x:c r="A1571" t="n">
        <x:v>501568</x:v>
      </x:c>
      <x:c r="B1571" s="24" t="n">
        <x:v>45951</x:v>
      </x:c>
      <x:c r="C1571" t="n">
        <x:v>1052</x:v>
      </x:c>
      <x:c r="D1571" t="str">
        <x:v>Seller 1052</x:v>
      </x:c>
      <x:c r="E1571" t="str">
        <x:v>Silver</x:v>
      </x:c>
      <x:c r="F1571" t="str">
        <x:v>Central</x:v>
      </x:c>
      <x:c r="G1571" t="str">
        <x:v>Home &amp; Kitchen</x:v>
      </x:c>
      <x:c r="H1571" t="n">
        <x:v>2</x:v>
      </x:c>
      <x:c r="I1571" s="26" t="n">
        <x:v>1985.4</x:v>
      </x:c>
      <x:c r="J1571" s="26" t="n">
        <x:v>4713.6</x:v>
      </x:c>
      <x:c r="K1571" s="28" t="n">
        <x:v>0.1325</x:v>
      </x:c>
      <x:c r="L1571" s="26" t="n">
        <x:v>624.55</x:v>
      </x:c>
      <x:c r="M1571" t="n">
        <x:v>0</x:v>
      </x:c>
      <x:c r="N1571" s="26" t="n">
        <x:v>0</x:v>
      </x:c>
      <x:c r="O1571" s="26" t="n">
        <x:v>87.2</x:v>
      </x:c>
      <x:c r="P1571" s="26" t="n">
        <x:v>21.21</x:v>
      </x:c>
      <x:c r="Q1571" s="26" t="n">
        <x:v>40.07</x:v>
      </x:c>
      <x:c r="R1571" s="26" t="n">
        <x:v>49.49</x:v>
      </x:c>
      <x:c r="S1571" s="26" t="n">
        <x:v>426.58</x:v>
      </x:c>
    </x:row>
    <x:row r="1572">
      <x:c r="A1572" t="n">
        <x:v>501569</x:v>
      </x:c>
      <x:c r="B1572" s="24" t="n">
        <x:v>45932</x:v>
      </x:c>
      <x:c r="C1572" t="n">
        <x:v>1038</x:v>
      </x:c>
      <x:c r="D1572" t="str">
        <x:v>Seller 1038</x:v>
      </x:c>
      <x:c r="E1572" t="str">
        <x:v>Silver</x:v>
      </x:c>
      <x:c r="F1572" t="str">
        <x:v>South</x:v>
      </x:c>
      <x:c r="G1572" t="str">
        <x:v>Sports</x:v>
      </x:c>
      <x:c r="H1572" t="n">
        <x:v>3</x:v>
      </x:c>
      <x:c r="I1572" s="26" t="n">
        <x:v>1461</x:v>
      </x:c>
      <x:c r="J1572" s="26" t="n">
        <x:v>5203.2</x:v>
      </x:c>
      <x:c r="K1572" s="28" t="n">
        <x:v>0.1214</x:v>
      </x:c>
      <x:c r="L1572" s="26" t="n">
        <x:v>631.67</x:v>
      </x:c>
      <x:c r="M1572" t="n">
        <x:v>0</x:v>
      </x:c>
      <x:c r="N1572" s="26" t="n">
        <x:v>0</x:v>
      </x:c>
      <x:c r="O1572" s="26" t="n">
        <x:v>96.26</x:v>
      </x:c>
      <x:c r="P1572" s="26" t="n">
        <x:v>23.41</x:v>
      </x:c>
      <x:c r="Q1572" s="26" t="n">
        <x:v>44.23</x:v>
      </x:c>
      <x:c r="R1572" s="26" t="n">
        <x:v>54.63</x:v>
      </x:c>
      <x:c r="S1572" s="26" t="n">
        <x:v>413.13</x:v>
      </x:c>
    </x:row>
    <x:row r="1573">
      <x:c r="A1573" t="n">
        <x:v>501570</x:v>
      </x:c>
      <x:c r="B1573" s="24" t="n">
        <x:v>45953</x:v>
      </x:c>
      <x:c r="C1573" t="n">
        <x:v>1036</x:v>
      </x:c>
      <x:c r="D1573" t="str">
        <x:v>Seller 1036</x:v>
      </x:c>
      <x:c r="E1573" t="str">
        <x:v>Silver</x:v>
      </x:c>
      <x:c r="F1573" t="str">
        <x:v>Central</x:v>
      </x:c>
      <x:c r="G1573" t="str">
        <x:v>Pet Supplies</x:v>
      </x:c>
      <x:c r="H1573" t="n">
        <x:v>2</x:v>
      </x:c>
      <x:c r="I1573" s="26" t="n">
        <x:v>1939.8</x:v>
      </x:c>
      <x:c r="J1573" s="26" t="n">
        <x:v>4605</x:v>
      </x:c>
      <x:c r="K1573" s="28" t="n">
        <x:v>0.1253</x:v>
      </x:c>
      <x:c r="L1573" s="26" t="n">
        <x:v>577.01</x:v>
      </x:c>
      <x:c r="M1573" t="n">
        <x:v>0</x:v>
      </x:c>
      <x:c r="N1573" s="26" t="n">
        <x:v>0</x:v>
      </x:c>
      <x:c r="O1573" s="26" t="n">
        <x:v>85.19</x:v>
      </x:c>
      <x:c r="P1573" s="26" t="n">
        <x:v>20.72</x:v>
      </x:c>
      <x:c r="Q1573" s="26" t="n">
        <x:v>39.14</x:v>
      </x:c>
      <x:c r="R1573" s="26" t="n">
        <x:v>48.35</x:v>
      </x:c>
      <x:c r="S1573" s="26" t="n">
        <x:v>383.6</x:v>
      </x:c>
    </x:row>
    <x:row r="1574">
      <x:c r="A1574" t="n">
        <x:v>501571</x:v>
      </x:c>
      <x:c r="B1574" s="24" t="n">
        <x:v>45945</x:v>
      </x:c>
      <x:c r="C1574" t="n">
        <x:v>1028</x:v>
      </x:c>
      <x:c r="D1574" t="str">
        <x:v>Seller 1028</x:v>
      </x:c>
      <x:c r="E1574" t="str">
        <x:v>Gold</x:v>
      </x:c>
      <x:c r="F1574" t="str">
        <x:v>Central</x:v>
      </x:c>
      <x:c r="G1574" t="str">
        <x:v>Sports</x:v>
      </x:c>
      <x:c r="H1574" t="n">
        <x:v>1</x:v>
      </x:c>
      <x:c r="I1574" s="26" t="n">
        <x:v>5462.400000000001</x:v>
      </x:c>
      <x:c r="J1574" s="26" t="n">
        <x:v>8473.8</x:v>
      </x:c>
      <x:c r="K1574" s="28" t="n">
        <x:v>0.1366</x:v>
      </x:c>
      <x:c r="L1574" s="26" t="n">
        <x:v>1157.52</x:v>
      </x:c>
      <x:c r="M1574" t="n">
        <x:v>0</x:v>
      </x:c>
      <x:c r="N1574" s="26" t="n">
        <x:v>0</x:v>
      </x:c>
      <x:c r="O1574" s="26" t="n">
        <x:v>156.77</x:v>
      </x:c>
      <x:c r="P1574" s="26" t="n">
        <x:v>38.13</x:v>
      </x:c>
      <x:c r="Q1574" s="26" t="n">
        <x:v>72.03</x:v>
      </x:c>
      <x:c r="R1574" s="26" t="n">
        <x:v>88.97</x:v>
      </x:c>
      <x:c r="S1574" s="26" t="n">
        <x:v>801.62</x:v>
      </x:c>
    </x:row>
    <x:row r="1575">
      <x:c r="A1575" t="n">
        <x:v>501572</x:v>
      </x:c>
      <x:c r="B1575" s="24" t="n">
        <x:v>45940</x:v>
      </x:c>
      <x:c r="C1575" t="n">
        <x:v>1071</x:v>
      </x:c>
      <x:c r="D1575" t="str">
        <x:v>Seller 1071</x:v>
      </x:c>
      <x:c r="E1575" t="str">
        <x:v>Bronze</x:v>
      </x:c>
      <x:c r="F1575" t="str">
        <x:v>Central</x:v>
      </x:c>
      <x:c r="G1575" t="str">
        <x:v>Home &amp; Kitchen</x:v>
      </x:c>
      <x:c r="H1575" t="n">
        <x:v>1</x:v>
      </x:c>
      <x:c r="I1575" s="26" t="n">
        <x:v>5319.599999999999</x:v>
      </x:c>
      <x:c r="J1575" s="26" t="n">
        <x:v>4449</x:v>
      </x:c>
      <x:c r="K1575" s="28" t="n">
        <x:v>0.1369</x:v>
      </x:c>
      <x:c r="L1575" s="26" t="n">
        <x:v>609.07</x:v>
      </x:c>
      <x:c r="M1575" t="n">
        <x:v>0</x:v>
      </x:c>
      <x:c r="N1575" s="26" t="n">
        <x:v>0</x:v>
      </x:c>
      <x:c r="O1575" s="26" t="n">
        <x:v>82.31</x:v>
      </x:c>
      <x:c r="P1575" s="26" t="n">
        <x:v>20.02</x:v>
      </x:c>
      <x:c r="Q1575" s="26" t="n">
        <x:v>37.82</x:v>
      </x:c>
      <x:c r="R1575" s="26" t="n">
        <x:v>46.71</x:v>
      </x:c>
      <x:c r="S1575" s="26" t="n">
        <x:v>422.21</x:v>
      </x:c>
    </x:row>
    <x:row r="1576">
      <x:c r="A1576" t="n">
        <x:v>501573</x:v>
      </x:c>
      <x:c r="B1576" s="24" t="n">
        <x:v>45957</x:v>
      </x:c>
      <x:c r="C1576" t="n">
        <x:v>1034</x:v>
      </x:c>
      <x:c r="D1576" t="str">
        <x:v>Seller 1034</x:v>
      </x:c>
      <x:c r="E1576" t="str">
        <x:v>Silver</x:v>
      </x:c>
      <x:c r="F1576" t="str">
        <x:v>Central</x:v>
      </x:c>
      <x:c r="G1576" t="str">
        <x:v>Sports</x:v>
      </x:c>
      <x:c r="H1576" t="n">
        <x:v>4</x:v>
      </x:c>
      <x:c r="I1576" s="26" t="n">
        <x:v>1065.6000000000001</x:v>
      </x:c>
      <x:c r="J1576" s="26" t="n">
        <x:v>5058.6</x:v>
      </x:c>
      <x:c r="K1576" s="28" t="n">
        <x:v>0.1223</x:v>
      </x:c>
      <x:c r="L1576" s="26" t="n">
        <x:v>618.67</x:v>
      </x:c>
      <x:c r="M1576" t="n">
        <x:v>0</x:v>
      </x:c>
      <x:c r="N1576" s="26" t="n">
        <x:v>0</x:v>
      </x:c>
      <x:c r="O1576" s="26" t="n">
        <x:v>93.58</x:v>
      </x:c>
      <x:c r="P1576" s="26" t="n">
        <x:v>22.76</x:v>
      </x:c>
      <x:c r="Q1576" s="26" t="n">
        <x:v>43</x:v>
      </x:c>
      <x:c r="R1576" s="26" t="n">
        <x:v>53.12</x:v>
      </x:c>
      <x:c r="S1576" s="26" t="n">
        <x:v>406.21</x:v>
      </x:c>
    </x:row>
    <x:row r="1577">
      <x:c r="A1577" t="n">
        <x:v>501574</x:v>
      </x:c>
      <x:c r="B1577" s="24" t="n">
        <x:v>45935</x:v>
      </x:c>
      <x:c r="C1577" t="n">
        <x:v>1031</x:v>
      </x:c>
      <x:c r="D1577" t="str">
        <x:v>Seller 1031</x:v>
      </x:c>
      <x:c r="E1577" t="str">
        <x:v>Silver</x:v>
      </x:c>
      <x:c r="F1577" t="str">
        <x:v>West</x:v>
      </x:c>
      <x:c r="G1577" t="str">
        <x:v>Home &amp; Kitchen</x:v>
      </x:c>
      <x:c r="H1577" t="n">
        <x:v>1</x:v>
      </x:c>
      <x:c r="I1577" s="26" t="n">
        <x:v>5695.2</x:v>
      </x:c>
      <x:c r="J1577" s="26" t="n">
        <x:v>6760.8</x:v>
      </x:c>
      <x:c r="K1577" s="28" t="n">
        <x:v>0.1262</x:v>
      </x:c>
      <x:c r="L1577" s="26" t="n">
        <x:v>853.21</x:v>
      </x:c>
      <x:c r="M1577" t="n">
        <x:v>0</x:v>
      </x:c>
      <x:c r="N1577" s="26" t="n">
        <x:v>0</x:v>
      </x:c>
      <x:c r="O1577" s="26" t="n">
        <x:v>125.07</x:v>
      </x:c>
      <x:c r="P1577" s="26" t="n">
        <x:v>30.42</x:v>
      </x:c>
      <x:c r="Q1577" s="26" t="n">
        <x:v>57.47</x:v>
      </x:c>
      <x:c r="R1577" s="26" t="n">
        <x:v>70.99</x:v>
      </x:c>
      <x:c r="S1577" s="26" t="n">
        <x:v>569.26</x:v>
      </x:c>
    </x:row>
    <x:row r="1578">
      <x:c r="A1578" t="n">
        <x:v>501575</x:v>
      </x:c>
      <x:c r="B1578" s="24" t="n">
        <x:v>45931</x:v>
      </x:c>
      <x:c r="C1578" t="n">
        <x:v>1069</x:v>
      </x:c>
      <x:c r="D1578" t="str">
        <x:v>Seller 1069</x:v>
      </x:c>
      <x:c r="E1578" t="str">
        <x:v>Bronze</x:v>
      </x:c>
      <x:c r="F1578" t="str">
        <x:v>East</x:v>
      </x:c>
      <x:c r="G1578" t="str">
        <x:v>Electronics</x:v>
      </x:c>
      <x:c r="H1578" t="n">
        <x:v>4</x:v>
      </x:c>
      <x:c r="I1578" s="26" t="n">
        <x:v>3061.8</x:v>
      </x:c>
      <x:c r="J1578" s="26" t="n">
        <x:v>10243.2</x:v>
      </x:c>
      <x:c r="K1578" s="28" t="n">
        <x:v>0.1367</x:v>
      </x:c>
      <x:c r="L1578" s="26" t="n">
        <x:v>1400.25</x:v>
      </x:c>
      <x:c r="M1578" t="n">
        <x:v>0</x:v>
      </x:c>
      <x:c r="N1578" s="26" t="n">
        <x:v>0</x:v>
      </x:c>
      <x:c r="O1578" s="26" t="n">
        <x:v>189.5</x:v>
      </x:c>
      <x:c r="P1578" s="26" t="n">
        <x:v>46.09</x:v>
      </x:c>
      <x:c r="Q1578" s="26" t="n">
        <x:v>87.07</x:v>
      </x:c>
      <x:c r="R1578" s="26" t="n">
        <x:v>107.55</x:v>
      </x:c>
      <x:c r="S1578" s="26" t="n">
        <x:v>970.03</x:v>
      </x:c>
    </x:row>
    <x:row r="1579">
      <x:c r="A1579" t="n">
        <x:v>501576</x:v>
      </x:c>
      <x:c r="B1579" s="24" t="n">
        <x:v>45936</x:v>
      </x:c>
      <x:c r="C1579" t="n">
        <x:v>1078</x:v>
      </x:c>
      <x:c r="D1579" t="str">
        <x:v>Seller 1078</x:v>
      </x:c>
      <x:c r="E1579" t="str">
        <x:v>Bronze</x:v>
      </x:c>
      <x:c r="F1579" t="str">
        <x:v>East</x:v>
      </x:c>
      <x:c r="G1579" t="str">
        <x:v>Home &amp; Kitchen</x:v>
      </x:c>
      <x:c r="H1579" t="n">
        <x:v>1</x:v>
      </x:c>
      <x:c r="I1579" s="26" t="n">
        <x:v>5419.2</x:v>
      </x:c>
      <x:c r="J1579" s="26" t="n">
        <x:v>4532.4</x:v>
      </x:c>
      <x:c r="K1579" s="28" t="n">
        <x:v>0.1464</x:v>
      </x:c>
      <x:c r="L1579" s="26" t="n">
        <x:v>663.54</x:v>
      </x:c>
      <x:c r="M1579" t="n">
        <x:v>0</x:v>
      </x:c>
      <x:c r="N1579" s="26" t="n">
        <x:v>0</x:v>
      </x:c>
      <x:c r="O1579" s="26" t="n">
        <x:v>83.85</x:v>
      </x:c>
      <x:c r="P1579" s="26" t="n">
        <x:v>20.4</x:v>
      </x:c>
      <x:c r="Q1579" s="26" t="n">
        <x:v>38.53</x:v>
      </x:c>
      <x:c r="R1579" s="26" t="n">
        <x:v>47.59</x:v>
      </x:c>
      <x:c r="S1579" s="26" t="n">
        <x:v>473.18</x:v>
      </x:c>
    </x:row>
    <x:row r="1580">
      <x:c r="A1580" t="n">
        <x:v>501577</x:v>
      </x:c>
      <x:c r="B1580" s="24" t="n">
        <x:v>45945</x:v>
      </x:c>
      <x:c r="C1580" t="n">
        <x:v>1074</x:v>
      </x:c>
      <x:c r="D1580" t="str">
        <x:v>Seller 1074</x:v>
      </x:c>
      <x:c r="E1580" t="str">
        <x:v>Bronze</x:v>
      </x:c>
      <x:c r="F1580" t="str">
        <x:v>East</x:v>
      </x:c>
      <x:c r="G1580" t="str">
        <x:v>Apparel</x:v>
      </x:c>
      <x:c r="H1580" t="n">
        <x:v>1</x:v>
      </x:c>
      <x:c r="I1580" s="26" t="n">
        <x:v>3595.2000000000003</x:v>
      </x:c>
      <x:c r="J1580" s="26" t="n">
        <x:v>3007.2</x:v>
      </x:c>
      <x:c r="K1580" s="28" t="n">
        <x:v>0.1185</x:v>
      </x:c>
      <x:c r="L1580" s="26" t="n">
        <x:v>356.35</x:v>
      </x:c>
      <x:c r="M1580" t="n">
        <x:v>0</x:v>
      </x:c>
      <x:c r="N1580" s="26" t="n">
        <x:v>0</x:v>
      </x:c>
      <x:c r="O1580" s="26" t="n">
        <x:v>55.63</x:v>
      </x:c>
      <x:c r="P1580" s="26" t="n">
        <x:v>13.53</x:v>
      </x:c>
      <x:c r="Q1580" s="26" t="n">
        <x:v>25.56</x:v>
      </x:c>
      <x:c r="R1580" s="26" t="n">
        <x:v>31.58</x:v>
      </x:c>
      <x:c r="S1580" s="26" t="n">
        <x:v>230.05</x:v>
      </x:c>
    </x:row>
    <x:row r="1581">
      <x:c r="A1581" t="n">
        <x:v>501578</x:v>
      </x:c>
      <x:c r="B1581" s="24" t="n">
        <x:v>45930</x:v>
      </x:c>
      <x:c r="C1581" t="n">
        <x:v>1058</x:v>
      </x:c>
      <x:c r="D1581" t="str">
        <x:v>Seller 1058</x:v>
      </x:c>
      <x:c r="E1581" t="str">
        <x:v>Bronze</x:v>
      </x:c>
      <x:c r="F1581" t="str">
        <x:v>East</x:v>
      </x:c>
      <x:c r="G1581" t="str">
        <x:v>Beauty</x:v>
      </x:c>
      <x:c r="H1581" t="n">
        <x:v>3</x:v>
      </x:c>
      <x:c r="I1581" s="26" t="n">
        <x:v>949.2</x:v>
      </x:c>
      <x:c r="J1581" s="26" t="n">
        <x:v>2381.4</x:v>
      </x:c>
      <x:c r="K1581" s="28" t="n">
        <x:v>0.1538</x:v>
      </x:c>
      <x:c r="L1581" s="26" t="n">
        <x:v>366.26</x:v>
      </x:c>
      <x:c r="M1581" t="n">
        <x:v>0</x:v>
      </x:c>
      <x:c r="N1581" s="26" t="n">
        <x:v>0</x:v>
      </x:c>
      <x:c r="O1581" s="26" t="n">
        <x:v>44.06</x:v>
      </x:c>
      <x:c r="P1581" s="26" t="n">
        <x:v>10.72</x:v>
      </x:c>
      <x:c r="Q1581" s="26" t="n">
        <x:v>20.24</x:v>
      </x:c>
      <x:c r="R1581" s="26" t="n">
        <x:v>25</x:v>
      </x:c>
      <x:c r="S1581" s="26" t="n">
        <x:v>266.24</x:v>
      </x:c>
    </x:row>
    <x:row r="1582">
      <x:c r="A1582" t="n">
        <x:v>501579</x:v>
      </x:c>
      <x:c r="B1582" s="24" t="n">
        <x:v>45932</x:v>
      </x:c>
      <x:c r="C1582" t="n">
        <x:v>1036</x:v>
      </x:c>
      <x:c r="D1582" t="str">
        <x:v>Seller 1036</x:v>
      </x:c>
      <x:c r="E1582" t="str">
        <x:v>Silver</x:v>
      </x:c>
      <x:c r="F1582" t="str">
        <x:v>Central</x:v>
      </x:c>
      <x:c r="G1582" t="str">
        <x:v>Pet Supplies</x:v>
      </x:c>
      <x:c r="H1582" t="n">
        <x:v>3</x:v>
      </x:c>
      <x:c r="I1582" s="26" t="n">
        <x:v>909</x:v>
      </x:c>
      <x:c r="J1582" s="26" t="n">
        <x:v>3238.2</x:v>
      </x:c>
      <x:c r="K1582" s="28" t="n">
        <x:v>0.1371</x:v>
      </x:c>
      <x:c r="L1582" s="26" t="n">
        <x:v>443.96</x:v>
      </x:c>
      <x:c r="M1582" t="n">
        <x:v>0</x:v>
      </x:c>
      <x:c r="N1582" s="26" t="n">
        <x:v>0</x:v>
      </x:c>
      <x:c r="O1582" s="26" t="n">
        <x:v>59.91</x:v>
      </x:c>
      <x:c r="P1582" s="26" t="n">
        <x:v>14.57</x:v>
      </x:c>
      <x:c r="Q1582" s="26" t="n">
        <x:v>27.52</x:v>
      </x:c>
      <x:c r="R1582" s="26" t="n">
        <x:v>34</x:v>
      </x:c>
      <x:c r="S1582" s="26" t="n">
        <x:v>307.95</x:v>
      </x:c>
    </x:row>
    <x:row r="1583">
      <x:c r="A1583" t="n">
        <x:v>501580</x:v>
      </x:c>
      <x:c r="B1583" s="24" t="n">
        <x:v>45956</x:v>
      </x:c>
      <x:c r="C1583" t="n">
        <x:v>1051</x:v>
      </x:c>
      <x:c r="D1583" t="str">
        <x:v>Seller 1051</x:v>
      </x:c>
      <x:c r="E1583" t="str">
        <x:v>Silver</x:v>
      </x:c>
      <x:c r="F1583" t="str">
        <x:v>East</x:v>
      </x:c>
      <x:c r="G1583" t="str">
        <x:v>Sports</x:v>
      </x:c>
      <x:c r="H1583" t="n">
        <x:v>1</x:v>
      </x:c>
      <x:c r="I1583" s="26" t="n">
        <x:v>4694.4</x:v>
      </x:c>
      <x:c r="J1583" s="26" t="n">
        <x:v>5572.8</x:v>
      </x:c>
      <x:c r="K1583" s="28" t="n">
        <x:v>0.1322</x:v>
      </x:c>
      <x:c r="L1583" s="26" t="n">
        <x:v>736.72</x:v>
      </x:c>
      <x:c r="M1583" t="n">
        <x:v>0</x:v>
      </x:c>
      <x:c r="N1583" s="26" t="n">
        <x:v>0</x:v>
      </x:c>
      <x:c r="O1583" s="26" t="n">
        <x:v>103.1</x:v>
      </x:c>
      <x:c r="P1583" s="26" t="n">
        <x:v>25.08</x:v>
      </x:c>
      <x:c r="Q1583" s="26" t="n">
        <x:v>47.37</x:v>
      </x:c>
      <x:c r="R1583" s="26" t="n">
        <x:v>58.51</x:v>
      </x:c>
      <x:c r="S1583" s="26" t="n">
        <x:v>502.67</x:v>
      </x:c>
    </x:row>
    <x:row r="1584">
      <x:c r="A1584" t="n">
        <x:v>501581</x:v>
      </x:c>
      <x:c r="B1584" s="24" t="n">
        <x:v>45929</x:v>
      </x:c>
      <x:c r="C1584" t="n">
        <x:v>1066</x:v>
      </x:c>
      <x:c r="D1584" t="str">
        <x:v>Seller 1066</x:v>
      </x:c>
      <x:c r="E1584" t="str">
        <x:v>Bronze</x:v>
      </x:c>
      <x:c r="F1584" t="str">
        <x:v>South</x:v>
      </x:c>
      <x:c r="G1584" t="str">
        <x:v>Home &amp; Kitchen</x:v>
      </x:c>
      <x:c r="H1584" t="n">
        <x:v>2</x:v>
      </x:c>
      <x:c r="I1584" s="26" t="n">
        <x:v>1363.8</x:v>
      </x:c>
      <x:c r="J1584" s="26" t="n">
        <x:v>2280.6</x:v>
      </x:c>
      <x:c r="K1584" s="28" t="n">
        <x:v>0.1371</x:v>
      </x:c>
      <x:c r="L1584" s="26" t="n">
        <x:v>312.67</x:v>
      </x:c>
      <x:c r="M1584" t="n">
        <x:v>0</x:v>
      </x:c>
      <x:c r="N1584" s="26" t="n">
        <x:v>0</x:v>
      </x:c>
      <x:c r="O1584" s="26" t="n">
        <x:v>42.19</x:v>
      </x:c>
      <x:c r="P1584" s="26" t="n">
        <x:v>10.26</x:v>
      </x:c>
      <x:c r="Q1584" s="26" t="n">
        <x:v>19.39</x:v>
      </x:c>
      <x:c r="R1584" s="26" t="n">
        <x:v>23.95</x:v>
      </x:c>
      <x:c r="S1584" s="26" t="n">
        <x:v>216.89</x:v>
      </x:c>
    </x:row>
    <x:row r="1585">
      <x:c r="A1585" t="n">
        <x:v>501582</x:v>
      </x:c>
      <x:c r="B1585" s="24" t="n">
        <x:v>45934</x:v>
      </x:c>
      <x:c r="C1585" t="n">
        <x:v>1046</x:v>
      </x:c>
      <x:c r="D1585" t="str">
        <x:v>Seller 1046</x:v>
      </x:c>
      <x:c r="E1585" t="str">
        <x:v>Silver</x:v>
      </x:c>
      <x:c r="F1585" t="str">
        <x:v>Central</x:v>
      </x:c>
      <x:c r="G1585" t="str">
        <x:v>Sports</x:v>
      </x:c>
      <x:c r="H1585" t="n">
        <x:v>2</x:v>
      </x:c>
      <x:c r="I1585" s="26" t="n">
        <x:v>2141.3999999999996</x:v>
      </x:c>
      <x:c r="J1585" s="26" t="n">
        <x:v>5084.4</x:v>
      </x:c>
      <x:c r="K1585" s="28" t="n">
        <x:v>0.1175</x:v>
      </x:c>
      <x:c r="L1585" s="26" t="n">
        <x:v>597.42</x:v>
      </x:c>
      <x:c r="M1585" t="n">
        <x:v>0</x:v>
      </x:c>
      <x:c r="N1585" s="26" t="n">
        <x:v>0</x:v>
      </x:c>
      <x:c r="O1585" s="26" t="n">
        <x:v>94.06</x:v>
      </x:c>
      <x:c r="P1585" s="26" t="n">
        <x:v>22.88</x:v>
      </x:c>
      <x:c r="Q1585" s="26" t="n">
        <x:v>43.22</x:v>
      </x:c>
      <x:c r="R1585" s="26" t="n">
        <x:v>53.39</x:v>
      </x:c>
      <x:c r="S1585" s="26" t="n">
        <x:v>383.87</x:v>
      </x:c>
    </x:row>
    <x:row r="1586">
      <x:c r="A1586" t="n">
        <x:v>501583</x:v>
      </x:c>
      <x:c r="B1586" s="24" t="n">
        <x:v>45931</x:v>
      </x:c>
      <x:c r="C1586" t="n">
        <x:v>1032</x:v>
      </x:c>
      <x:c r="D1586" t="str">
        <x:v>Seller 1032</x:v>
      </x:c>
      <x:c r="E1586" t="str">
        <x:v>Silver</x:v>
      </x:c>
      <x:c r="F1586" t="str">
        <x:v>West</x:v>
      </x:c>
      <x:c r="G1586" t="str">
        <x:v>Home &amp; Kitchen</x:v>
      </x:c>
      <x:c r="H1586" t="n">
        <x:v>2</x:v>
      </x:c>
      <x:c r="I1586" s="26" t="n">
        <x:v>2377.2</x:v>
      </x:c>
      <x:c r="J1586" s="26" t="n">
        <x:v>5644.2</x:v>
      </x:c>
      <x:c r="K1586" s="28" t="n">
        <x:v>0.1453</x:v>
      </x:c>
      <x:c r="L1586" s="26" t="n">
        <x:v>820.1</x:v>
      </x:c>
      <x:c r="M1586" t="n">
        <x:v>0</x:v>
      </x:c>
      <x:c r="N1586" s="26" t="n">
        <x:v>0</x:v>
      </x:c>
      <x:c r="O1586" s="26" t="n">
        <x:v>104.42</x:v>
      </x:c>
      <x:c r="P1586" s="26" t="n">
        <x:v>25.4</x:v>
      </x:c>
      <x:c r="Q1586" s="26" t="n">
        <x:v>47.98</x:v>
      </x:c>
      <x:c r="R1586" s="26" t="n">
        <x:v>59.26</x:v>
      </x:c>
      <x:c r="S1586" s="26" t="n">
        <x:v>583.05</x:v>
      </x:c>
    </x:row>
    <x:row r="1587">
      <x:c r="A1587" t="n">
        <x:v>501584</x:v>
      </x:c>
      <x:c r="B1587" s="24" t="n">
        <x:v>45938</x:v>
      </x:c>
      <x:c r="C1587" t="n">
        <x:v>1052</x:v>
      </x:c>
      <x:c r="D1587" t="str">
        <x:v>Seller 1052</x:v>
      </x:c>
      <x:c r="E1587" t="str">
        <x:v>Silver</x:v>
      </x:c>
      <x:c r="F1587" t="str">
        <x:v>Central</x:v>
      </x:c>
      <x:c r="G1587" t="str">
        <x:v>Pet Supplies</x:v>
      </x:c>
      <x:c r="H1587" t="n">
        <x:v>3</x:v>
      </x:c>
      <x:c r="I1587" s="26" t="n">
        <x:v>962.4</x:v>
      </x:c>
      <x:c r="J1587" s="26" t="n">
        <x:v>3426.6</x:v>
      </x:c>
      <x:c r="K1587" s="28" t="n">
        <x:v>0.1298</x:v>
      </x:c>
      <x:c r="L1587" s="26" t="n">
        <x:v>444.77</x:v>
      </x:c>
      <x:c r="M1587" t="n">
        <x:v>0</x:v>
      </x:c>
      <x:c r="N1587" s="26" t="n">
        <x:v>0</x:v>
      </x:c>
      <x:c r="O1587" s="26" t="n">
        <x:v>63.39</x:v>
      </x:c>
      <x:c r="P1587" s="26" t="n">
        <x:v>15.42</x:v>
      </x:c>
      <x:c r="Q1587" s="26" t="n">
        <x:v>29.13</x:v>
      </x:c>
      <x:c r="R1587" s="26" t="n">
        <x:v>35.98</x:v>
      </x:c>
      <x:c r="S1587" s="26" t="n">
        <x:v>300.86</x:v>
      </x:c>
    </x:row>
    <x:row r="1588">
      <x:c r="A1588" t="n">
        <x:v>501585</x:v>
      </x:c>
      <x:c r="B1588" s="24" t="n">
        <x:v>45940</x:v>
      </x:c>
      <x:c r="C1588" t="n">
        <x:v>1024</x:v>
      </x:c>
      <x:c r="D1588" t="str">
        <x:v>Seller 1024</x:v>
      </x:c>
      <x:c r="E1588" t="str">
        <x:v>Gold</x:v>
      </x:c>
      <x:c r="F1588" t="str">
        <x:v>West</x:v>
      </x:c>
      <x:c r="G1588" t="str">
        <x:v>Pet Supplies</x:v>
      </x:c>
      <x:c r="H1588" t="n">
        <x:v>1</x:v>
      </x:c>
      <x:c r="I1588" s="26" t="n">
        <x:v>3429</x:v>
      </x:c>
      <x:c r="J1588" s="26" t="n">
        <x:v>5319</x:v>
      </x:c>
      <x:c r="K1588" s="28" t="n">
        <x:v>0.1411</x:v>
      </x:c>
      <x:c r="L1588" s="26" t="n">
        <x:v>750.51</x:v>
      </x:c>
      <x:c r="M1588" t="n">
        <x:v>0</x:v>
      </x:c>
      <x:c r="N1588" s="26" t="n">
        <x:v>0</x:v>
      </x:c>
      <x:c r="O1588" s="26" t="n">
        <x:v>98.4</x:v>
      </x:c>
      <x:c r="P1588" s="26" t="n">
        <x:v>23.94</x:v>
      </x:c>
      <x:c r="Q1588" s="26" t="n">
        <x:v>45.21</x:v>
      </x:c>
      <x:c r="R1588" s="26" t="n">
        <x:v>55.85</x:v>
      </x:c>
      <x:c r="S1588" s="26" t="n">
        <x:v>527.11</x:v>
      </x:c>
    </x:row>
    <x:row r="1589">
      <x:c r="A1589" t="n">
        <x:v>501586</x:v>
      </x:c>
      <x:c r="B1589" s="24" t="n">
        <x:v>45958</x:v>
      </x:c>
      <x:c r="C1589" t="n">
        <x:v>1026</x:v>
      </x:c>
      <x:c r="D1589" t="str">
        <x:v>Seller 1026</x:v>
      </x:c>
      <x:c r="E1589" t="str">
        <x:v>Gold</x:v>
      </x:c>
      <x:c r="F1589" t="str">
        <x:v>East</x:v>
      </x:c>
      <x:c r="G1589" t="str">
        <x:v>Home &amp; Kitchen</x:v>
      </x:c>
      <x:c r="H1589" t="n">
        <x:v>3</x:v>
      </x:c>
      <x:c r="I1589" s="26" t="n">
        <x:v>1590</x:v>
      </x:c>
      <x:c r="J1589" s="26" t="n">
        <x:v>7176.6</x:v>
      </x:c>
      <x:c r="K1589" s="28" t="n">
        <x:v>0.1372</x:v>
      </x:c>
      <x:c r="L1589" s="26" t="n">
        <x:v>984.63</x:v>
      </x:c>
      <x:c r="M1589" t="n">
        <x:v>0</x:v>
      </x:c>
      <x:c r="N1589" s="26" t="n">
        <x:v>0</x:v>
      </x:c>
      <x:c r="O1589" s="26" t="n">
        <x:v>132.77</x:v>
      </x:c>
      <x:c r="P1589" s="26" t="n">
        <x:v>32.29</x:v>
      </x:c>
      <x:c r="Q1589" s="26" t="n">
        <x:v>61</x:v>
      </x:c>
      <x:c r="R1589" s="26" t="n">
        <x:v>75.35</x:v>
      </x:c>
      <x:c r="S1589" s="26" t="n">
        <x:v>683.21</x:v>
      </x:c>
    </x:row>
    <x:row r="1590">
      <x:c r="A1590" t="n">
        <x:v>501587</x:v>
      </x:c>
      <x:c r="B1590" s="24" t="n">
        <x:v>45958</x:v>
      </x:c>
      <x:c r="C1590" t="n">
        <x:v>1078</x:v>
      </x:c>
      <x:c r="D1590" t="str">
        <x:v>Seller 1078</x:v>
      </x:c>
      <x:c r="E1590" t="str">
        <x:v>Bronze</x:v>
      </x:c>
      <x:c r="F1590" t="str">
        <x:v>East</x:v>
      </x:c>
      <x:c r="G1590" t="str">
        <x:v>Home &amp; Kitchen</x:v>
      </x:c>
      <x:c r="H1590" t="n">
        <x:v>1</x:v>
      </x:c>
      <x:c r="I1590" s="26" t="n">
        <x:v>4710.6</x:v>
      </x:c>
      <x:c r="J1590" s="26" t="n">
        <x:v>3821.4</x:v>
      </x:c>
      <x:c r="K1590" s="28" t="n">
        <x:v>0.1313</x:v>
      </x:c>
      <x:c r="L1590" s="26" t="n">
        <x:v>501.75</x:v>
      </x:c>
      <x:c r="M1590" t="n">
        <x:v>0</x:v>
      </x:c>
      <x:c r="N1590" s="26" t="n">
        <x:v>0</x:v>
      </x:c>
      <x:c r="O1590" s="26" t="n">
        <x:v>70.7</x:v>
      </x:c>
      <x:c r="P1590" s="26" t="n">
        <x:v>17.2</x:v>
      </x:c>
      <x:c r="Q1590" s="26" t="n">
        <x:v>32.48</x:v>
      </x:c>
      <x:c r="R1590" s="26" t="n">
        <x:v>40.12</x:v>
      </x:c>
      <x:c r="S1590" s="26" t="n">
        <x:v>341.25</x:v>
      </x:c>
    </x:row>
    <x:row r="1591">
      <x:c r="A1591" t="n">
        <x:v>501588</x:v>
      </x:c>
      <x:c r="B1591" s="24" t="n">
        <x:v>45963</x:v>
      </x:c>
      <x:c r="C1591" t="n">
        <x:v>1001</x:v>
      </x:c>
      <x:c r="D1591" t="str">
        <x:v>Seller 1001</x:v>
      </x:c>
      <x:c r="E1591" t="str">
        <x:v>Platinum</x:v>
      </x:c>
      <x:c r="F1591" t="str">
        <x:v>East</x:v>
      </x:c>
      <x:c r="G1591" t="str">
        <x:v>Electronics</x:v>
      </x:c>
      <x:c r="H1591" t="n">
        <x:v>2</x:v>
      </x:c>
      <x:c r="I1591" s="26" t="n">
        <x:v>5521.8</x:v>
      </x:c>
      <x:c r="J1591" s="26" t="n">
        <x:v>22397.4</x:v>
      </x:c>
      <x:c r="K1591" s="28" t="n">
        <x:v>0.1326</x:v>
      </x:c>
      <x:c r="L1591" s="26" t="n">
        <x:v>2969.9</x:v>
      </x:c>
      <x:c r="M1591" t="n">
        <x:v>0</x:v>
      </x:c>
      <x:c r="N1591" s="26" t="n">
        <x:v>0</x:v>
      </x:c>
      <x:c r="O1591" s="26" t="n">
        <x:v>414.35</x:v>
      </x:c>
      <x:c r="P1591" s="26" t="n">
        <x:v>100.79</x:v>
      </x:c>
      <x:c r="Q1591" s="26" t="n">
        <x:v>190.38</x:v>
      </x:c>
      <x:c r="R1591" s="26" t="n">
        <x:v>235.17</x:v>
      </x:c>
      <x:c r="S1591" s="26" t="n">
        <x:v>2029.2</x:v>
      </x:c>
    </x:row>
    <x:row r="1592">
      <x:c r="A1592" t="n">
        <x:v>501589</x:v>
      </x:c>
      <x:c r="B1592" s="24" t="n">
        <x:v>45962</x:v>
      </x:c>
      <x:c r="C1592" t="n">
        <x:v>1025</x:v>
      </x:c>
      <x:c r="D1592" t="str">
        <x:v>Seller 1025</x:v>
      </x:c>
      <x:c r="E1592" t="str">
        <x:v>Gold</x:v>
      </x:c>
      <x:c r="F1592" t="str">
        <x:v>Central</x:v>
      </x:c>
      <x:c r="G1592" t="str">
        <x:v>Pet Supplies</x:v>
      </x:c>
      <x:c r="H1592" t="n">
        <x:v>1</x:v>
      </x:c>
      <x:c r="I1592" s="26" t="n">
        <x:v>3123.6000000000004</x:v>
      </x:c>
      <x:c r="J1592" s="26" t="n">
        <x:v>4700.4</x:v>
      </x:c>
      <x:c r="K1592" s="28" t="n">
        <x:v>0.1494</x:v>
      </x:c>
      <x:c r="L1592" s="26" t="n">
        <x:v>702.24</x:v>
      </x:c>
      <x:c r="M1592" t="n">
        <x:v>0</x:v>
      </x:c>
      <x:c r="N1592" s="26" t="n">
        <x:v>0</x:v>
      </x:c>
      <x:c r="O1592" s="26" t="n">
        <x:v>86.96</x:v>
      </x:c>
      <x:c r="P1592" s="26" t="n">
        <x:v>21.15</x:v>
      </x:c>
      <x:c r="Q1592" s="26" t="n">
        <x:v>39.95</x:v>
      </x:c>
      <x:c r="R1592" s="26" t="n">
        <x:v>49.35</x:v>
      </x:c>
      <x:c r="S1592" s="26" t="n">
        <x:v>504.82</x:v>
      </x:c>
    </x:row>
    <x:row r="1593">
      <x:c r="A1593" t="n">
        <x:v>501590</x:v>
      </x:c>
      <x:c r="B1593" s="24" t="n">
        <x:v>45984</x:v>
      </x:c>
      <x:c r="C1593" t="n">
        <x:v>1077</x:v>
      </x:c>
      <x:c r="D1593" t="str">
        <x:v>Seller 1077</x:v>
      </x:c>
      <x:c r="E1593" t="str">
        <x:v>Bronze</x:v>
      </x:c>
      <x:c r="F1593" t="str">
        <x:v>South</x:v>
      </x:c>
      <x:c r="G1593" t="str">
        <x:v>Home &amp; Kitchen</x:v>
      </x:c>
      <x:c r="H1593" t="n">
        <x:v>3</x:v>
      </x:c>
      <x:c r="I1593" s="26" t="n">
        <x:v>2020.2</x:v>
      </x:c>
      <x:c r="J1593" s="26" t="n">
        <x:v>4917</x:v>
      </x:c>
      <x:c r="K1593" s="28" t="n">
        <x:v>0.1493</x:v>
      </x:c>
      <x:c r="L1593" s="26" t="n">
        <x:v>734.11</x:v>
      </x:c>
      <x:c r="M1593" t="n">
        <x:v>0</x:v>
      </x:c>
      <x:c r="N1593" s="26" t="n">
        <x:v>0</x:v>
      </x:c>
      <x:c r="O1593" s="26" t="n">
        <x:v>90.96</x:v>
      </x:c>
      <x:c r="P1593" s="26" t="n">
        <x:v>22.13</x:v>
      </x:c>
      <x:c r="Q1593" s="26" t="n">
        <x:v>41.79</x:v>
      </x:c>
      <x:c r="R1593" s="26" t="n">
        <x:v>51.63</x:v>
      </x:c>
      <x:c r="S1593" s="26" t="n">
        <x:v>527.59</x:v>
      </x:c>
    </x:row>
    <x:row r="1594">
      <x:c r="A1594" t="n">
        <x:v>501591</x:v>
      </x:c>
      <x:c r="B1594" s="24" t="n">
        <x:v>45967</x:v>
      </x:c>
      <x:c r="C1594" t="n">
        <x:v>1057</x:v>
      </x:c>
      <x:c r="D1594" t="str">
        <x:v>Seller 1057</x:v>
      </x:c>
      <x:c r="E1594" t="str">
        <x:v>Bronze</x:v>
      </x:c>
      <x:c r="F1594" t="str">
        <x:v>South</x:v>
      </x:c>
      <x:c r="G1594" t="str">
        <x:v>Electronics</x:v>
      </x:c>
      <x:c r="H1594" t="n">
        <x:v>3</x:v>
      </x:c>
      <x:c r="I1594" s="26" t="n">
        <x:v>3108.6000000000004</x:v>
      </x:c>
      <x:c r="J1594" s="26" t="n">
        <x:v>7565.4</x:v>
      </x:c>
      <x:c r="K1594" s="28" t="n">
        <x:v>0.142</x:v>
      </x:c>
      <x:c r="L1594" s="26" t="n">
        <x:v>1074.29</x:v>
      </x:c>
      <x:c r="M1594" t="n">
        <x:v>0</x:v>
      </x:c>
      <x:c r="N1594" s="26" t="n">
        <x:v>0</x:v>
      </x:c>
      <x:c r="O1594" s="26" t="n">
        <x:v>139.96</x:v>
      </x:c>
      <x:c r="P1594" s="26" t="n">
        <x:v>34.04</x:v>
      </x:c>
      <x:c r="Q1594" s="26" t="n">
        <x:v>64.31</x:v>
      </x:c>
      <x:c r="R1594" s="26" t="n">
        <x:v>79.44</x:v>
      </x:c>
      <x:c r="S1594" s="26" t="n">
        <x:v>756.54</x:v>
      </x:c>
    </x:row>
    <x:row r="1595">
      <x:c r="A1595" t="n">
        <x:v>501592</x:v>
      </x:c>
      <x:c r="B1595" s="24" t="n">
        <x:v>45962</x:v>
      </x:c>
      <x:c r="C1595" t="n">
        <x:v>1038</x:v>
      </x:c>
      <x:c r="D1595" t="str">
        <x:v>Seller 1038</x:v>
      </x:c>
      <x:c r="E1595" t="str">
        <x:v>Silver</x:v>
      </x:c>
      <x:c r="F1595" t="str">
        <x:v>South</x:v>
      </x:c>
      <x:c r="G1595" t="str">
        <x:v>Sports</x:v>
      </x:c>
      <x:c r="H1595" t="n">
        <x:v>2</x:v>
      </x:c>
      <x:c r="I1595" s="26" t="n">
        <x:v>1835.4</x:v>
      </x:c>
      <x:c r="J1595" s="26" t="n">
        <x:v>4226.4</x:v>
      </x:c>
      <x:c r="K1595" s="28" t="n">
        <x:v>0.126</x:v>
      </x:c>
      <x:c r="L1595" s="26" t="n">
        <x:v>532.53</x:v>
      </x:c>
      <x:c r="M1595" t="n">
        <x:v>0</x:v>
      </x:c>
      <x:c r="N1595" s="26" t="n">
        <x:v>0</x:v>
      </x:c>
      <x:c r="O1595" s="26" t="n">
        <x:v>78.19</x:v>
      </x:c>
      <x:c r="P1595" s="26" t="n">
        <x:v>19.02</x:v>
      </x:c>
      <x:c r="Q1595" s="26" t="n">
        <x:v>35.92</x:v>
      </x:c>
      <x:c r="R1595" s="26" t="n">
        <x:v>44.38</x:v>
      </x:c>
      <x:c r="S1595" s="26" t="n">
        <x:v>355.02</x:v>
      </x:c>
    </x:row>
    <x:row r="1596">
      <x:c r="A1596" t="n">
        <x:v>501593</x:v>
      </x:c>
      <x:c r="B1596" s="24" t="n">
        <x:v>45975</x:v>
      </x:c>
      <x:c r="C1596" t="n">
        <x:v>1079</x:v>
      </x:c>
      <x:c r="D1596" t="str">
        <x:v>Seller 1079</x:v>
      </x:c>
      <x:c r="E1596" t="str">
        <x:v>Bronze</x:v>
      </x:c>
      <x:c r="F1596" t="str">
        <x:v>South</x:v>
      </x:c>
      <x:c r="G1596" t="str">
        <x:v>Apparel</x:v>
      </x:c>
      <x:c r="H1596" t="n">
        <x:v>3</x:v>
      </x:c>
      <x:c r="I1596" s="26" t="n">
        <x:v>1112.3999999999999</x:v>
      </x:c>
      <x:c r="J1596" s="26" t="n">
        <x:v>2706.6</x:v>
      </x:c>
      <x:c r="K1596" s="28" t="n">
        <x:v>0.1233</x:v>
      </x:c>
      <x:c r="L1596" s="26" t="n">
        <x:v>333.72</x:v>
      </x:c>
      <x:c r="M1596" t="n">
        <x:v>0</x:v>
      </x:c>
      <x:c r="N1596" s="26" t="n">
        <x:v>0</x:v>
      </x:c>
      <x:c r="O1596" s="26" t="n">
        <x:v>50.07</x:v>
      </x:c>
      <x:c r="P1596" s="26" t="n">
        <x:v>12.18</x:v>
      </x:c>
      <x:c r="Q1596" s="26" t="n">
        <x:v>23.01</x:v>
      </x:c>
      <x:c r="R1596" s="26" t="n">
        <x:v>28.42</x:v>
      </x:c>
      <x:c r="S1596" s="26" t="n">
        <x:v>220.05</x:v>
      </x:c>
    </x:row>
    <x:row r="1597">
      <x:c r="A1597" t="n">
        <x:v>501594</x:v>
      </x:c>
      <x:c r="B1597" s="24" t="n">
        <x:v>45969</x:v>
      </x:c>
      <x:c r="C1597" t="n">
        <x:v>1009</x:v>
      </x:c>
      <x:c r="D1597" t="str">
        <x:v>Seller 1009</x:v>
      </x:c>
      <x:c r="E1597" t="str">
        <x:v>Platinum</x:v>
      </x:c>
      <x:c r="F1597" t="str">
        <x:v>Central</x:v>
      </x:c>
      <x:c r="G1597" t="str">
        <x:v>Pet Supplies</x:v>
      </x:c>
      <x:c r="H1597" t="n">
        <x:v>2</x:v>
      </x:c>
      <x:c r="I1597" s="26" t="n">
        <x:v>1698</x:v>
      </x:c>
      <x:c r="J1597" s="26" t="n">
        <x:v>6887.4</x:v>
      </x:c>
      <x:c r="K1597" s="28" t="n">
        <x:v>0.1456</x:v>
      </x:c>
      <x:c r="L1597" s="26" t="n">
        <x:v>1002.81</x:v>
      </x:c>
      <x:c r="M1597" t="n">
        <x:v>0</x:v>
      </x:c>
      <x:c r="N1597" s="26" t="n">
        <x:v>0</x:v>
      </x:c>
      <x:c r="O1597" s="26" t="n">
        <x:v>127.42</x:v>
      </x:c>
      <x:c r="P1597" s="26" t="n">
        <x:v>30.99</x:v>
      </x:c>
      <x:c r="Q1597" s="26" t="n">
        <x:v>58.54</x:v>
      </x:c>
      <x:c r="R1597" s="26" t="n">
        <x:v>72.32</x:v>
      </x:c>
      <x:c r="S1597" s="26" t="n">
        <x:v>713.53</x:v>
      </x:c>
    </x:row>
    <x:row r="1598">
      <x:c r="A1598" t="n">
        <x:v>501595</x:v>
      </x:c>
      <x:c r="B1598" s="24" t="n">
        <x:v>45974</x:v>
      </x:c>
      <x:c r="C1598" t="n">
        <x:v>1008</x:v>
      </x:c>
      <x:c r="D1598" t="str">
        <x:v>Seller 1008</x:v>
      </x:c>
      <x:c r="E1598" t="str">
        <x:v>Platinum</x:v>
      </x:c>
      <x:c r="F1598" t="str">
        <x:v>West</x:v>
      </x:c>
      <x:c r="G1598" t="str">
        <x:v>Apparel</x:v>
      </x:c>
      <x:c r="H1598" t="n">
        <x:v>3</x:v>
      </x:c>
      <x:c r="I1598" s="26" t="n">
        <x:v>655.2</x:v>
      </x:c>
      <x:c r="J1598" s="26" t="n">
        <x:v>3985.8</x:v>
      </x:c>
      <x:c r="K1598" s="28" t="n">
        <x:v>0.131</x:v>
      </x:c>
      <x:c r="L1598" s="26" t="n">
        <x:v>522.14</x:v>
      </x:c>
      <x:c r="M1598" t="n">
        <x:v>0</x:v>
      </x:c>
      <x:c r="N1598" s="26" t="n">
        <x:v>0</x:v>
      </x:c>
      <x:c r="O1598" s="26" t="n">
        <x:v>73.74</x:v>
      </x:c>
      <x:c r="P1598" s="26" t="n">
        <x:v>17.94</x:v>
      </x:c>
      <x:c r="Q1598" s="26" t="n">
        <x:v>33.88</x:v>
      </x:c>
      <x:c r="R1598" s="26" t="n">
        <x:v>41.85</x:v>
      </x:c>
      <x:c r="S1598" s="26" t="n">
        <x:v>354.74</x:v>
      </x:c>
    </x:row>
    <x:row r="1599">
      <x:c r="A1599" t="n">
        <x:v>501596</x:v>
      </x:c>
      <x:c r="B1599" s="24" t="n">
        <x:v>45975</x:v>
      </x:c>
      <x:c r="C1599" t="n">
        <x:v>1012</x:v>
      </x:c>
      <x:c r="D1599" t="str">
        <x:v>Seller 1012</x:v>
      </x:c>
      <x:c r="E1599" t="str">
        <x:v>Platinum</x:v>
      </x:c>
      <x:c r="F1599" t="str">
        <x:v>East</x:v>
      </x:c>
      <x:c r="G1599" t="str">
        <x:v>Beauty</x:v>
      </x:c>
      <x:c r="H1599" t="n">
        <x:v>2</x:v>
      </x:c>
      <x:c r="I1599" s="26" t="n">
        <x:v>1553.4</x:v>
      </x:c>
      <x:c r="J1599" s="26" t="n">
        <x:v>6301.8</x:v>
      </x:c>
      <x:c r="K1599" s="28" t="n">
        <x:v>0.1528</x:v>
      </x:c>
      <x:c r="L1599" s="26" t="n">
        <x:v>962.92</x:v>
      </x:c>
      <x:c r="M1599" t="n">
        <x:v>0</x:v>
      </x:c>
      <x:c r="N1599" s="26" t="n">
        <x:v>0</x:v>
      </x:c>
      <x:c r="O1599" s="26" t="n">
        <x:v>116.58</x:v>
      </x:c>
      <x:c r="P1599" s="26" t="n">
        <x:v>28.36</x:v>
      </x:c>
      <x:c r="Q1599" s="26" t="n">
        <x:v>53.57</x:v>
      </x:c>
      <x:c r="R1599" s="26" t="n">
        <x:v>66.17</x:v>
      </x:c>
      <x:c r="S1599" s="26" t="n">
        <x:v>698.24</x:v>
      </x:c>
    </x:row>
    <x:row r="1600">
      <x:c r="A1600" t="n">
        <x:v>501597</x:v>
      </x:c>
      <x:c r="B1600" s="24" t="n">
        <x:v>45970</x:v>
      </x:c>
      <x:c r="C1600" t="n">
        <x:v>1026</x:v>
      </x:c>
      <x:c r="D1600" t="str">
        <x:v>Seller 1026</x:v>
      </x:c>
      <x:c r="E1600" t="str">
        <x:v>Gold</x:v>
      </x:c>
      <x:c r="F1600" t="str">
        <x:v>East</x:v>
      </x:c>
      <x:c r="G1600" t="str">
        <x:v>Home &amp; Kitchen</x:v>
      </x:c>
      <x:c r="H1600" t="n">
        <x:v>3</x:v>
      </x:c>
      <x:c r="I1600" s="26" t="n">
        <x:v>2142.6</x:v>
      </x:c>
      <x:c r="J1600" s="26" t="n">
        <x:v>9672.6</x:v>
      </x:c>
      <x:c r="K1600" s="28" t="n">
        <x:v>0.136</x:v>
      </x:c>
      <x:c r="L1600" s="26" t="n">
        <x:v>1315.47</x:v>
      </x:c>
      <x:c r="M1600" t="n">
        <x:v>0</x:v>
      </x:c>
      <x:c r="N1600" s="26" t="n">
        <x:v>0</x:v>
      </x:c>
      <x:c r="O1600" s="26" t="n">
        <x:v>178.94</x:v>
      </x:c>
      <x:c r="P1600" s="26" t="n">
        <x:v>43.53</x:v>
      </x:c>
      <x:c r="Q1600" s="26" t="n">
        <x:v>82.22</x:v>
      </x:c>
      <x:c r="R1600" s="26" t="n">
        <x:v>101.56</x:v>
      </x:c>
      <x:c r="S1600" s="26" t="n">
        <x:v>909.22</x:v>
      </x:c>
    </x:row>
    <x:row r="1601">
      <x:c r="A1601" t="n">
        <x:v>501598</x:v>
      </x:c>
      <x:c r="B1601" s="24" t="n">
        <x:v>45983</x:v>
      </x:c>
      <x:c r="C1601" t="n">
        <x:v>1011</x:v>
      </x:c>
      <x:c r="D1601" t="str">
        <x:v>Seller 1011</x:v>
      </x:c>
      <x:c r="E1601" t="str">
        <x:v>Platinum</x:v>
      </x:c>
      <x:c r="F1601" t="str">
        <x:v>West</x:v>
      </x:c>
      <x:c r="G1601" t="str">
        <x:v>Electronics</x:v>
      </x:c>
      <x:c r="H1601" t="n">
        <x:v>1</x:v>
      </x:c>
      <x:c r="I1601" s="26" t="n">
        <x:v>8733.6</x:v>
      </x:c>
      <x:c r="J1601" s="26" t="n">
        <x:v>17713.2</x:v>
      </x:c>
      <x:c r="K1601" s="28" t="n">
        <x:v>0.1306</x:v>
      </x:c>
      <x:c r="L1601" s="26" t="n">
        <x:v>2313.34</x:v>
      </x:c>
      <x:c r="M1601" t="n">
        <x:v>0</x:v>
      </x:c>
      <x:c r="N1601" s="26" t="n">
        <x:v>0</x:v>
      </x:c>
      <x:c r="O1601" s="26" t="n">
        <x:v>327.69</x:v>
      </x:c>
      <x:c r="P1601" s="26" t="n">
        <x:v>79.71</x:v>
      </x:c>
      <x:c r="Q1601" s="26" t="n">
        <x:v>150.56</x:v>
      </x:c>
      <x:c r="R1601" s="26" t="n">
        <x:v>185.99</x:v>
      </x:c>
      <x:c r="S1601" s="26" t="n">
        <x:v>1569.39</x:v>
      </x:c>
    </x:row>
    <x:row r="1602">
      <x:c r="A1602" t="n">
        <x:v>501599</x:v>
      </x:c>
      <x:c r="B1602" s="24" t="n">
        <x:v>45981</x:v>
      </x:c>
      <x:c r="C1602" t="n">
        <x:v>1037</x:v>
      </x:c>
      <x:c r="D1602" t="str">
        <x:v>Seller 1037</x:v>
      </x:c>
      <x:c r="E1602" t="str">
        <x:v>Silver</x:v>
      </x:c>
      <x:c r="F1602" t="str">
        <x:v>East</x:v>
      </x:c>
      <x:c r="G1602" t="str">
        <x:v>Pet Supplies</x:v>
      </x:c>
      <x:c r="H1602" t="n">
        <x:v>4</x:v>
      </x:c>
      <x:c r="I1602" s="26" t="n">
        <x:v>939.6</x:v>
      </x:c>
      <x:c r="J1602" s="26" t="n">
        <x:v>4329</x:v>
      </x:c>
      <x:c r="K1602" s="28" t="n">
        <x:v>0.1305</x:v>
      </x:c>
      <x:c r="L1602" s="26" t="n">
        <x:v>564.93</x:v>
      </x:c>
      <x:c r="M1602" t="n">
        <x:v>0</x:v>
      </x:c>
      <x:c r="N1602" s="26" t="n">
        <x:v>0</x:v>
      </x:c>
      <x:c r="O1602" s="26" t="n">
        <x:v>80.09</x:v>
      </x:c>
      <x:c r="P1602" s="26" t="n">
        <x:v>19.48</x:v>
      </x:c>
      <x:c r="Q1602" s="26" t="n">
        <x:v>36.8</x:v>
      </x:c>
      <x:c r="R1602" s="26" t="n">
        <x:v>45.45</x:v>
      </x:c>
      <x:c r="S1602" s="26" t="n">
        <x:v>383.12</x:v>
      </x:c>
    </x:row>
    <x:row r="1603">
      <x:c r="A1603" t="n">
        <x:v>501600</x:v>
      </x:c>
      <x:c r="B1603" s="24" t="n">
        <x:v>45964</x:v>
      </x:c>
      <x:c r="C1603" t="n">
        <x:v>1074</x:v>
      </x:c>
      <x:c r="D1603" t="str">
        <x:v>Seller 1074</x:v>
      </x:c>
      <x:c r="E1603" t="str">
        <x:v>Bronze</x:v>
      </x:c>
      <x:c r="F1603" t="str">
        <x:v>East</x:v>
      </x:c>
      <x:c r="G1603" t="str">
        <x:v>Electronics</x:v>
      </x:c>
      <x:c r="H1603" t="n">
        <x:v>1</x:v>
      </x:c>
      <x:c r="I1603" s="26" t="n">
        <x:v>7816.200000000001</x:v>
      </x:c>
      <x:c r="J1603" s="26" t="n">
        <x:v>6341.4</x:v>
      </x:c>
      <x:c r="K1603" s="28" t="n">
        <x:v>0.1318</x:v>
      </x:c>
      <x:c r="L1603" s="26" t="n">
        <x:v>835.8</x:v>
      </x:c>
      <x:c r="M1603" t="n">
        <x:v>0</x:v>
      </x:c>
      <x:c r="N1603" s="26" t="n">
        <x:v>0</x:v>
      </x:c>
      <x:c r="O1603" s="26" t="n">
        <x:v>117.32</x:v>
      </x:c>
      <x:c r="P1603" s="26" t="n">
        <x:v>28.54</x:v>
      </x:c>
      <x:c r="Q1603" s="26" t="n">
        <x:v>53.9</x:v>
      </x:c>
      <x:c r="R1603" s="26" t="n">
        <x:v>66.58</x:v>
      </x:c>
      <x:c r="S1603" s="26" t="n">
        <x:v>569.46</x:v>
      </x:c>
    </x:row>
    <x:row r="1604">
      <x:c r="A1604" t="n">
        <x:v>501601</x:v>
      </x:c>
      <x:c r="B1604" s="24" t="n">
        <x:v>45974</x:v>
      </x:c>
      <x:c r="C1604" t="n">
        <x:v>1046</x:v>
      </x:c>
      <x:c r="D1604" t="str">
        <x:v>Seller 1046</x:v>
      </x:c>
      <x:c r="E1604" t="str">
        <x:v>Silver</x:v>
      </x:c>
      <x:c r="F1604" t="str">
        <x:v>Central</x:v>
      </x:c>
      <x:c r="G1604" t="str">
        <x:v>Electronics</x:v>
      </x:c>
      <x:c r="H1604" t="n">
        <x:v>3</x:v>
      </x:c>
      <x:c r="I1604" s="26" t="n">
        <x:v>1954.8</x:v>
      </x:c>
      <x:c r="J1604" s="26" t="n">
        <x:v>6752.4</x:v>
      </x:c>
      <x:c r="K1604" s="28" t="n">
        <x:v>0.1294</x:v>
      </x:c>
      <x:c r="L1604" s="26" t="n">
        <x:v>873.76</x:v>
      </x:c>
      <x:c r="M1604" t="n">
        <x:v>0</x:v>
      </x:c>
      <x:c r="N1604" s="26" t="n">
        <x:v>0</x:v>
      </x:c>
      <x:c r="O1604" s="26" t="n">
        <x:v>124.92</x:v>
      </x:c>
      <x:c r="P1604" s="26" t="n">
        <x:v>30.39</x:v>
      </x:c>
      <x:c r="Q1604" s="26" t="n">
        <x:v>57.4</x:v>
      </x:c>
      <x:c r="R1604" s="26" t="n">
        <x:v>70.9</x:v>
      </x:c>
      <x:c r="S1604" s="26" t="n">
        <x:v>590.16</x:v>
      </x:c>
    </x:row>
    <x:row r="1605">
      <x:c r="A1605" t="n">
        <x:v>501602</x:v>
      </x:c>
      <x:c r="B1605" s="24" t="n">
        <x:v>45968</x:v>
      </x:c>
      <x:c r="C1605" t="n">
        <x:v>1048</x:v>
      </x:c>
      <x:c r="D1605" t="str">
        <x:v>Seller 1048</x:v>
      </x:c>
      <x:c r="E1605" t="str">
        <x:v>Silver</x:v>
      </x:c>
      <x:c r="F1605" t="str">
        <x:v>East</x:v>
      </x:c>
      <x:c r="G1605" t="str">
        <x:v>Electronics</x:v>
      </x:c>
      <x:c r="H1605" t="n">
        <x:v>3</x:v>
      </x:c>
      <x:c r="I1605" s="26" t="n">
        <x:v>3034.2</x:v>
      </x:c>
      <x:c r="J1605" s="26" t="n">
        <x:v>10480.8</x:v>
      </x:c>
      <x:c r="K1605" s="28" t="n">
        <x:v>0.13</x:v>
      </x:c>
      <x:c r="L1605" s="26" t="n">
        <x:v>1362.5</x:v>
      </x:c>
      <x:c r="M1605" t="n">
        <x:v>0</x:v>
      </x:c>
      <x:c r="N1605" s="26" t="n">
        <x:v>0</x:v>
      </x:c>
      <x:c r="O1605" s="26" t="n">
        <x:v>193.89</x:v>
      </x:c>
      <x:c r="P1605" s="26" t="n">
        <x:v>47.16</x:v>
      </x:c>
      <x:c r="Q1605" s="26" t="n">
        <x:v>89.09</x:v>
      </x:c>
      <x:c r="R1605" s="26" t="n">
        <x:v>110.05</x:v>
      </x:c>
      <x:c r="S1605" s="26" t="n">
        <x:v>922.31</x:v>
      </x:c>
    </x:row>
    <x:row r="1606">
      <x:c r="A1606" t="n">
        <x:v>501603</x:v>
      </x:c>
      <x:c r="B1606" s="24" t="n">
        <x:v>45986</x:v>
      </x:c>
      <x:c r="C1606" t="n">
        <x:v>1010</x:v>
      </x:c>
      <x:c r="D1606" t="str">
        <x:v>Seller 1010</x:v>
      </x:c>
      <x:c r="E1606" t="str">
        <x:v>Platinum</x:v>
      </x:c>
      <x:c r="F1606" t="str">
        <x:v>West</x:v>
      </x:c>
      <x:c r="G1606" t="str">
        <x:v>Home &amp; Kitchen</x:v>
      </x:c>
      <x:c r="H1606" t="n">
        <x:v>1</x:v>
      </x:c>
      <x:c r="I1606" s="26" t="n">
        <x:v>4935</x:v>
      </x:c>
      <x:c r="J1606" s="26" t="n">
        <x:v>10009.2</x:v>
      </x:c>
      <x:c r="K1606" s="28" t="n">
        <x:v>0.1437</x:v>
      </x:c>
      <x:c r="L1606" s="26" t="n">
        <x:v>1438.32</x:v>
      </x:c>
      <x:c r="M1606" t="n">
        <x:v>0</x:v>
      </x:c>
      <x:c r="N1606" s="26" t="n">
        <x:v>0</x:v>
      </x:c>
      <x:c r="O1606" s="26" t="n">
        <x:v>185.17</x:v>
      </x:c>
      <x:c r="P1606" s="26" t="n">
        <x:v>45.04</x:v>
      </x:c>
      <x:c r="Q1606" s="26" t="n">
        <x:v>85.08</x:v>
      </x:c>
      <x:c r="R1606" s="26" t="n">
        <x:v>105.1</x:v>
      </x:c>
      <x:c r="S1606" s="26" t="n">
        <x:v>1017.94</x:v>
      </x:c>
    </x:row>
    <x:row r="1607">
      <x:c r="A1607" t="n">
        <x:v>501604</x:v>
      </x:c>
      <x:c r="B1607" s="24" t="n">
        <x:v>45970</x:v>
      </x:c>
      <x:c r="C1607" t="n">
        <x:v>1015</x:v>
      </x:c>
      <x:c r="D1607" t="str">
        <x:v>Seller 1015</x:v>
      </x:c>
      <x:c r="E1607" t="str">
        <x:v>Gold</x:v>
      </x:c>
      <x:c r="F1607" t="str">
        <x:v>West</x:v>
      </x:c>
      <x:c r="G1607" t="str">
        <x:v>Electronics</x:v>
      </x:c>
      <x:c r="H1607" t="n">
        <x:v>3</x:v>
      </x:c>
      <x:c r="I1607" s="26" t="n">
        <x:v>2322.6</x:v>
      </x:c>
      <x:c r="J1607" s="26" t="n">
        <x:v>10484.4</x:v>
      </x:c>
      <x:c r="K1607" s="28" t="n">
        <x:v>0.141</x:v>
      </x:c>
      <x:c r="L1607" s="26" t="n">
        <x:v>1478.3</x:v>
      </x:c>
      <x:c r="M1607" t="n">
        <x:v>0</x:v>
      </x:c>
      <x:c r="N1607" s="26" t="n">
        <x:v>0</x:v>
      </x:c>
      <x:c r="O1607" s="26" t="n">
        <x:v>193.96</x:v>
      </x:c>
      <x:c r="P1607" s="26" t="n">
        <x:v>47.18</x:v>
      </x:c>
      <x:c r="Q1607" s="26" t="n">
        <x:v>89.12</x:v>
      </x:c>
      <x:c r="R1607" s="26" t="n">
        <x:v>110.09</x:v>
      </x:c>
      <x:c r="S1607" s="26" t="n">
        <x:v>1037.96</x:v>
      </x:c>
    </x:row>
    <x:row r="1608">
      <x:c r="A1608" t="n">
        <x:v>501605</x:v>
      </x:c>
      <x:c r="B1608" s="24" t="n">
        <x:v>45986</x:v>
      </x:c>
      <x:c r="C1608" t="n">
        <x:v>1030</x:v>
      </x:c>
      <x:c r="D1608" t="str">
        <x:v>Seller 1030</x:v>
      </x:c>
      <x:c r="E1608" t="str">
        <x:v>Gold</x:v>
      </x:c>
      <x:c r="F1608" t="str">
        <x:v>South</x:v>
      </x:c>
      <x:c r="G1608" t="str">
        <x:v>Pet Supplies</x:v>
      </x:c>
      <x:c r="H1608" t="n">
        <x:v>2</x:v>
      </x:c>
      <x:c r="I1608" s="26" t="n">
        <x:v>1495.8</x:v>
      </x:c>
      <x:c r="J1608" s="26" t="n">
        <x:v>4501.2</x:v>
      </x:c>
      <x:c r="K1608" s="28" t="n">
        <x:v>0.1294</x:v>
      </x:c>
      <x:c r="L1608" s="26" t="n">
        <x:v>582.46</x:v>
      </x:c>
      <x:c r="M1608" t="n">
        <x:v>0</x:v>
      </x:c>
      <x:c r="N1608" s="26" t="n">
        <x:v>0</x:v>
      </x:c>
      <x:c r="O1608" s="26" t="n">
        <x:v>83.27</x:v>
      </x:c>
      <x:c r="P1608" s="26" t="n">
        <x:v>20.26</x:v>
      </x:c>
      <x:c r="Q1608" s="26" t="n">
        <x:v>38.26</x:v>
      </x:c>
      <x:c r="R1608" s="26" t="n">
        <x:v>47.26</x:v>
      </x:c>
      <x:c r="S1608" s="26" t="n">
        <x:v>393.4</x:v>
      </x:c>
    </x:row>
    <x:row r="1609">
      <x:c r="A1609" t="n">
        <x:v>501606</x:v>
      </x:c>
      <x:c r="B1609" s="24" t="n">
        <x:v>45987</x:v>
      </x:c>
      <x:c r="C1609" t="n">
        <x:v>1055</x:v>
      </x:c>
      <x:c r="D1609" t="str">
        <x:v>Seller 1055</x:v>
      </x:c>
      <x:c r="E1609" t="str">
        <x:v>Bronze</x:v>
      </x:c>
      <x:c r="F1609" t="str">
        <x:v>Central</x:v>
      </x:c>
      <x:c r="G1609" t="str">
        <x:v>Pet Supplies</x:v>
      </x:c>
      <x:c r="H1609" t="n">
        <x:v>2</x:v>
      </x:c>
      <x:c r="I1609" s="26" t="n">
        <x:v>1038.6</x:v>
      </x:c>
      <x:c r="J1609" s="26" t="n">
        <x:v>1685.4</x:v>
      </x:c>
      <x:c r="K1609" s="28" t="n">
        <x:v>0.1334</x:v>
      </x:c>
      <x:c r="L1609" s="26" t="n">
        <x:v>224.83</x:v>
      </x:c>
      <x:c r="M1609" t="n">
        <x:v>0</x:v>
      </x:c>
      <x:c r="N1609" s="26" t="n">
        <x:v>0</x:v>
      </x:c>
      <x:c r="O1609" s="26" t="n">
        <x:v>31.18</x:v>
      </x:c>
      <x:c r="P1609" s="26" t="n">
        <x:v>7.58</x:v>
      </x:c>
      <x:c r="Q1609" s="26" t="n">
        <x:v>14.33</x:v>
      </x:c>
      <x:c r="R1609" s="26" t="n">
        <x:v>17.7</x:v>
      </x:c>
      <x:c r="S1609" s="26" t="n">
        <x:v>154.05</x:v>
      </x:c>
    </x:row>
    <x:row r="1610">
      <x:c r="A1610" t="n">
        <x:v>501607</x:v>
      </x:c>
      <x:c r="B1610" s="24" t="n">
        <x:v>45982</x:v>
      </x:c>
      <x:c r="C1610" t="n">
        <x:v>1035</x:v>
      </x:c>
      <x:c r="D1610" t="str">
        <x:v>Seller 1035</x:v>
      </x:c>
      <x:c r="E1610" t="str">
        <x:v>Silver</x:v>
      </x:c>
      <x:c r="F1610" t="str">
        <x:v>East</x:v>
      </x:c>
      <x:c r="G1610" t="str">
        <x:v>Electronics</x:v>
      </x:c>
      <x:c r="H1610" t="n">
        <x:v>4</x:v>
      </x:c>
      <x:c r="I1610" s="26" t="n">
        <x:v>2258.4</x:v>
      </x:c>
      <x:c r="J1610" s="26" t="n">
        <x:v>10401</x:v>
      </x:c>
      <x:c r="K1610" s="28" t="n">
        <x:v>0.1281</x:v>
      </x:c>
      <x:c r="L1610" s="26" t="n">
        <x:v>1332.37</x:v>
      </x:c>
      <x:c r="M1610" t="n">
        <x:v>0</x:v>
      </x:c>
      <x:c r="N1610" s="26" t="n">
        <x:v>0</x:v>
      </x:c>
      <x:c r="O1610" s="26" t="n">
        <x:v>192.42</x:v>
      </x:c>
      <x:c r="P1610" s="26" t="n">
        <x:v>46.8</x:v>
      </x:c>
      <x:c r="Q1610" s="26" t="n">
        <x:v>88.41</x:v>
      </x:c>
      <x:c r="R1610" s="26" t="n">
        <x:v>109.21</x:v>
      </x:c>
      <x:c r="S1610" s="26" t="n">
        <x:v>895.53</x:v>
      </x:c>
    </x:row>
    <x:row r="1611">
      <x:c r="A1611" t="n">
        <x:v>501608</x:v>
      </x:c>
      <x:c r="B1611" s="24" t="n">
        <x:v>45980</x:v>
      </x:c>
      <x:c r="C1611" t="n">
        <x:v>1063</x:v>
      </x:c>
      <x:c r="D1611" t="str">
        <x:v>Seller 1063</x:v>
      </x:c>
      <x:c r="E1611" t="str">
        <x:v>Bronze</x:v>
      </x:c>
      <x:c r="F1611" t="str">
        <x:v>West</x:v>
      </x:c>
      <x:c r="G1611" t="str">
        <x:v>Pet Supplies</x:v>
      </x:c>
      <x:c r="H1611" t="n">
        <x:v>3</x:v>
      </x:c>
      <x:c r="I1611" s="26" t="n">
        <x:v>1065</x:v>
      </x:c>
      <x:c r="J1611" s="26" t="n">
        <x:v>2592</x:v>
      </x:c>
      <x:c r="K1611" s="28" t="n">
        <x:v>0.127</x:v>
      </x:c>
      <x:c r="L1611" s="26" t="n">
        <x:v>329.18</x:v>
      </x:c>
      <x:c r="M1611" t="n">
        <x:v>0</x:v>
      </x:c>
      <x:c r="N1611" s="26" t="n">
        <x:v>0</x:v>
      </x:c>
      <x:c r="O1611" s="26" t="n">
        <x:v>47.95</x:v>
      </x:c>
      <x:c r="P1611" s="26" t="n">
        <x:v>11.66</x:v>
      </x:c>
      <x:c r="Q1611" s="26" t="n">
        <x:v>22.03</x:v>
      </x:c>
      <x:c r="R1611" s="26" t="n">
        <x:v>27.22</x:v>
      </x:c>
      <x:c r="S1611" s="26" t="n">
        <x:v>220.32</x:v>
      </x:c>
    </x:row>
    <x:row r="1612">
      <x:c r="A1612" t="n">
        <x:v>501609</x:v>
      </x:c>
      <x:c r="B1612" s="24" t="n">
        <x:v>45963</x:v>
      </x:c>
      <x:c r="C1612" t="n">
        <x:v>1029</x:v>
      </x:c>
      <x:c r="D1612" t="str">
        <x:v>Seller 1029</x:v>
      </x:c>
      <x:c r="E1612" t="str">
        <x:v>Gold</x:v>
      </x:c>
      <x:c r="F1612" t="str">
        <x:v>West</x:v>
      </x:c>
      <x:c r="G1612" t="str">
        <x:v>Home &amp; Kitchen</x:v>
      </x:c>
      <x:c r="H1612" t="n">
        <x:v>2</x:v>
      </x:c>
      <x:c r="I1612" s="26" t="n">
        <x:v>2612.4</x:v>
      </x:c>
      <x:c r="J1612" s="26" t="n">
        <x:v>7862.4</x:v>
      </x:c>
      <x:c r="K1612" s="28" t="n">
        <x:v>0.148</x:v>
      </x:c>
      <x:c r="L1612" s="26" t="n">
        <x:v>1163.64</x:v>
      </x:c>
      <x:c r="M1612" t="n">
        <x:v>0</x:v>
      </x:c>
      <x:c r="N1612" s="26" t="n">
        <x:v>0</x:v>
      </x:c>
      <x:c r="O1612" s="26" t="n">
        <x:v>145.45</x:v>
      </x:c>
      <x:c r="P1612" s="26" t="n">
        <x:v>35.38</x:v>
      </x:c>
      <x:c r="Q1612" s="26" t="n">
        <x:v>66.83</x:v>
      </x:c>
      <x:c r="R1612" s="26" t="n">
        <x:v>82.56</x:v>
      </x:c>
      <x:c r="S1612" s="26" t="n">
        <x:v>833.41</x:v>
      </x:c>
    </x:row>
    <x:row r="1613">
      <x:c r="A1613" t="n">
        <x:v>501610</x:v>
      </x:c>
      <x:c r="B1613" s="24" t="n">
        <x:v>45961</x:v>
      </x:c>
      <x:c r="C1613" t="n">
        <x:v>1033</x:v>
      </x:c>
      <x:c r="D1613" t="str">
        <x:v>Seller 1033</x:v>
      </x:c>
      <x:c r="E1613" t="str">
        <x:v>Silver</x:v>
      </x:c>
      <x:c r="F1613" t="str">
        <x:v>South</x:v>
      </x:c>
      <x:c r="G1613" t="str">
        <x:v>Pet Supplies</x:v>
      </x:c>
      <x:c r="H1613" t="n">
        <x:v>3</x:v>
      </x:c>
      <x:c r="I1613" s="26" t="n">
        <x:v>933.6</x:v>
      </x:c>
      <x:c r="J1613" s="26" t="n">
        <x:v>3225.6</x:v>
      </x:c>
      <x:c r="K1613" s="28" t="n">
        <x:v>0.1389</x:v>
      </x:c>
      <x:c r="L1613" s="26" t="n">
        <x:v>448.04</x:v>
      </x:c>
      <x:c r="M1613" t="n">
        <x:v>0</x:v>
      </x:c>
      <x:c r="N1613" s="26" t="n">
        <x:v>0</x:v>
      </x:c>
      <x:c r="O1613" s="26" t="n">
        <x:v>59.67</x:v>
      </x:c>
      <x:c r="P1613" s="26" t="n">
        <x:v>14.52</x:v>
      </x:c>
      <x:c r="Q1613" s="26" t="n">
        <x:v>27.42</x:v>
      </x:c>
      <x:c r="R1613" s="26" t="n">
        <x:v>33.87</x:v>
      </x:c>
      <x:c r="S1613" s="26" t="n">
        <x:v>312.56</x:v>
      </x:c>
    </x:row>
    <x:row r="1614">
      <x:c r="A1614" t="n">
        <x:v>501611</x:v>
      </x:c>
      <x:c r="B1614" s="24" t="n">
        <x:v>45974</x:v>
      </x:c>
      <x:c r="C1614" t="n">
        <x:v>1016</x:v>
      </x:c>
      <x:c r="D1614" t="str">
        <x:v>Seller 1016</x:v>
      </x:c>
      <x:c r="E1614" t="str">
        <x:v>Gold</x:v>
      </x:c>
      <x:c r="F1614" t="str">
        <x:v>West</x:v>
      </x:c>
      <x:c r="G1614" t="str">
        <x:v>Sports</x:v>
      </x:c>
      <x:c r="H1614" t="n">
        <x:v>3</x:v>
      </x:c>
      <x:c r="I1614" s="26" t="n">
        <x:v>1358.4</x:v>
      </x:c>
      <x:c r="J1614" s="26" t="n">
        <x:v>6133.2</x:v>
      </x:c>
      <x:c r="K1614" s="28" t="n">
        <x:v>0.1241</x:v>
      </x:c>
      <x:c r="L1614" s="26" t="n">
        <x:v>761.13</x:v>
      </x:c>
      <x:c r="M1614" t="n">
        <x:v>0</x:v>
      </x:c>
      <x:c r="N1614" s="26" t="n">
        <x:v>0</x:v>
      </x:c>
      <x:c r="O1614" s="26" t="n">
        <x:v>113.46</x:v>
      </x:c>
      <x:c r="P1614" s="26" t="n">
        <x:v>27.6</x:v>
      </x:c>
      <x:c r="Q1614" s="26" t="n">
        <x:v>52.13</x:v>
      </x:c>
      <x:c r="R1614" s="26" t="n">
        <x:v>64.4</x:v>
      </x:c>
      <x:c r="S1614" s="26" t="n">
        <x:v>503.54</x:v>
      </x:c>
    </x:row>
    <x:row r="1615">
      <x:c r="A1615" t="n">
        <x:v>501612</x:v>
      </x:c>
      <x:c r="B1615" s="24" t="n">
        <x:v>45983</x:v>
      </x:c>
      <x:c r="C1615" t="n">
        <x:v>1005</x:v>
      </x:c>
      <x:c r="D1615" t="str">
        <x:v>Seller 1005</x:v>
      </x:c>
      <x:c r="E1615" t="str">
        <x:v>Platinum</x:v>
      </x:c>
      <x:c r="F1615" t="str">
        <x:v>East</x:v>
      </x:c>
      <x:c r="G1615" t="str">
        <x:v>Electronics</x:v>
      </x:c>
      <x:c r="H1615" t="n">
        <x:v>3</x:v>
      </x:c>
      <x:c r="I1615" s="26" t="n">
        <x:v>3217.8</x:v>
      </x:c>
      <x:c r="J1615" s="26" t="n">
        <x:v>19580.4</x:v>
      </x:c>
      <x:c r="K1615" s="28" t="n">
        <x:v>0.139</x:v>
      </x:c>
      <x:c r="L1615" s="26" t="n">
        <x:v>2721.68</x:v>
      </x:c>
      <x:c r="M1615" t="n">
        <x:v>0</x:v>
      </x:c>
      <x:c r="N1615" s="26" t="n">
        <x:v>0</x:v>
      </x:c>
      <x:c r="O1615" s="26" t="n">
        <x:v>362.24</x:v>
      </x:c>
      <x:c r="P1615" s="26" t="n">
        <x:v>88.11</x:v>
      </x:c>
      <x:c r="Q1615" s="26" t="n">
        <x:v>166.43</x:v>
      </x:c>
      <x:c r="R1615" s="26" t="n">
        <x:v>205.59</x:v>
      </x:c>
      <x:c r="S1615" s="26" t="n">
        <x:v>1899.3</x:v>
      </x:c>
    </x:row>
    <x:row r="1616">
      <x:c r="A1616" t="n">
        <x:v>501613</x:v>
      </x:c>
      <x:c r="B1616" s="24" t="n">
        <x:v>45987</x:v>
      </x:c>
      <x:c r="C1616" t="n">
        <x:v>1009</x:v>
      </x:c>
      <x:c r="D1616" t="str">
        <x:v>Seller 1009</x:v>
      </x:c>
      <x:c r="E1616" t="str">
        <x:v>Platinum</x:v>
      </x:c>
      <x:c r="F1616" t="str">
        <x:v>Central</x:v>
      </x:c>
      <x:c r="G1616" t="str">
        <x:v>Pet Supplies</x:v>
      </x:c>
      <x:c r="H1616" t="n">
        <x:v>1</x:v>
      </x:c>
      <x:c r="I1616" s="26" t="n">
        <x:v>2942.4</x:v>
      </x:c>
      <x:c r="J1616" s="26" t="n">
        <x:v>5967.6</x:v>
      </x:c>
      <x:c r="K1616" s="28" t="n">
        <x:v>0.1294</x:v>
      </x:c>
      <x:c r="L1616" s="26" t="n">
        <x:v>772.21</x:v>
      </x:c>
      <x:c r="M1616" t="n">
        <x:v>0</x:v>
      </x:c>
      <x:c r="N1616" s="26" t="n">
        <x:v>0</x:v>
      </x:c>
      <x:c r="O1616" s="26" t="n">
        <x:v>110.4</x:v>
      </x:c>
      <x:c r="P1616" s="26" t="n">
        <x:v>26.85</x:v>
      </x:c>
      <x:c r="Q1616" s="26" t="n">
        <x:v>50.72</x:v>
      </x:c>
      <x:c r="R1616" s="26" t="n">
        <x:v>62.66</x:v>
      </x:c>
      <x:c r="S1616" s="26" t="n">
        <x:v>521.57</x:v>
      </x:c>
    </x:row>
    <x:row r="1617">
      <x:c r="A1617" t="n">
        <x:v>501614</x:v>
      </x:c>
      <x:c r="B1617" s="24" t="n">
        <x:v>45985</x:v>
      </x:c>
      <x:c r="C1617" t="n">
        <x:v>1065</x:v>
      </x:c>
      <x:c r="D1617" t="str">
        <x:v>Seller 1065</x:v>
      </x:c>
      <x:c r="E1617" t="str">
        <x:v>Bronze</x:v>
      </x:c>
      <x:c r="F1617" t="str">
        <x:v>South</x:v>
      </x:c>
      <x:c r="G1617" t="str">
        <x:v>Home &amp; Kitchen</x:v>
      </x:c>
      <x:c r="H1617" t="n">
        <x:v>2</x:v>
      </x:c>
      <x:c r="I1617" s="26" t="n">
        <x:v>1831.8000000000002</x:v>
      </x:c>
      <x:c r="J1617" s="26" t="n">
        <x:v>2972.4</x:v>
      </x:c>
      <x:c r="K1617" s="28" t="n">
        <x:v>0.1301</x:v>
      </x:c>
      <x:c r="L1617" s="26" t="n">
        <x:v>386.71</x:v>
      </x:c>
      <x:c r="M1617" t="n">
        <x:v>0</x:v>
      </x:c>
      <x:c r="N1617" s="26" t="n">
        <x:v>0</x:v>
      </x:c>
      <x:c r="O1617" s="26" t="n">
        <x:v>54.99</x:v>
      </x:c>
      <x:c r="P1617" s="26" t="n">
        <x:v>13.38</x:v>
      </x:c>
      <x:c r="Q1617" s="26" t="n">
        <x:v>25.27</x:v>
      </x:c>
      <x:c r="R1617" s="26" t="n">
        <x:v>31.21</x:v>
      </x:c>
      <x:c r="S1617" s="26" t="n">
        <x:v>261.87</x:v>
      </x:c>
    </x:row>
    <x:row r="1618">
      <x:c r="A1618" t="n">
        <x:v>501615</x:v>
      </x:c>
      <x:c r="B1618" s="24" t="n">
        <x:v>45974</x:v>
      </x:c>
      <x:c r="C1618" t="n">
        <x:v>1033</x:v>
      </x:c>
      <x:c r="D1618" t="str">
        <x:v>Seller 1033</x:v>
      </x:c>
      <x:c r="E1618" t="str">
        <x:v>Silver</x:v>
      </x:c>
      <x:c r="F1618" t="str">
        <x:v>South</x:v>
      </x:c>
      <x:c r="G1618" t="str">
        <x:v>Beauty</x:v>
      </x:c>
      <x:c r="H1618" t="n">
        <x:v>1</x:v>
      </x:c>
      <x:c r="I1618" s="26" t="n">
        <x:v>2747.4</x:v>
      </x:c>
      <x:c r="J1618" s="26" t="n">
        <x:v>3163.8</x:v>
      </x:c>
      <x:c r="K1618" s="28" t="n">
        <x:v>0.1404</x:v>
      </x:c>
      <x:c r="L1618" s="26" t="n">
        <x:v>444.2</x:v>
      </x:c>
      <x:c r="M1618" t="n">
        <x:v>0</x:v>
      </x:c>
      <x:c r="N1618" s="26" t="n">
        <x:v>0</x:v>
      </x:c>
      <x:c r="O1618" s="26" t="n">
        <x:v>58.53</x:v>
      </x:c>
      <x:c r="P1618" s="26" t="n">
        <x:v>14.24</x:v>
      </x:c>
      <x:c r="Q1618" s="26" t="n">
        <x:v>26.89</x:v>
      </x:c>
      <x:c r="R1618" s="26" t="n">
        <x:v>33.22</x:v>
      </x:c>
      <x:c r="S1618" s="26" t="n">
        <x:v>311.32</x:v>
      </x:c>
    </x:row>
    <x:row r="1619">
      <x:c r="A1619" t="n">
        <x:v>501616</x:v>
      </x:c>
      <x:c r="B1619" s="24" t="n">
        <x:v>45984</x:v>
      </x:c>
      <x:c r="C1619" t="n">
        <x:v>1009</x:v>
      </x:c>
      <x:c r="D1619" t="str">
        <x:v>Seller 1009</x:v>
      </x:c>
      <x:c r="E1619" t="str">
        <x:v>Platinum</x:v>
      </x:c>
      <x:c r="F1619" t="str">
        <x:v>Central</x:v>
      </x:c>
      <x:c r="G1619" t="str">
        <x:v>Pet Supplies</x:v>
      </x:c>
      <x:c r="H1619" t="n">
        <x:v>2</x:v>
      </x:c>
      <x:c r="I1619" s="26" t="n">
        <x:v>1398</x:v>
      </x:c>
      <x:c r="J1619" s="26" t="n">
        <x:v>5671.2</x:v>
      </x:c>
      <x:c r="K1619" s="28" t="n">
        <x:v>0.1433</x:v>
      </x:c>
      <x:c r="L1619" s="26" t="n">
        <x:v>812.68</x:v>
      </x:c>
      <x:c r="M1619" t="n">
        <x:v>0</x:v>
      </x:c>
      <x:c r="N1619" s="26" t="n">
        <x:v>0</x:v>
      </x:c>
      <x:c r="O1619" s="26" t="n">
        <x:v>104.92</x:v>
      </x:c>
      <x:c r="P1619" s="26" t="n">
        <x:v>25.52</x:v>
      </x:c>
      <x:c r="Q1619" s="26" t="n">
        <x:v>48.21</x:v>
      </x:c>
      <x:c r="R1619" s="26" t="n">
        <x:v>59.55</x:v>
      </x:c>
      <x:c r="S1619" s="26" t="n">
        <x:v>574.49</x:v>
      </x:c>
    </x:row>
    <x:row r="1620">
      <x:c r="A1620" t="n">
        <x:v>501617</x:v>
      </x:c>
      <x:c r="B1620" s="24" t="n">
        <x:v>45960</x:v>
      </x:c>
      <x:c r="C1620" t="n">
        <x:v>1032</x:v>
      </x:c>
      <x:c r="D1620" t="str">
        <x:v>Seller 1032</x:v>
      </x:c>
      <x:c r="E1620" t="str">
        <x:v>Silver</x:v>
      </x:c>
      <x:c r="F1620" t="str">
        <x:v>West</x:v>
      </x:c>
      <x:c r="G1620" t="str">
        <x:v>Pet Supplies</x:v>
      </x:c>
      <x:c r="H1620" t="n">
        <x:v>2</x:v>
      </x:c>
      <x:c r="I1620" s="26" t="n">
        <x:v>1704</x:v>
      </x:c>
      <x:c r="J1620" s="26" t="n">
        <x:v>3924</x:v>
      </x:c>
      <x:c r="K1620" s="28" t="n">
        <x:v>0.1391</x:v>
      </x:c>
      <x:c r="L1620" s="26" t="n">
        <x:v>545.83</x:v>
      </x:c>
      <x:c r="M1620" t="n">
        <x:v>0</x:v>
      </x:c>
      <x:c r="N1620" s="26" t="n">
        <x:v>0</x:v>
      </x:c>
      <x:c r="O1620" s="26" t="n">
        <x:v>72.59</x:v>
      </x:c>
      <x:c r="P1620" s="26" t="n">
        <x:v>17.66</x:v>
      </x:c>
      <x:c r="Q1620" s="26" t="n">
        <x:v>33.35</x:v>
      </x:c>
      <x:c r="R1620" s="26" t="n">
        <x:v>41.2</x:v>
      </x:c>
      <x:c r="S1620" s="26" t="n">
        <x:v>381.02</x:v>
      </x:c>
    </x:row>
    <x:row r="1621">
      <x:c r="A1621" t="n">
        <x:v>501618</x:v>
      </x:c>
      <x:c r="B1621" s="24" t="n">
        <x:v>45986</x:v>
      </x:c>
      <x:c r="C1621" t="n">
        <x:v>1053</x:v>
      </x:c>
      <x:c r="D1621" t="str">
        <x:v>Seller 1053</x:v>
      </x:c>
      <x:c r="E1621" t="str">
        <x:v>Silver</x:v>
      </x:c>
      <x:c r="F1621" t="str">
        <x:v>Central</x:v>
      </x:c>
      <x:c r="G1621" t="str">
        <x:v>Beauty</x:v>
      </x:c>
      <x:c r="H1621" t="n">
        <x:v>4</x:v>
      </x:c>
      <x:c r="I1621" s="26" t="n">
        <x:v>697.1999999999999</x:v>
      </x:c>
      <x:c r="J1621" s="26" t="n">
        <x:v>3210</x:v>
      </x:c>
      <x:c r="K1621" s="28" t="n">
        <x:v>0.1564</x:v>
      </x:c>
      <x:c r="L1621" s="26" t="n">
        <x:v>502.04</x:v>
      </x:c>
      <x:c r="M1621" t="n">
        <x:v>0</x:v>
      </x:c>
      <x:c r="N1621" s="26" t="n">
        <x:v>0</x:v>
      </x:c>
      <x:c r="O1621" s="26" t="n">
        <x:v>59.38</x:v>
      </x:c>
      <x:c r="P1621" s="26" t="n">
        <x:v>14.44</x:v>
      </x:c>
      <x:c r="Q1621" s="26" t="n">
        <x:v>27.29</x:v>
      </x:c>
      <x:c r="R1621" s="26" t="n">
        <x:v>33.71</x:v>
      </x:c>
      <x:c r="S1621" s="26" t="n">
        <x:v>367.22</x:v>
      </x:c>
    </x:row>
    <x:row r="1622">
      <x:c r="A1622" t="n">
        <x:v>501619</x:v>
      </x:c>
      <x:c r="B1622" s="24" t="n">
        <x:v>45985</x:v>
      </x:c>
      <x:c r="C1622" t="n">
        <x:v>1014</x:v>
      </x:c>
      <x:c r="D1622" t="str">
        <x:v>Seller 1014</x:v>
      </x:c>
      <x:c r="E1622" t="str">
        <x:v>Gold</x:v>
      </x:c>
      <x:c r="F1622" t="str">
        <x:v>East</x:v>
      </x:c>
      <x:c r="G1622" t="str">
        <x:v>Apparel</x:v>
      </x:c>
      <x:c r="H1622" t="n">
        <x:v>2</x:v>
      </x:c>
      <x:c r="I1622" s="26" t="n">
        <x:v>1921.2000000000003</x:v>
      </x:c>
      <x:c r="J1622" s="26" t="n">
        <x:v>5781</x:v>
      </x:c>
      <x:c r="K1622" s="28" t="n">
        <x:v>0.1154</x:v>
      </x:c>
      <x:c r="L1622" s="26" t="n">
        <x:v>667.13</x:v>
      </x:c>
      <x:c r="M1622" t="n">
        <x:v>0</x:v>
      </x:c>
      <x:c r="N1622" s="26" t="n">
        <x:v>0</x:v>
      </x:c>
      <x:c r="O1622" s="26" t="n">
        <x:v>106.95</x:v>
      </x:c>
      <x:c r="P1622" s="26" t="n">
        <x:v>26.01</x:v>
      </x:c>
      <x:c r="Q1622" s="26" t="n">
        <x:v>49.14</x:v>
      </x:c>
      <x:c r="R1622" s="26" t="n">
        <x:v>60.7</x:v>
      </x:c>
      <x:c r="S1622" s="26" t="n">
        <x:v>424.33</x:v>
      </x:c>
    </x:row>
    <x:row r="1623">
      <x:c r="A1623" t="n">
        <x:v>501620</x:v>
      </x:c>
      <x:c r="B1623" s="24" t="n">
        <x:v>45978</x:v>
      </x:c>
      <x:c r="C1623" t="n">
        <x:v>1029</x:v>
      </x:c>
      <x:c r="D1623" t="str">
        <x:v>Seller 1029</x:v>
      </x:c>
      <x:c r="E1623" t="str">
        <x:v>Gold</x:v>
      </x:c>
      <x:c r="F1623" t="str">
        <x:v>West</x:v>
      </x:c>
      <x:c r="G1623" t="str">
        <x:v>Electronics</x:v>
      </x:c>
      <x:c r="H1623" t="n">
        <x:v>2</x:v>
      </x:c>
      <x:c r="I1623" s="26" t="n">
        <x:v>4243.8</x:v>
      </x:c>
      <x:c r="J1623" s="26" t="n">
        <x:v>12771.6</x:v>
      </x:c>
      <x:c r="K1623" s="28" t="n">
        <x:v>0.1346</x:v>
      </x:c>
      <x:c r="L1623" s="26" t="n">
        <x:v>1719.06</x:v>
      </x:c>
      <x:c r="M1623" t="n">
        <x:v>0</x:v>
      </x:c>
      <x:c r="N1623" s="26" t="n">
        <x:v>0</x:v>
      </x:c>
      <x:c r="O1623" s="26" t="n">
        <x:v>236.27</x:v>
      </x:c>
      <x:c r="P1623" s="26" t="n">
        <x:v>57.47</x:v>
      </x:c>
      <x:c r="Q1623" s="26" t="n">
        <x:v>108.56</x:v>
      </x:c>
      <x:c r="R1623" s="26" t="n">
        <x:v>134.1</x:v>
      </x:c>
      <x:c r="S1623" s="26" t="n">
        <x:v>1182.65</x:v>
      </x:c>
    </x:row>
    <x:row r="1624">
      <x:c r="A1624" t="n">
        <x:v>501621</x:v>
      </x:c>
      <x:c r="B1624" s="24" t="n">
        <x:v>45969</x:v>
      </x:c>
      <x:c r="C1624" t="n">
        <x:v>1050</x:v>
      </x:c>
      <x:c r="D1624" t="str">
        <x:v>Seller 1050</x:v>
      </x:c>
      <x:c r="E1624" t="str">
        <x:v>Silver</x:v>
      </x:c>
      <x:c r="F1624" t="str">
        <x:v>East</x:v>
      </x:c>
      <x:c r="G1624" t="str">
        <x:v>Electronics</x:v>
      </x:c>
      <x:c r="H1624" t="n">
        <x:v>1</x:v>
      </x:c>
      <x:c r="I1624" s="26" t="n">
        <x:v>8193</x:v>
      </x:c>
      <x:c r="J1624" s="26" t="n">
        <x:v>9434.4</x:v>
      </x:c>
      <x:c r="K1624" s="28" t="n">
        <x:v>0.137</x:v>
      </x:c>
      <x:c r="L1624" s="26" t="n">
        <x:v>1292.51</x:v>
      </x:c>
      <x:c r="M1624" t="n">
        <x:v>0</x:v>
      </x:c>
      <x:c r="N1624" s="26" t="n">
        <x:v>0</x:v>
      </x:c>
      <x:c r="O1624" s="26" t="n">
        <x:v>174.54</x:v>
      </x:c>
      <x:c r="P1624" s="26" t="n">
        <x:v>42.45</x:v>
      </x:c>
      <x:c r="Q1624" s="26" t="n">
        <x:v>80.19</x:v>
      </x:c>
      <x:c r="R1624" s="26" t="n">
        <x:v>99.06</x:v>
      </x:c>
      <x:c r="S1624" s="26" t="n">
        <x:v>896.27</x:v>
      </x:c>
    </x:row>
    <x:row r="1625">
      <x:c r="A1625" t="n">
        <x:v>501622</x:v>
      </x:c>
      <x:c r="B1625" s="24" t="n">
        <x:v>45981</x:v>
      </x:c>
      <x:c r="C1625" t="n">
        <x:v>1059</x:v>
      </x:c>
      <x:c r="D1625" t="str">
        <x:v>Seller 1059</x:v>
      </x:c>
      <x:c r="E1625" t="str">
        <x:v>Bronze</x:v>
      </x:c>
      <x:c r="F1625" t="str">
        <x:v>Central</x:v>
      </x:c>
      <x:c r="G1625" t="str">
        <x:v>Sports</x:v>
      </x:c>
      <x:c r="H1625" t="n">
        <x:v>3</x:v>
      </x:c>
      <x:c r="I1625" s="26" t="n">
        <x:v>1281</x:v>
      </x:c>
      <x:c r="J1625" s="26" t="n">
        <x:v>3118.2</x:v>
      </x:c>
      <x:c r="K1625" s="28" t="n">
        <x:v>0.1431</x:v>
      </x:c>
      <x:c r="L1625" s="26" t="n">
        <x:v>446.21</x:v>
      </x:c>
      <x:c r="M1625" t="n">
        <x:v>0</x:v>
      </x:c>
      <x:c r="N1625" s="26" t="n">
        <x:v>0</x:v>
      </x:c>
      <x:c r="O1625" s="26" t="n">
        <x:v>57.69</x:v>
      </x:c>
      <x:c r="P1625" s="26" t="n">
        <x:v>14.03</x:v>
      </x:c>
      <x:c r="Q1625" s="26" t="n">
        <x:v>26.5</x:v>
      </x:c>
      <x:c r="R1625" s="26" t="n">
        <x:v>32.74</x:v>
      </x:c>
      <x:c r="S1625" s="26" t="n">
        <x:v>315.25</x:v>
      </x:c>
    </x:row>
    <x:row r="1626">
      <x:c r="A1626" t="n">
        <x:v>501623</x:v>
      </x:c>
      <x:c r="B1626" s="24" t="n">
        <x:v>45962</x:v>
      </x:c>
      <x:c r="C1626" t="n">
        <x:v>1023</x:v>
      </x:c>
      <x:c r="D1626" t="str">
        <x:v>Seller 1023</x:v>
      </x:c>
      <x:c r="E1626" t="str">
        <x:v>Gold</x:v>
      </x:c>
      <x:c r="F1626" t="str">
        <x:v>Central</x:v>
      </x:c>
      <x:c r="G1626" t="str">
        <x:v>Apparel</x:v>
      </x:c>
      <x:c r="H1626" t="n">
        <x:v>4</x:v>
      </x:c>
      <x:c r="I1626" s="26" t="n">
        <x:v>956.4</x:v>
      </x:c>
      <x:c r="J1626" s="26" t="n">
        <x:v>5757.6</x:v>
      </x:c>
      <x:c r="K1626" s="28" t="n">
        <x:v>0.1228</x:v>
      </x:c>
      <x:c r="L1626" s="26" t="n">
        <x:v>707.03</x:v>
      </x:c>
      <x:c r="M1626" t="n">
        <x:v>0</x:v>
      </x:c>
      <x:c r="N1626" s="26" t="n">
        <x:v>0</x:v>
      </x:c>
      <x:c r="O1626" s="26" t="n">
        <x:v>106.52</x:v>
      </x:c>
      <x:c r="P1626" s="26" t="n">
        <x:v>25.91</x:v>
      </x:c>
      <x:c r="Q1626" s="26" t="n">
        <x:v>48.94</x:v>
      </x:c>
      <x:c r="R1626" s="26" t="n">
        <x:v>60.45</x:v>
      </x:c>
      <x:c r="S1626" s="26" t="n">
        <x:v>465.21</x:v>
      </x:c>
    </x:row>
    <x:row r="1627">
      <x:c r="A1627" t="n">
        <x:v>501624</x:v>
      </x:c>
      <x:c r="B1627" s="24" t="n">
        <x:v>45969</x:v>
      </x:c>
      <x:c r="C1627" t="n">
        <x:v>1006</x:v>
      </x:c>
      <x:c r="D1627" t="str">
        <x:v>Seller 1006</x:v>
      </x:c>
      <x:c r="E1627" t="str">
        <x:v>Platinum</x:v>
      </x:c>
      <x:c r="F1627" t="str">
        <x:v>East</x:v>
      </x:c>
      <x:c r="G1627" t="str">
        <x:v>Sports</x:v>
      </x:c>
      <x:c r="H1627" t="n">
        <x:v>2</x:v>
      </x:c>
      <x:c r="I1627" s="26" t="n">
        <x:v>1838.4</x:v>
      </x:c>
      <x:c r="J1627" s="26" t="n">
        <x:v>7456.8</x:v>
      </x:c>
      <x:c r="K1627" s="28" t="n">
        <x:v>0.1274</x:v>
      </x:c>
      <x:c r="L1627" s="26" t="n">
        <x:v>950</x:v>
      </x:c>
      <x:c r="M1627" t="n">
        <x:v>0</x:v>
      </x:c>
      <x:c r="N1627" s="26" t="n">
        <x:v>0</x:v>
      </x:c>
      <x:c r="O1627" s="26" t="n">
        <x:v>137.95</x:v>
      </x:c>
      <x:c r="P1627" s="26" t="n">
        <x:v>33.56</x:v>
      </x:c>
      <x:c r="Q1627" s="26" t="n">
        <x:v>63.38</x:v>
      </x:c>
      <x:c r="R1627" s="26" t="n">
        <x:v>78.3</x:v>
      </x:c>
      <x:c r="S1627" s="26" t="n">
        <x:v>636.81</x:v>
      </x:c>
    </x:row>
    <x:row r="1628">
      <x:c r="A1628" t="n">
        <x:v>501625</x:v>
      </x:c>
      <x:c r="B1628" s="24" t="n">
        <x:v>45968</x:v>
      </x:c>
      <x:c r="C1628" t="n">
        <x:v>1027</x:v>
      </x:c>
      <x:c r="D1628" t="str">
        <x:v>Seller 1027</x:v>
      </x:c>
      <x:c r="E1628" t="str">
        <x:v>Gold</x:v>
      </x:c>
      <x:c r="F1628" t="str">
        <x:v>West</x:v>
      </x:c>
      <x:c r="G1628" t="str">
        <x:v>Apparel</x:v>
      </x:c>
      <x:c r="H1628" t="n">
        <x:v>3</x:v>
      </x:c>
      <x:c r="I1628" s="26" t="n">
        <x:v>1051.8000000000002</x:v>
      </x:c>
      <x:c r="J1628" s="26" t="n">
        <x:v>4749.6</x:v>
      </x:c>
      <x:c r="K1628" s="28" t="n">
        <x:v>0.1249</x:v>
      </x:c>
      <x:c r="L1628" s="26" t="n">
        <x:v>593.23</x:v>
      </x:c>
      <x:c r="M1628" t="n">
        <x:v>0</x:v>
      </x:c>
      <x:c r="N1628" s="26" t="n">
        <x:v>0</x:v>
      </x:c>
      <x:c r="O1628" s="26" t="n">
        <x:v>87.87</x:v>
      </x:c>
      <x:c r="P1628" s="26" t="n">
        <x:v>21.37</x:v>
      </x:c>
      <x:c r="Q1628" s="26" t="n">
        <x:v>40.37</x:v>
      </x:c>
      <x:c r="R1628" s="26" t="n">
        <x:v>49.87</x:v>
      </x:c>
      <x:c r="S1628" s="26" t="n">
        <x:v>393.74</x:v>
      </x:c>
    </x:row>
    <x:row r="1629">
      <x:c r="A1629" t="n">
        <x:v>501626</x:v>
      </x:c>
      <x:c r="B1629" s="24" t="n">
        <x:v>45985</x:v>
      </x:c>
      <x:c r="C1629" t="n">
        <x:v>1042</x:v>
      </x:c>
      <x:c r="D1629" t="str">
        <x:v>Seller 1042</x:v>
      </x:c>
      <x:c r="E1629" t="str">
        <x:v>Silver</x:v>
      </x:c>
      <x:c r="F1629" t="str">
        <x:v>East</x:v>
      </x:c>
      <x:c r="G1629" t="str">
        <x:v>Pet Supplies</x:v>
      </x:c>
      <x:c r="H1629" t="n">
        <x:v>3</x:v>
      </x:c>
      <x:c r="I1629" s="26" t="n">
        <x:v>1267.8</x:v>
      </x:c>
      <x:c r="J1629" s="26" t="n">
        <x:v>4378.8</x:v>
      </x:c>
      <x:c r="K1629" s="28" t="n">
        <x:v>0.1319</x:v>
      </x:c>
      <x:c r="L1629" s="26" t="n">
        <x:v>577.56</x:v>
      </x:c>
      <x:c r="M1629" t="n">
        <x:v>0</x:v>
      </x:c>
      <x:c r="N1629" s="26" t="n">
        <x:v>0</x:v>
      </x:c>
      <x:c r="O1629" s="26" t="n">
        <x:v>81.01</x:v>
      </x:c>
      <x:c r="P1629" s="26" t="n">
        <x:v>19.7</x:v>
      </x:c>
      <x:c r="Q1629" s="26" t="n">
        <x:v>37.22</x:v>
      </x:c>
      <x:c r="R1629" s="26" t="n">
        <x:v>45.98</x:v>
      </x:c>
      <x:c r="S1629" s="26" t="n">
        <x:v>393.65</x:v>
      </x:c>
    </x:row>
    <x:row r="1630">
      <x:c r="A1630" t="n">
        <x:v>501627</x:v>
      </x:c>
      <x:c r="B1630" s="24" t="n">
        <x:v>45970</x:v>
      </x:c>
      <x:c r="C1630" t="n">
        <x:v>1080</x:v>
      </x:c>
      <x:c r="D1630" t="str">
        <x:v>Seller 1080</x:v>
      </x:c>
      <x:c r="E1630" t="str">
        <x:v>Bronze</x:v>
      </x:c>
      <x:c r="F1630" t="str">
        <x:v>South</x:v>
      </x:c>
      <x:c r="G1630" t="str">
        <x:v>Beauty</x:v>
      </x:c>
      <x:c r="H1630" t="n">
        <x:v>1</x:v>
      </x:c>
      <x:c r="I1630" s="26" t="n">
        <x:v>2736</x:v>
      </x:c>
      <x:c r="J1630" s="26" t="n">
        <x:v>2219.4</x:v>
      </x:c>
      <x:c r="K1630" s="28" t="n">
        <x:v>0.158</x:v>
      </x:c>
      <x:c r="L1630" s="26" t="n">
        <x:v>350.67</x:v>
      </x:c>
      <x:c r="M1630" t="n">
        <x:v>0</x:v>
      </x:c>
      <x:c r="N1630" s="26" t="n">
        <x:v>0</x:v>
      </x:c>
      <x:c r="O1630" s="26" t="n">
        <x:v>41.06</x:v>
      </x:c>
      <x:c r="P1630" s="26" t="n">
        <x:v>9.99</x:v>
      </x:c>
      <x:c r="Q1630" s="26" t="n">
        <x:v>18.86</x:v>
      </x:c>
      <x:c r="R1630" s="26" t="n">
        <x:v>23.3</x:v>
      </x:c>
      <x:c r="S1630" s="26" t="n">
        <x:v>257.45</x:v>
      </x:c>
    </x:row>
    <x:row r="1631">
      <x:c r="A1631" t="n">
        <x:v>501628</x:v>
      </x:c>
      <x:c r="B1631" s="24" t="n">
        <x:v>45971</x:v>
      </x:c>
      <x:c r="C1631" t="n">
        <x:v>1019</x:v>
      </x:c>
      <x:c r="D1631" t="str">
        <x:v>Seller 1019</x:v>
      </x:c>
      <x:c r="E1631" t="str">
        <x:v>Gold</x:v>
      </x:c>
      <x:c r="F1631" t="str">
        <x:v>East</x:v>
      </x:c>
      <x:c r="G1631" t="str">
        <x:v>Apparel</x:v>
      </x:c>
      <x:c r="H1631" t="n">
        <x:v>1</x:v>
      </x:c>
      <x:c r="I1631" s="26" t="n">
        <x:v>3750.6</x:v>
      </x:c>
      <x:c r="J1631" s="26" t="n">
        <x:v>5643.6</x:v>
      </x:c>
      <x:c r="K1631" s="28" t="n">
        <x:v>0.1357</x:v>
      </x:c>
      <x:c r="L1631" s="26" t="n">
        <x:v>765.84</x:v>
      </x:c>
      <x:c r="M1631" t="n">
        <x:v>0</x:v>
      </x:c>
      <x:c r="N1631" s="26" t="n">
        <x:v>0</x:v>
      </x:c>
      <x:c r="O1631" s="26" t="n">
        <x:v>104.41</x:v>
      </x:c>
      <x:c r="P1631" s="26" t="n">
        <x:v>25.4</x:v>
      </x:c>
      <x:c r="Q1631" s="26" t="n">
        <x:v>47.97</x:v>
      </x:c>
      <x:c r="R1631" s="26" t="n">
        <x:v>59.26</x:v>
      </x:c>
      <x:c r="S1631" s="26" t="n">
        <x:v>528.81</x:v>
      </x:c>
    </x:row>
    <x:row r="1632">
      <x:c r="A1632" t="n">
        <x:v>501629</x:v>
      </x:c>
      <x:c r="B1632" s="24" t="n">
        <x:v>45972</x:v>
      </x:c>
      <x:c r="C1632" t="n">
        <x:v>1007</x:v>
      </x:c>
      <x:c r="D1632" t="str">
        <x:v>Seller 1007</x:v>
      </x:c>
      <x:c r="E1632" t="str">
        <x:v>Platinum</x:v>
      </x:c>
      <x:c r="F1632" t="str">
        <x:v>South</x:v>
      </x:c>
      <x:c r="G1632" t="str">
        <x:v>Home &amp; Kitchen</x:v>
      </x:c>
      <x:c r="H1632" t="n">
        <x:v>1</x:v>
      </x:c>
      <x:c r="I1632" s="26" t="n">
        <x:v>5624.4</x:v>
      </x:c>
      <x:c r="J1632" s="26" t="n">
        <x:v>11407.2</x:v>
      </x:c>
      <x:c r="K1632" s="28" t="n">
        <x:v>0.1448</x:v>
      </x:c>
      <x:c r="L1632" s="26" t="n">
        <x:v>1651.76</x:v>
      </x:c>
      <x:c r="M1632" t="n">
        <x:v>0</x:v>
      </x:c>
      <x:c r="N1632" s="26" t="n">
        <x:v>0</x:v>
      </x:c>
      <x:c r="O1632" s="26" t="n">
        <x:v>211.03</x:v>
      </x:c>
      <x:c r="P1632" s="26" t="n">
        <x:v>51.33</x:v>
      </x:c>
      <x:c r="Q1632" s="26" t="n">
        <x:v>96.96</x:v>
      </x:c>
      <x:c r="R1632" s="26" t="n">
        <x:v>119.78</x:v>
      </x:c>
      <x:c r="S1632" s="26" t="n">
        <x:v>1172.66</x:v>
      </x:c>
    </x:row>
    <x:row r="1633">
      <x:c r="A1633" t="n">
        <x:v>501630</x:v>
      </x:c>
      <x:c r="B1633" s="24" t="n">
        <x:v>45962</x:v>
      </x:c>
      <x:c r="C1633" t="n">
        <x:v>1004</x:v>
      </x:c>
      <x:c r="D1633" t="str">
        <x:v>Seller 1004</x:v>
      </x:c>
      <x:c r="E1633" t="str">
        <x:v>Platinum</x:v>
      </x:c>
      <x:c r="F1633" t="str">
        <x:v>East</x:v>
      </x:c>
      <x:c r="G1633" t="str">
        <x:v>Sports</x:v>
      </x:c>
      <x:c r="H1633" t="n">
        <x:v>1</x:v>
      </x:c>
      <x:c r="I1633" s="26" t="n">
        <x:v>4915.2</x:v>
      </x:c>
      <x:c r="J1633" s="26" t="n">
        <x:v>9969</x:v>
      </x:c>
      <x:c r="K1633" s="28" t="n">
        <x:v>0.1286</x:v>
      </x:c>
      <x:c r="L1633" s="26" t="n">
        <x:v>1282.01</x:v>
      </x:c>
      <x:c r="M1633" t="n">
        <x:v>0</x:v>
      </x:c>
      <x:c r="N1633" s="26" t="n">
        <x:v>0</x:v>
      </x:c>
      <x:c r="O1633" s="26" t="n">
        <x:v>184.43</x:v>
      </x:c>
      <x:c r="P1633" s="26" t="n">
        <x:v>44.86</x:v>
      </x:c>
      <x:c r="Q1633" s="26" t="n">
        <x:v>84.74</x:v>
      </x:c>
      <x:c r="R1633" s="26" t="n">
        <x:v>104.67</x:v>
      </x:c>
      <x:c r="S1633" s="26" t="n">
        <x:v>863.32</x:v>
      </x:c>
    </x:row>
    <x:row r="1634">
      <x:c r="A1634" t="n">
        <x:v>501631</x:v>
      </x:c>
      <x:c r="B1634" s="24" t="n">
        <x:v>45982</x:v>
      </x:c>
      <x:c r="C1634" t="n">
        <x:v>1052</x:v>
      </x:c>
      <x:c r="D1634" t="str">
        <x:v>Seller 1052</x:v>
      </x:c>
      <x:c r="E1634" t="str">
        <x:v>Silver</x:v>
      </x:c>
      <x:c r="F1634" t="str">
        <x:v>Central</x:v>
      </x:c>
      <x:c r="G1634" t="str">
        <x:v>Pet Supplies</x:v>
      </x:c>
      <x:c r="H1634" t="n">
        <x:v>2</x:v>
      </x:c>
      <x:c r="I1634" s="26" t="n">
        <x:v>1424.3999999999999</x:v>
      </x:c>
      <x:c r="J1634" s="26" t="n">
        <x:v>3280.8</x:v>
      </x:c>
      <x:c r="K1634" s="28" t="n">
        <x:v>0.1336</x:v>
      </x:c>
      <x:c r="L1634" s="26" t="n">
        <x:v>438.31</x:v>
      </x:c>
      <x:c r="M1634" t="n">
        <x:v>0</x:v>
      </x:c>
      <x:c r="N1634" s="26" t="n">
        <x:v>0</x:v>
      </x:c>
      <x:c r="O1634" s="26" t="n">
        <x:v>60.69</x:v>
      </x:c>
      <x:c r="P1634" s="26" t="n">
        <x:v>14.76</x:v>
      </x:c>
      <x:c r="Q1634" s="26" t="n">
        <x:v>27.89</x:v>
      </x:c>
      <x:c r="R1634" s="26" t="n">
        <x:v>34.45</x:v>
      </x:c>
      <x:c r="S1634" s="26" t="n">
        <x:v>300.52</x:v>
      </x:c>
    </x:row>
    <x:row r="1635">
      <x:c r="A1635" t="n">
        <x:v>501632</x:v>
      </x:c>
      <x:c r="B1635" s="24" t="n">
        <x:v>45983</x:v>
      </x:c>
      <x:c r="C1635" t="n">
        <x:v>1063</x:v>
      </x:c>
      <x:c r="D1635" t="str">
        <x:v>Seller 1063</x:v>
      </x:c>
      <x:c r="E1635" t="str">
        <x:v>Bronze</x:v>
      </x:c>
      <x:c r="F1635" t="str">
        <x:v>West</x:v>
      </x:c>
      <x:c r="G1635" t="str">
        <x:v>Pet Supplies</x:v>
      </x:c>
      <x:c r="H1635" t="n">
        <x:v>3</x:v>
      </x:c>
      <x:c r="I1635" s="26" t="n">
        <x:v>899.4</x:v>
      </x:c>
      <x:c r="J1635" s="26" t="n">
        <x:v>2189.4</x:v>
      </x:c>
      <x:c r="K1635" s="28" t="n">
        <x:v>0.1436</x:v>
      </x:c>
      <x:c r="L1635" s="26" t="n">
        <x:v>314.4</x:v>
      </x:c>
      <x:c r="M1635" t="n">
        <x:v>0</x:v>
      </x:c>
      <x:c r="N1635" s="26" t="n">
        <x:v>0</x:v>
      </x:c>
      <x:c r="O1635" s="26" t="n">
        <x:v>40.5</x:v>
      </x:c>
      <x:c r="P1635" s="26" t="n">
        <x:v>9.85</x:v>
      </x:c>
      <x:c r="Q1635" s="26" t="n">
        <x:v>18.61</x:v>
      </x:c>
      <x:c r="R1635" s="26" t="n">
        <x:v>22.99</x:v>
      </x:c>
      <x:c r="S1635" s="26" t="n">
        <x:v>222.44</x:v>
      </x:c>
    </x:row>
    <x:row r="1636">
      <x:c r="A1636" t="n">
        <x:v>501633</x:v>
      </x:c>
      <x:c r="B1636" s="24" t="n">
        <x:v>45986</x:v>
      </x:c>
      <x:c r="C1636" t="n">
        <x:v>1009</x:v>
      </x:c>
      <x:c r="D1636" t="str">
        <x:v>Seller 1009</x:v>
      </x:c>
      <x:c r="E1636" t="str">
        <x:v>Platinum</x:v>
      </x:c>
      <x:c r="F1636" t="str">
        <x:v>Central</x:v>
      </x:c>
      <x:c r="G1636" t="str">
        <x:v>Pet Supplies</x:v>
      </x:c>
      <x:c r="H1636" t="n">
        <x:v>4</x:v>
      </x:c>
      <x:c r="I1636" s="26" t="n">
        <x:v>807</x:v>
      </x:c>
      <x:c r="J1636" s="26" t="n">
        <x:v>6547.2</x:v>
      </x:c>
      <x:c r="K1636" s="28" t="n">
        <x:v>0.1273</x:v>
      </x:c>
      <x:c r="L1636" s="26" t="n">
        <x:v>833.46</x:v>
      </x:c>
      <x:c r="M1636" t="n">
        <x:v>0</x:v>
      </x:c>
      <x:c r="N1636" s="26" t="n">
        <x:v>0</x:v>
      </x:c>
      <x:c r="O1636" s="26" t="n">
        <x:v>121.12</x:v>
      </x:c>
      <x:c r="P1636" s="26" t="n">
        <x:v>29.46</x:v>
      </x:c>
      <x:c r="Q1636" s="26" t="n">
        <x:v>55.65</x:v>
      </x:c>
      <x:c r="R1636" s="26" t="n">
        <x:v>68.75</x:v>
      </x:c>
      <x:c r="S1636" s="26" t="n">
        <x:v>558.48</x:v>
      </x:c>
    </x:row>
    <x:row r="1637">
      <x:c r="A1637" t="n">
        <x:v>501634</x:v>
      </x:c>
      <x:c r="B1637" s="24" t="n">
        <x:v>45976</x:v>
      </x:c>
      <x:c r="C1637" t="n">
        <x:v>1046</x:v>
      </x:c>
      <x:c r="D1637" t="str">
        <x:v>Seller 1046</x:v>
      </x:c>
      <x:c r="E1637" t="str">
        <x:v>Silver</x:v>
      </x:c>
      <x:c r="F1637" t="str">
        <x:v>Central</x:v>
      </x:c>
      <x:c r="G1637" t="str">
        <x:v>Sports</x:v>
      </x:c>
      <x:c r="H1637" t="n">
        <x:v>2</x:v>
      </x:c>
      <x:c r="I1637" s="26" t="n">
        <x:v>2484.6</x:v>
      </x:c>
      <x:c r="J1637" s="26" t="n">
        <x:v>5722.2</x:v>
      </x:c>
      <x:c r="K1637" s="28" t="n">
        <x:v>0.1422</x:v>
      </x:c>
      <x:c r="L1637" s="26" t="n">
        <x:v>813.7</x:v>
      </x:c>
      <x:c r="M1637" t="n">
        <x:v>0</x:v>
      </x:c>
      <x:c r="N1637" s="26" t="n">
        <x:v>0</x:v>
      </x:c>
      <x:c r="O1637" s="26" t="n">
        <x:v>105.86</x:v>
      </x:c>
      <x:c r="P1637" s="26" t="n">
        <x:v>25.75</x:v>
      </x:c>
      <x:c r="Q1637" s="26" t="n">
        <x:v>48.64</x:v>
      </x:c>
      <x:c r="R1637" s="26" t="n">
        <x:v>60.08</x:v>
      </x:c>
      <x:c r="S1637" s="26" t="n">
        <x:v>573.36</x:v>
      </x:c>
    </x:row>
    <x:row r="1638">
      <x:c r="A1638" t="n">
        <x:v>501635</x:v>
      </x:c>
      <x:c r="B1638" s="24" t="n">
        <x:v>45962</x:v>
      </x:c>
      <x:c r="C1638" t="n">
        <x:v>1058</x:v>
      </x:c>
      <x:c r="D1638" t="str">
        <x:v>Seller 1058</x:v>
      </x:c>
      <x:c r="E1638" t="str">
        <x:v>Bronze</x:v>
      </x:c>
      <x:c r="F1638" t="str">
        <x:v>East</x:v>
      </x:c>
      <x:c r="G1638" t="str">
        <x:v>Beauty</x:v>
      </x:c>
      <x:c r="H1638" t="n">
        <x:v>2</x:v>
      </x:c>
      <x:c r="I1638" s="26" t="n">
        <x:v>1152.6000000000001</x:v>
      </x:c>
      <x:c r="J1638" s="26" t="n">
        <x:v>1870.2</x:v>
      </x:c>
      <x:c r="K1638" s="28" t="n">
        <x:v>0.1414</x:v>
      </x:c>
      <x:c r="L1638" s="26" t="n">
        <x:v>264.45</x:v>
      </x:c>
      <x:c r="M1638" t="n">
        <x:v>0</x:v>
      </x:c>
      <x:c r="N1638" s="26" t="n">
        <x:v>0</x:v>
      </x:c>
      <x:c r="O1638" s="26" t="n">
        <x:v>34.6</x:v>
      </x:c>
      <x:c r="P1638" s="26" t="n">
        <x:v>8.42</x:v>
      </x:c>
      <x:c r="Q1638" s="26" t="n">
        <x:v>15.9</x:v>
      </x:c>
      <x:c r="R1638" s="26" t="n">
        <x:v>19.64</x:v>
      </x:c>
      <x:c r="S1638" s="26" t="n">
        <x:v>185.9</x:v>
      </x:c>
    </x:row>
    <x:row r="1639">
      <x:c r="A1639" t="n">
        <x:v>501636</x:v>
      </x:c>
      <x:c r="B1639" s="24" t="n">
        <x:v>45966</x:v>
      </x:c>
      <x:c r="C1639" t="n">
        <x:v>1021</x:v>
      </x:c>
      <x:c r="D1639" t="str">
        <x:v>Seller 1021</x:v>
      </x:c>
      <x:c r="E1639" t="str">
        <x:v>Gold</x:v>
      </x:c>
      <x:c r="F1639" t="str">
        <x:v>Central</x:v>
      </x:c>
      <x:c r="G1639" t="str">
        <x:v>Pet Supplies</x:v>
      </x:c>
      <x:c r="H1639" t="n">
        <x:v>1</x:v>
      </x:c>
      <x:c r="I1639" s="26" t="n">
        <x:v>3050.4</x:v>
      </x:c>
      <x:c r="J1639" s="26" t="n">
        <x:v>4590</x:v>
      </x:c>
      <x:c r="K1639" s="28" t="n">
        <x:v>0.1298</x:v>
      </x:c>
      <x:c r="L1639" s="26" t="n">
        <x:v>595.78</x:v>
      </x:c>
      <x:c r="M1639" t="n">
        <x:v>0</x:v>
      </x:c>
      <x:c r="N1639" s="26" t="n">
        <x:v>0</x:v>
      </x:c>
      <x:c r="O1639" s="26" t="n">
        <x:v>84.91</x:v>
      </x:c>
      <x:c r="P1639" s="26" t="n">
        <x:v>20.65</x:v>
      </x:c>
      <x:c r="Q1639" s="26" t="n">
        <x:v>39.02</x:v>
      </x:c>
      <x:c r="R1639" s="26" t="n">
        <x:v>48.2</x:v>
      </x:c>
      <x:c r="S1639" s="26" t="n">
        <x:v>403</x:v>
      </x:c>
    </x:row>
    <x:row r="1640">
      <x:c r="A1640" t="n">
        <x:v>501637</x:v>
      </x:c>
      <x:c r="B1640" s="24" t="n">
        <x:v>45973</x:v>
      </x:c>
      <x:c r="C1640" t="n">
        <x:v>1032</x:v>
      </x:c>
      <x:c r="D1640" t="str">
        <x:v>Seller 1032</x:v>
      </x:c>
      <x:c r="E1640" t="str">
        <x:v>Silver</x:v>
      </x:c>
      <x:c r="F1640" t="str">
        <x:v>West</x:v>
      </x:c>
      <x:c r="G1640" t="str">
        <x:v>Pet Supplies</x:v>
      </x:c>
      <x:c r="H1640" t="n">
        <x:v>4</x:v>
      </x:c>
      <x:c r="I1640" s="26" t="n">
        <x:v>596.4</x:v>
      </x:c>
      <x:c r="J1640" s="26" t="n">
        <x:v>2745.6</x:v>
      </x:c>
      <x:c r="K1640" s="28" t="n">
        <x:v>0.1283</x:v>
      </x:c>
      <x:c r="L1640" s="26" t="n">
        <x:v>352.26</x:v>
      </x:c>
      <x:c r="M1640" t="n">
        <x:v>0</x:v>
      </x:c>
      <x:c r="N1640" s="26" t="n">
        <x:v>0</x:v>
      </x:c>
      <x:c r="O1640" s="26" t="n">
        <x:v>50.79</x:v>
      </x:c>
      <x:c r="P1640" s="26" t="n">
        <x:v>12.36</x:v>
      </x:c>
      <x:c r="Q1640" s="26" t="n">
        <x:v>23.34</x:v>
      </x:c>
      <x:c r="R1640" s="26" t="n">
        <x:v>28.83</x:v>
      </x:c>
      <x:c r="S1640" s="26" t="n">
        <x:v>236.95</x:v>
      </x:c>
    </x:row>
    <x:row r="1641">
      <x:c r="A1641" t="n">
        <x:v>501638</x:v>
      </x:c>
      <x:c r="B1641" s="24" t="n">
        <x:v>45976</x:v>
      </x:c>
      <x:c r="C1641" t="n">
        <x:v>1049</x:v>
      </x:c>
      <x:c r="D1641" t="str">
        <x:v>Seller 1049</x:v>
      </x:c>
      <x:c r="E1641" t="str">
        <x:v>Silver</x:v>
      </x:c>
      <x:c r="F1641" t="str">
        <x:v>West</x:v>
      </x:c>
      <x:c r="G1641" t="str">
        <x:v>Home &amp; Kitchen</x:v>
      </x:c>
      <x:c r="H1641" t="n">
        <x:v>2</x:v>
      </x:c>
      <x:c r="I1641" s="26" t="n">
        <x:v>1940.4</x:v>
      </x:c>
      <x:c r="J1641" s="26" t="n">
        <x:v>4468.2</x:v>
      </x:c>
      <x:c r="K1641" s="28" t="n">
        <x:v>0.1527</x:v>
      </x:c>
      <x:c r="L1641" s="26" t="n">
        <x:v>682.29</x:v>
      </x:c>
      <x:c r="M1641" t="n">
        <x:v>0</x:v>
      </x:c>
      <x:c r="N1641" s="26" t="n">
        <x:v>0</x:v>
      </x:c>
      <x:c r="O1641" s="26" t="n">
        <x:v>82.66</x:v>
      </x:c>
      <x:c r="P1641" s="26" t="n">
        <x:v>20.11</x:v>
      </x:c>
      <x:c r="Q1641" s="26" t="n">
        <x:v>37.98</x:v>
      </x:c>
      <x:c r="R1641" s="26" t="n">
        <x:v>46.92</x:v>
      </x:c>
      <x:c r="S1641" s="26" t="n">
        <x:v>494.63</x:v>
      </x:c>
    </x:row>
    <x:row r="1642">
      <x:c r="A1642" t="n">
        <x:v>501639</x:v>
      </x:c>
      <x:c r="B1642" s="24" t="n">
        <x:v>45960</x:v>
      </x:c>
      <x:c r="C1642" t="n">
        <x:v>1024</x:v>
      </x:c>
      <x:c r="D1642" t="str">
        <x:v>Seller 1024</x:v>
      </x:c>
      <x:c r="E1642" t="str">
        <x:v>Gold</x:v>
      </x:c>
      <x:c r="F1642" t="str">
        <x:v>West</x:v>
      </x:c>
      <x:c r="G1642" t="str">
        <x:v>Pet Supplies</x:v>
      </x:c>
      <x:c r="H1642" t="n">
        <x:v>3</x:v>
      </x:c>
      <x:c r="I1642" s="26" t="n">
        <x:v>1076.4</x:v>
      </x:c>
      <x:c r="J1642" s="26" t="n">
        <x:v>4858.2</x:v>
      </x:c>
      <x:c r="K1642" s="28" t="n">
        <x:v>0.1421</x:v>
      </x:c>
      <x:c r="L1642" s="26" t="n">
        <x:v>690.35</x:v>
      </x:c>
      <x:c r="M1642" t="n">
        <x:v>0</x:v>
      </x:c>
      <x:c r="N1642" s="26" t="n">
        <x:v>0</x:v>
      </x:c>
      <x:c r="O1642" s="26" t="n">
        <x:v>89.88</x:v>
      </x:c>
      <x:c r="P1642" s="26" t="n">
        <x:v>21.86</x:v>
      </x:c>
      <x:c r="Q1642" s="26" t="n">
        <x:v>41.29</x:v>
      </x:c>
      <x:c r="R1642" s="26" t="n">
        <x:v>51.01</x:v>
      </x:c>
      <x:c r="S1642" s="26" t="n">
        <x:v>486.31</x:v>
      </x:c>
    </x:row>
    <x:row r="1643">
      <x:c r="A1643" t="n">
        <x:v>501640</x:v>
      </x:c>
      <x:c r="B1643" s="24" t="n">
        <x:v>45983</x:v>
      </x:c>
      <x:c r="C1643" t="n">
        <x:v>1048</x:v>
      </x:c>
      <x:c r="D1643" t="str">
        <x:v>Seller 1048</x:v>
      </x:c>
      <x:c r="E1643" t="str">
        <x:v>Silver</x:v>
      </x:c>
      <x:c r="F1643" t="str">
        <x:v>East</x:v>
      </x:c>
      <x:c r="G1643" t="str">
        <x:v>Electronics</x:v>
      </x:c>
      <x:c r="H1643" t="n">
        <x:v>3</x:v>
      </x:c>
      <x:c r="I1643" s="26" t="n">
        <x:v>3340.8</x:v>
      </x:c>
      <x:c r="J1643" s="26" t="n">
        <x:v>11541</x:v>
      </x:c>
      <x:c r="K1643" s="28" t="n">
        <x:v>0.1284</x:v>
      </x:c>
      <x:c r="L1643" s="26" t="n">
        <x:v>1481.86</x:v>
      </x:c>
      <x:c r="M1643" t="n">
        <x:v>0</x:v>
      </x:c>
      <x:c r="N1643" s="26" t="n">
        <x:v>0</x:v>
      </x:c>
      <x:c r="O1643" s="26" t="n">
        <x:v>213.51</x:v>
      </x:c>
      <x:c r="P1643" s="26" t="n">
        <x:v>51.93</x:v>
      </x:c>
      <x:c r="Q1643" s="26" t="n">
        <x:v>98.1</x:v>
      </x:c>
      <x:c r="R1643" s="26" t="n">
        <x:v>121.18</x:v>
      </x:c>
      <x:c r="S1643" s="26" t="n">
        <x:v>997.14</x:v>
      </x:c>
    </x:row>
    <x:row r="1644">
      <x:c r="A1644" t="n">
        <x:v>501641</x:v>
      </x:c>
      <x:c r="B1644" s="24" t="n">
        <x:v>45973</x:v>
      </x:c>
      <x:c r="C1644" t="n">
        <x:v>1026</x:v>
      </x:c>
      <x:c r="D1644" t="str">
        <x:v>Seller 1026</x:v>
      </x:c>
      <x:c r="E1644" t="str">
        <x:v>Gold</x:v>
      </x:c>
      <x:c r="F1644" t="str">
        <x:v>East</x:v>
      </x:c>
      <x:c r="G1644" t="str">
        <x:v>Beauty</x:v>
      </x:c>
      <x:c r="H1644" t="n">
        <x:v>2</x:v>
      </x:c>
      <x:c r="I1644" s="26" t="n">
        <x:v>1681.8000000000002</x:v>
      </x:c>
      <x:c r="J1644" s="26" t="n">
        <x:v>5060.4</x:v>
      </x:c>
      <x:c r="K1644" s="28" t="n">
        <x:v>0.1579</x:v>
      </x:c>
      <x:c r="L1644" s="26" t="n">
        <x:v>799.04</x:v>
      </x:c>
      <x:c r="M1644" t="n">
        <x:v>0</x:v>
      </x:c>
      <x:c r="N1644" s="26" t="n">
        <x:v>0</x:v>
      </x:c>
      <x:c r="O1644" s="26" t="n">
        <x:v>93.62</x:v>
      </x:c>
      <x:c r="P1644" s="26" t="n">
        <x:v>22.77</x:v>
      </x:c>
      <x:c r="Q1644" s="26" t="n">
        <x:v>43.01</x:v>
      </x:c>
      <x:c r="R1644" s="26" t="n">
        <x:v>53.13</x:v>
      </x:c>
      <x:c r="S1644" s="26" t="n">
        <x:v>586.5</x:v>
      </x:c>
    </x:row>
    <x:row r="1645">
      <x:c r="A1645" t="n">
        <x:v>501642</x:v>
      </x:c>
      <x:c r="B1645" s="24" t="n">
        <x:v>45974</x:v>
      </x:c>
      <x:c r="C1645" t="n">
        <x:v>1003</x:v>
      </x:c>
      <x:c r="D1645" t="str">
        <x:v>Seller 1003</x:v>
      </x:c>
      <x:c r="E1645" t="str">
        <x:v>Platinum</x:v>
      </x:c>
      <x:c r="F1645" t="str">
        <x:v>East</x:v>
      </x:c>
      <x:c r="G1645" t="str">
        <x:v>Pet Supplies</x:v>
      </x:c>
      <x:c r="H1645" t="n">
        <x:v>1</x:v>
      </x:c>
      <x:c r="I1645" s="26" t="n">
        <x:v>2704.7999999999997</x:v>
      </x:c>
      <x:c r="J1645" s="26" t="n">
        <x:v>5485.2</x:v>
      </x:c>
      <x:c r="K1645" s="28" t="n">
        <x:v>0.1348</x:v>
      </x:c>
      <x:c r="L1645" s="26" t="n">
        <x:v>739.4</x:v>
      </x:c>
      <x:c r="M1645" t="n">
        <x:v>0</x:v>
      </x:c>
      <x:c r="N1645" s="26" t="n">
        <x:v>0</x:v>
      </x:c>
      <x:c r="O1645" s="26" t="n">
        <x:v>101.48</x:v>
      </x:c>
      <x:c r="P1645" s="26" t="n">
        <x:v>24.68</x:v>
      </x:c>
      <x:c r="Q1645" s="26" t="n">
        <x:v>46.62</x:v>
      </x:c>
      <x:c r="R1645" s="26" t="n">
        <x:v>57.59</x:v>
      </x:c>
      <x:c r="S1645" s="26" t="n">
        <x:v>509.03</x:v>
      </x:c>
    </x:row>
    <x:row r="1646">
      <x:c r="A1646" t="n">
        <x:v>501643</x:v>
      </x:c>
      <x:c r="B1646" s="24" t="n">
        <x:v>45971</x:v>
      </x:c>
      <x:c r="C1646" t="n">
        <x:v>1004</x:v>
      </x:c>
      <x:c r="D1646" t="str">
        <x:v>Seller 1004</x:v>
      </x:c>
      <x:c r="E1646" t="str">
        <x:v>Platinum</x:v>
      </x:c>
      <x:c r="F1646" t="str">
        <x:v>East</x:v>
      </x:c>
      <x:c r="G1646" t="str">
        <x:v>Sports</x:v>
      </x:c>
      <x:c r="H1646" t="n">
        <x:v>2</x:v>
      </x:c>
      <x:c r="I1646" s="26" t="n">
        <x:v>2213.4</x:v>
      </x:c>
      <x:c r="J1646" s="26" t="n">
        <x:v>8978.4</x:v>
      </x:c>
      <x:c r="K1646" s="28" t="n">
        <x:v>0.1277</x:v>
      </x:c>
      <x:c r="L1646" s="26" t="n">
        <x:v>1146.54</x:v>
      </x:c>
      <x:c r="M1646" t="n">
        <x:v>0</x:v>
      </x:c>
      <x:c r="N1646" s="26" t="n">
        <x:v>0</x:v>
      </x:c>
      <x:c r="O1646" s="26" t="n">
        <x:v>166.1</x:v>
      </x:c>
      <x:c r="P1646" s="26" t="n">
        <x:v>40.4</x:v>
      </x:c>
      <x:c r="Q1646" s="26" t="n">
        <x:v>76.32</x:v>
      </x:c>
      <x:c r="R1646" s="26" t="n">
        <x:v>94.27</x:v>
      </x:c>
      <x:c r="S1646" s="26" t="n">
        <x:v>769.45</x:v>
      </x:c>
    </x:row>
    <x:row r="1647">
      <x:c r="A1647" t="n">
        <x:v>501644</x:v>
      </x:c>
      <x:c r="B1647" s="24" t="n">
        <x:v>45962</x:v>
      </x:c>
      <x:c r="C1647" t="n">
        <x:v>1044</x:v>
      </x:c>
      <x:c r="D1647" t="str">
        <x:v>Seller 1044</x:v>
      </x:c>
      <x:c r="E1647" t="str">
        <x:v>Silver</x:v>
      </x:c>
      <x:c r="F1647" t="str">
        <x:v>East</x:v>
      </x:c>
      <x:c r="G1647" t="str">
        <x:v>Pet Supplies</x:v>
      </x:c>
      <x:c r="H1647" t="n">
        <x:v>2</x:v>
      </x:c>
      <x:c r="I1647" s="26" t="n">
        <x:v>1138.1999999999998</x:v>
      </x:c>
      <x:c r="J1647" s="26" t="n">
        <x:v>2622</x:v>
      </x:c>
      <x:c r="K1647" s="28" t="n">
        <x:v>0.137</x:v>
      </x:c>
      <x:c r="L1647" s="26" t="n">
        <x:v>359.21</x:v>
      </x:c>
      <x:c r="M1647" t="n">
        <x:v>0</x:v>
      </x:c>
      <x:c r="N1647" s="26" t="n">
        <x:v>0</x:v>
      </x:c>
      <x:c r="O1647" s="26" t="n">
        <x:v>48.51</x:v>
      </x:c>
      <x:c r="P1647" s="26" t="n">
        <x:v>11.8</x:v>
      </x:c>
      <x:c r="Q1647" s="26" t="n">
        <x:v>22.29</x:v>
      </x:c>
      <x:c r="R1647" s="26" t="n">
        <x:v>27.53</x:v>
      </x:c>
      <x:c r="S1647" s="26" t="n">
        <x:v>249.09</x:v>
      </x:c>
    </x:row>
    <x:row r="1648">
      <x:c r="A1648" t="n">
        <x:v>501645</x:v>
      </x:c>
      <x:c r="B1648" s="24" t="n">
        <x:v>45980</x:v>
      </x:c>
      <x:c r="C1648" t="n">
        <x:v>1080</x:v>
      </x:c>
      <x:c r="D1648" t="str">
        <x:v>Seller 1080</x:v>
      </x:c>
      <x:c r="E1648" t="str">
        <x:v>Bronze</x:v>
      </x:c>
      <x:c r="F1648" t="str">
        <x:v>South</x:v>
      </x:c>
      <x:c r="G1648" t="str">
        <x:v>Beauty</x:v>
      </x:c>
      <x:c r="H1648" t="n">
        <x:v>1</x:v>
      </x:c>
      <x:c r="I1648" s="26" t="n">
        <x:v>2560.2000000000003</x:v>
      </x:c>
      <x:c r="J1648" s="26" t="n">
        <x:v>2076.6</x:v>
      </x:c>
      <x:c r="K1648" s="28" t="n">
        <x:v>0.1438</x:v>
      </x:c>
      <x:c r="L1648" s="26" t="n">
        <x:v>298.62</x:v>
      </x:c>
      <x:c r="M1648" t="n">
        <x:v>0</x:v>
      </x:c>
      <x:c r="N1648" s="26" t="n">
        <x:v>0</x:v>
      </x:c>
      <x:c r="O1648" s="26" t="n">
        <x:v>38.42</x:v>
      </x:c>
      <x:c r="P1648" s="26" t="n">
        <x:v>9.34</x:v>
      </x:c>
      <x:c r="Q1648" s="26" t="n">
        <x:v>17.65</x:v>
      </x:c>
      <x:c r="R1648" s="26" t="n">
        <x:v>21.8</x:v>
      </x:c>
      <x:c r="S1648" s="26" t="n">
        <x:v>211.4</x:v>
      </x:c>
    </x:row>
    <x:row r="1649">
      <x:c r="A1649" t="n">
        <x:v>501646</x:v>
      </x:c>
      <x:c r="B1649" s="24" t="n">
        <x:v>45968</x:v>
      </x:c>
      <x:c r="C1649" t="n">
        <x:v>1035</x:v>
      </x:c>
      <x:c r="D1649" t="str">
        <x:v>Seller 1035</x:v>
      </x:c>
      <x:c r="E1649" t="str">
        <x:v>Silver</x:v>
      </x:c>
      <x:c r="F1649" t="str">
        <x:v>East</x:v>
      </x:c>
      <x:c r="G1649" t="str">
        <x:v>Electronics</x:v>
      </x:c>
      <x:c r="H1649" t="n">
        <x:v>1</x:v>
      </x:c>
      <x:c r="I1649" s="26" t="n">
        <x:v>9777.6</x:v>
      </x:c>
      <x:c r="J1649" s="26" t="n">
        <x:v>11258.4</x:v>
      </x:c>
      <x:c r="K1649" s="28" t="n">
        <x:v>0.1395</x:v>
      </x:c>
      <x:c r="L1649" s="26" t="n">
        <x:v>1570.55</x:v>
      </x:c>
      <x:c r="M1649" t="n">
        <x:v>0</x:v>
      </x:c>
      <x:c r="N1649" s="26" t="n">
        <x:v>0</x:v>
      </x:c>
      <x:c r="O1649" s="26" t="n">
        <x:v>208.28</x:v>
      </x:c>
      <x:c r="P1649" s="26" t="n">
        <x:v>50.66</x:v>
      </x:c>
      <x:c r="Q1649" s="26" t="n">
        <x:v>95.7</x:v>
      </x:c>
      <x:c r="R1649" s="26" t="n">
        <x:v>118.21</x:v>
      </x:c>
      <x:c r="S1649" s="26" t="n">
        <x:v>1097.69</x:v>
      </x:c>
    </x:row>
    <x:row r="1650">
      <x:c r="A1650" t="n">
        <x:v>501647</x:v>
      </x:c>
      <x:c r="B1650" s="24" t="n">
        <x:v>45979</x:v>
      </x:c>
      <x:c r="C1650" t="n">
        <x:v>1017</x:v>
      </x:c>
      <x:c r="D1650" t="str">
        <x:v>Seller 1017</x:v>
      </x:c>
      <x:c r="E1650" t="str">
        <x:v>Gold</x:v>
      </x:c>
      <x:c r="F1650" t="str">
        <x:v>East</x:v>
      </x:c>
      <x:c r="G1650" t="str">
        <x:v>Pet Supplies</x:v>
      </x:c>
      <x:c r="H1650" t="n">
        <x:v>2</x:v>
      </x:c>
      <x:c r="I1650" s="26" t="n">
        <x:v>1723.1999999999998</x:v>
      </x:c>
      <x:c r="J1650" s="26" t="n">
        <x:v>5185.2</x:v>
      </x:c>
      <x:c r="K1650" s="28" t="n">
        <x:v>0.1328</x:v>
      </x:c>
      <x:c r="L1650" s="26" t="n">
        <x:v>688.59</x:v>
      </x:c>
      <x:c r="M1650" t="n">
        <x:v>0</x:v>
      </x:c>
      <x:c r="N1650" s="26" t="n">
        <x:v>0</x:v>
      </x:c>
      <x:c r="O1650" s="26" t="n">
        <x:v>95.93</x:v>
      </x:c>
      <x:c r="P1650" s="26" t="n">
        <x:v>23.33</x:v>
      </x:c>
      <x:c r="Q1650" s="26" t="n">
        <x:v>44.07</x:v>
      </x:c>
      <x:c r="R1650" s="26" t="n">
        <x:v>54.44</x:v>
      </x:c>
      <x:c r="S1650" s="26" t="n">
        <x:v>470.82</x:v>
      </x:c>
    </x:row>
    <x:row r="1651">
      <x:c r="A1651" t="n">
        <x:v>501648</x:v>
      </x:c>
      <x:c r="B1651" s="24" t="n">
        <x:v>45965</x:v>
      </x:c>
      <x:c r="C1651" t="n">
        <x:v>1011</x:v>
      </x:c>
      <x:c r="D1651" t="str">
        <x:v>Seller 1011</x:v>
      </x:c>
      <x:c r="E1651" t="str">
        <x:v>Platinum</x:v>
      </x:c>
      <x:c r="F1651" t="str">
        <x:v>West</x:v>
      </x:c>
      <x:c r="G1651" t="str">
        <x:v>Beauty</x:v>
      </x:c>
      <x:c r="H1651" t="n">
        <x:v>3</x:v>
      </x:c>
      <x:c r="I1651" s="26" t="n">
        <x:v>536.4</x:v>
      </x:c>
      <x:c r="J1651" s="26" t="n">
        <x:v>3264.6</x:v>
      </x:c>
      <x:c r="K1651" s="28" t="n">
        <x:v>0.1396</x:v>
      </x:c>
      <x:c r="L1651" s="26" t="n">
        <x:v>455.74</x:v>
      </x:c>
      <x:c r="M1651" t="n">
        <x:v>0</x:v>
      </x:c>
      <x:c r="N1651" s="26" t="n">
        <x:v>0</x:v>
      </x:c>
      <x:c r="O1651" s="26" t="n">
        <x:v>60.4</x:v>
      </x:c>
      <x:c r="P1651" s="26" t="n">
        <x:v>14.69</x:v>
      </x:c>
      <x:c r="Q1651" s="26" t="n">
        <x:v>27.75</x:v>
      </x:c>
      <x:c r="R1651" s="26" t="n">
        <x:v>34.28</x:v>
      </x:c>
      <x:c r="S1651" s="26" t="n">
        <x:v>318.62</x:v>
      </x:c>
    </x:row>
    <x:row r="1652">
      <x:c r="A1652" t="n">
        <x:v>501649</x:v>
      </x:c>
      <x:c r="B1652" s="24" t="n">
        <x:v>45981</x:v>
      </x:c>
      <x:c r="C1652" t="n">
        <x:v>1010</x:v>
      </x:c>
      <x:c r="D1652" t="str">
        <x:v>Seller 1010</x:v>
      </x:c>
      <x:c r="E1652" t="str">
        <x:v>Platinum</x:v>
      </x:c>
      <x:c r="F1652" t="str">
        <x:v>West</x:v>
      </x:c>
      <x:c r="G1652" t="str">
        <x:v>Home &amp; Kitchen</x:v>
      </x:c>
      <x:c r="H1652" t="n">
        <x:v>3</x:v>
      </x:c>
      <x:c r="I1652" s="26" t="n">
        <x:v>1843.8</x:v>
      </x:c>
      <x:c r="J1652" s="26" t="n">
        <x:v>11217</x:v>
      </x:c>
      <x:c r="K1652" s="28" t="n">
        <x:v>0.1347</x:v>
      </x:c>
      <x:c r="L1652" s="26" t="n">
        <x:v>1510.93</x:v>
      </x:c>
      <x:c r="M1652" t="n">
        <x:v>0</x:v>
      </x:c>
      <x:c r="N1652" s="26" t="n">
        <x:v>0</x:v>
      </x:c>
      <x:c r="O1652" s="26" t="n">
        <x:v>207.51</x:v>
      </x:c>
      <x:c r="P1652" s="26" t="n">
        <x:v>50.48</x:v>
      </x:c>
      <x:c r="Q1652" s="26" t="n">
        <x:v>95.34</x:v>
      </x:c>
      <x:c r="R1652" s="26" t="n">
        <x:v>117.78</x:v>
      </x:c>
      <x:c r="S1652" s="26" t="n">
        <x:v>1039.82</x:v>
      </x:c>
    </x:row>
    <x:row r="1653">
      <x:c r="A1653" t="n">
        <x:v>501650</x:v>
      </x:c>
      <x:c r="B1653" s="24" t="n">
        <x:v>45972</x:v>
      </x:c>
      <x:c r="C1653" t="n">
        <x:v>1002</x:v>
      </x:c>
      <x:c r="D1653" t="str">
        <x:v>Seller 1002</x:v>
      </x:c>
      <x:c r="E1653" t="str">
        <x:v>Platinum</x:v>
      </x:c>
      <x:c r="F1653" t="str">
        <x:v>Central</x:v>
      </x:c>
      <x:c r="G1653" t="str">
        <x:v>Home &amp; Kitchen</x:v>
      </x:c>
      <x:c r="H1653" t="n">
        <x:v>1</x:v>
      </x:c>
      <x:c r="I1653" s="26" t="n">
        <x:v>5644.2</x:v>
      </x:c>
      <x:c r="J1653" s="26" t="n">
        <x:v>11447.4</x:v>
      </x:c>
      <x:c r="K1653" s="28" t="n">
        <x:v>0.1307</x:v>
      </x:c>
      <x:c r="L1653" s="26" t="n">
        <x:v>1496.18</x:v>
      </x:c>
      <x:c r="M1653" t="n">
        <x:v>0</x:v>
      </x:c>
      <x:c r="N1653" s="26" t="n">
        <x:v>0</x:v>
      </x:c>
      <x:c r="O1653" s="26" t="n">
        <x:v>211.78</x:v>
      </x:c>
      <x:c r="P1653" s="26" t="n">
        <x:v>51.51</x:v>
      </x:c>
      <x:c r="Q1653" s="26" t="n">
        <x:v>97.3</x:v>
      </x:c>
      <x:c r="R1653" s="26" t="n">
        <x:v>120.2</x:v>
      </x:c>
      <x:c r="S1653" s="26" t="n">
        <x:v>1015.38</x:v>
      </x:c>
    </x:row>
    <x:row r="1654">
      <x:c r="A1654" t="n">
        <x:v>501651</x:v>
      </x:c>
      <x:c r="B1654" s="24" t="n">
        <x:v>45963</x:v>
      </x:c>
      <x:c r="C1654" t="n">
        <x:v>1043</x:v>
      </x:c>
      <x:c r="D1654" t="str">
        <x:v>Seller 1043</x:v>
      </x:c>
      <x:c r="E1654" t="str">
        <x:v>Silver</x:v>
      </x:c>
      <x:c r="F1654" t="str">
        <x:v>West</x:v>
      </x:c>
      <x:c r="G1654" t="str">
        <x:v>Electronics</x:v>
      </x:c>
      <x:c r="H1654" t="n">
        <x:v>2</x:v>
      </x:c>
      <x:c r="I1654" s="26" t="n">
        <x:v>4196.4</x:v>
      </x:c>
      <x:c r="J1654" s="26" t="n">
        <x:v>9663.6</x:v>
      </x:c>
      <x:c r="K1654" s="28" t="n">
        <x:v>0.1223</x:v>
      </x:c>
      <x:c r="L1654" s="26" t="n">
        <x:v>1181.86</x:v>
      </x:c>
      <x:c r="M1654" t="n">
        <x:v>0</x:v>
      </x:c>
      <x:c r="N1654" s="26" t="n">
        <x:v>0</x:v>
      </x:c>
      <x:c r="O1654" s="26" t="n">
        <x:v>178.78</x:v>
      </x:c>
      <x:c r="P1654" s="26" t="n">
        <x:v>43.49</x:v>
      </x:c>
      <x:c r="Q1654" s="26" t="n">
        <x:v>82.14</x:v>
      </x:c>
      <x:c r="R1654" s="26" t="n">
        <x:v>101.47</x:v>
      </x:c>
      <x:c r="S1654" s="26" t="n">
        <x:v>775.99</x:v>
      </x:c>
    </x:row>
    <x:row r="1655">
      <x:c r="A1655" t="n">
        <x:v>501652</x:v>
      </x:c>
      <x:c r="B1655" s="24" t="n">
        <x:v>45970</x:v>
      </x:c>
      <x:c r="C1655" t="n">
        <x:v>1012</x:v>
      </x:c>
      <x:c r="D1655" t="str">
        <x:v>Seller 1012</x:v>
      </x:c>
      <x:c r="E1655" t="str">
        <x:v>Platinum</x:v>
      </x:c>
      <x:c r="F1655" t="str">
        <x:v>East</x:v>
      </x:c>
      <x:c r="G1655" t="str">
        <x:v>Beauty</x:v>
      </x:c>
      <x:c r="H1655" t="n">
        <x:v>3</x:v>
      </x:c>
      <x:c r="I1655" s="26" t="n">
        <x:v>1002.6</x:v>
      </x:c>
      <x:c r="J1655" s="26" t="n">
        <x:v>6099</x:v>
      </x:c>
      <x:c r="K1655" s="28" t="n">
        <x:v>0.1555</x:v>
      </x:c>
      <x:c r="L1655" s="26" t="n">
        <x:v>948.39</x:v>
      </x:c>
      <x:c r="M1655" t="n">
        <x:v>0</x:v>
      </x:c>
      <x:c r="N1655" s="26" t="n">
        <x:v>0</x:v>
      </x:c>
      <x:c r="O1655" s="26" t="n">
        <x:v>112.83</x:v>
      </x:c>
      <x:c r="P1655" s="26" t="n">
        <x:v>27.45</x:v>
      </x:c>
      <x:c r="Q1655" s="26" t="n">
        <x:v>51.84</x:v>
      </x:c>
      <x:c r="R1655" s="26" t="n">
        <x:v>64.04</x:v>
      </x:c>
      <x:c r="S1655" s="26" t="n">
        <x:v>692.24</x:v>
      </x:c>
    </x:row>
    <x:row r="1656">
      <x:c r="A1656" t="n">
        <x:v>501653</x:v>
      </x:c>
      <x:c r="B1656" s="24" t="n">
        <x:v>45973</x:v>
      </x:c>
      <x:c r="C1656" t="n">
        <x:v>1042</x:v>
      </x:c>
      <x:c r="D1656" t="str">
        <x:v>Seller 1042</x:v>
      </x:c>
      <x:c r="E1656" t="str">
        <x:v>Silver</x:v>
      </x:c>
      <x:c r="F1656" t="str">
        <x:v>East</x:v>
      </x:c>
      <x:c r="G1656" t="str">
        <x:v>Pet Supplies</x:v>
      </x:c>
      <x:c r="H1656" t="n">
        <x:v>3</x:v>
      </x:c>
      <x:c r="I1656" s="26" t="n">
        <x:v>1470.6000000000001</x:v>
      </x:c>
      <x:c r="J1656" s="26" t="n">
        <x:v>5080.8</x:v>
      </x:c>
      <x:c r="K1656" s="28" t="n">
        <x:v>0.143</x:v>
      </x:c>
      <x:c r="L1656" s="26" t="n">
        <x:v>726.55</x:v>
      </x:c>
      <x:c r="M1656" t="n">
        <x:v>0</x:v>
      </x:c>
      <x:c r="N1656" s="26" t="n">
        <x:v>0</x:v>
      </x:c>
      <x:c r="O1656" s="26" t="n">
        <x:v>93.99</x:v>
      </x:c>
      <x:c r="P1656" s="26" t="n">
        <x:v>22.86</x:v>
      </x:c>
      <x:c r="Q1656" s="26" t="n">
        <x:v>43.19</x:v>
      </x:c>
      <x:c r="R1656" s="26" t="n">
        <x:v>53.35</x:v>
      </x:c>
      <x:c r="S1656" s="26" t="n">
        <x:v>513.16</x:v>
      </x:c>
    </x:row>
    <x:row r="1657">
      <x:c r="A1657" t="n">
        <x:v>501654</x:v>
      </x:c>
      <x:c r="B1657" s="24" t="n">
        <x:v>45966</x:v>
      </x:c>
      <x:c r="C1657" t="n">
        <x:v>1037</x:v>
      </x:c>
      <x:c r="D1657" t="str">
        <x:v>Seller 1037</x:v>
      </x:c>
      <x:c r="E1657" t="str">
        <x:v>Silver</x:v>
      </x:c>
      <x:c r="F1657" t="str">
        <x:v>East</x:v>
      </x:c>
      <x:c r="G1657" t="str">
        <x:v>Apparel</x:v>
      </x:c>
      <x:c r="H1657" t="n">
        <x:v>1</x:v>
      </x:c>
      <x:c r="I1657" s="26" t="n">
        <x:v>3507</x:v>
      </x:c>
      <x:c r="J1657" s="26" t="n">
        <x:v>4038.6</x:v>
      </x:c>
      <x:c r="K1657" s="28" t="n">
        <x:v>0.1246</x:v>
      </x:c>
      <x:c r="L1657" s="26" t="n">
        <x:v>503.21</x:v>
      </x:c>
      <x:c r="M1657" t="n">
        <x:v>1</x:v>
      </x:c>
      <x:c r="N1657" s="26" t="n">
        <x:v>3991.8</x:v>
      </x:c>
      <x:c r="O1657" s="26" t="n">
        <x:v>74.71</x:v>
      </x:c>
      <x:c r="P1657" s="26" t="n">
        <x:v>18.17</x:v>
      </x:c>
      <x:c r="Q1657" s="26" t="n">
        <x:v>34.33</x:v>
      </x:c>
      <x:c r="R1657" s="26" t="n">
        <x:v>42.41</x:v>
      </x:c>
      <x:c r="S1657" s="26" t="n">
        <x:v>253.75</x:v>
      </x:c>
    </x:row>
    <x:row r="1658">
      <x:c r="A1658" t="n">
        <x:v>501655</x:v>
      </x:c>
      <x:c r="B1658" s="24" t="n">
        <x:v>45968</x:v>
      </x:c>
      <x:c r="C1658" t="n">
        <x:v>1019</x:v>
      </x:c>
      <x:c r="D1658" t="str">
        <x:v>Seller 1019</x:v>
      </x:c>
      <x:c r="E1658" t="str">
        <x:v>Gold</x:v>
      </x:c>
      <x:c r="F1658" t="str">
        <x:v>East</x:v>
      </x:c>
      <x:c r="G1658" t="str">
        <x:v>Sports</x:v>
      </x:c>
      <x:c r="H1658" t="n">
        <x:v>3</x:v>
      </x:c>
      <x:c r="I1658" s="26" t="n">
        <x:v>1423.1999999999998</x:v>
      </x:c>
      <x:c r="J1658" s="26" t="n">
        <x:v>6426</x:v>
      </x:c>
      <x:c r="K1658" s="28" t="n">
        <x:v>0.1389</x:v>
      </x:c>
      <x:c r="L1658" s="26" t="n">
        <x:v>892.57</x:v>
      </x:c>
      <x:c r="M1658" t="n">
        <x:v>0</x:v>
      </x:c>
      <x:c r="N1658" s="26" t="n">
        <x:v>0</x:v>
      </x:c>
      <x:c r="O1658" s="26" t="n">
        <x:v>118.88</x:v>
      </x:c>
      <x:c r="P1658" s="26" t="n">
        <x:v>28.92</x:v>
      </x:c>
      <x:c r="Q1658" s="26" t="n">
        <x:v>54.62</x:v>
      </x:c>
      <x:c r="R1658" s="26" t="n">
        <x:v>67.47</x:v>
      </x:c>
      <x:c r="S1658" s="26" t="n">
        <x:v>622.68</x:v>
      </x:c>
    </x:row>
    <x:row r="1659">
      <x:c r="A1659" t="n">
        <x:v>501656</x:v>
      </x:c>
      <x:c r="B1659" s="24" t="n">
        <x:v>45971</x:v>
      </x:c>
      <x:c r="C1659" t="n">
        <x:v>1030</x:v>
      </x:c>
      <x:c r="D1659" t="str">
        <x:v>Seller 1030</x:v>
      </x:c>
      <x:c r="E1659" t="str">
        <x:v>Gold</x:v>
      </x:c>
      <x:c r="F1659" t="str">
        <x:v>South</x:v>
      </x:c>
      <x:c r="G1659" t="str">
        <x:v>Pet Supplies</x:v>
      </x:c>
      <x:c r="H1659" t="n">
        <x:v>1</x:v>
      </x:c>
      <x:c r="I1659" s="26" t="n">
        <x:v>2868.6000000000004</x:v>
      </x:c>
      <x:c r="J1659" s="26" t="n">
        <x:v>4317</x:v>
      </x:c>
      <x:c r="K1659" s="28" t="n">
        <x:v>0.1404</x:v>
      </x:c>
      <x:c r="L1659" s="26" t="n">
        <x:v>606.11</x:v>
      </x:c>
      <x:c r="M1659" t="n">
        <x:v>0</x:v>
      </x:c>
      <x:c r="N1659" s="26" t="n">
        <x:v>0</x:v>
      </x:c>
      <x:c r="O1659" s="26" t="n">
        <x:v>79.86</x:v>
      </x:c>
      <x:c r="P1659" s="26" t="n">
        <x:v>19.43</x:v>
      </x:c>
      <x:c r="Q1659" s="26" t="n">
        <x:v>36.69</x:v>
      </x:c>
      <x:c r="R1659" s="26" t="n">
        <x:v>45.33</x:v>
      </x:c>
      <x:c r="S1659" s="26" t="n">
        <x:v>424.79</x:v>
      </x:c>
    </x:row>
    <x:row r="1660">
      <x:c r="A1660" t="n">
        <x:v>501657</x:v>
      </x:c>
      <x:c r="B1660" s="24" t="n">
        <x:v>45963</x:v>
      </x:c>
      <x:c r="C1660" t="n">
        <x:v>1033</x:v>
      </x:c>
      <x:c r="D1660" t="str">
        <x:v>Seller 1033</x:v>
      </x:c>
      <x:c r="E1660" t="str">
        <x:v>Silver</x:v>
      </x:c>
      <x:c r="F1660" t="str">
        <x:v>South</x:v>
      </x:c>
      <x:c r="G1660" t="str">
        <x:v>Pet Supplies</x:v>
      </x:c>
      <x:c r="H1660" t="n">
        <x:v>2</x:v>
      </x:c>
      <x:c r="I1660" s="26" t="n">
        <x:v>1589.3999999999999</x:v>
      </x:c>
      <x:c r="J1660" s="26" t="n">
        <x:v>3660.6</x:v>
      </x:c>
      <x:c r="K1660" s="28" t="n">
        <x:v>0.1474</x:v>
      </x:c>
      <x:c r="L1660" s="26" t="n">
        <x:v>539.57</x:v>
      </x:c>
      <x:c r="M1660" t="n">
        <x:v>0</x:v>
      </x:c>
      <x:c r="N1660" s="26" t="n">
        <x:v>0</x:v>
      </x:c>
      <x:c r="O1660" s="26" t="n">
        <x:v>67.72</x:v>
      </x:c>
      <x:c r="P1660" s="26" t="n">
        <x:v>16.47</x:v>
      </x:c>
      <x:c r="Q1660" s="26" t="n">
        <x:v>31.12</x:v>
      </x:c>
      <x:c r="R1660" s="26" t="n">
        <x:v>38.44</x:v>
      </x:c>
      <x:c r="S1660" s="26" t="n">
        <x:v>385.83</x:v>
      </x:c>
    </x:row>
    <x:row r="1661">
      <x:c r="A1661" t="n">
        <x:v>501658</x:v>
      </x:c>
      <x:c r="B1661" s="24" t="n">
        <x:v>45979</x:v>
      </x:c>
      <x:c r="C1661" t="n">
        <x:v>1009</x:v>
      </x:c>
      <x:c r="D1661" t="str">
        <x:v>Seller 1009</x:v>
      </x:c>
      <x:c r="E1661" t="str">
        <x:v>Platinum</x:v>
      </x:c>
      <x:c r="F1661" t="str">
        <x:v>Central</x:v>
      </x:c>
      <x:c r="G1661" t="str">
        <x:v>Pet Supplies</x:v>
      </x:c>
      <x:c r="H1661" t="n">
        <x:v>1</x:v>
      </x:c>
      <x:c r="I1661" s="26" t="n">
        <x:v>3140.4</x:v>
      </x:c>
      <x:c r="J1661" s="26" t="n">
        <x:v>6369.6</x:v>
      </x:c>
      <x:c r="K1661" s="28" t="n">
        <x:v>0.1274</x:v>
      </x:c>
      <x:c r="L1661" s="26" t="n">
        <x:v>811.49</x:v>
      </x:c>
      <x:c r="M1661" t="n">
        <x:v>0</x:v>
      </x:c>
      <x:c r="N1661" s="26" t="n">
        <x:v>0</x:v>
      </x:c>
      <x:c r="O1661" s="26" t="n">
        <x:v>117.84</x:v>
      </x:c>
      <x:c r="P1661" s="26" t="n">
        <x:v>28.66</x:v>
      </x:c>
      <x:c r="Q1661" s="26" t="n">
        <x:v>54.14</x:v>
      </x:c>
      <x:c r="R1661" s="26" t="n">
        <x:v>66.88</x:v>
      </x:c>
      <x:c r="S1661" s="26" t="n">
        <x:v>543.96</x:v>
      </x:c>
    </x:row>
    <x:row r="1662">
      <x:c r="A1662" t="n">
        <x:v>501659</x:v>
      </x:c>
      <x:c r="B1662" s="24" t="n">
        <x:v>45979</x:v>
      </x:c>
      <x:c r="C1662" t="n">
        <x:v>1058</x:v>
      </x:c>
      <x:c r="D1662" t="str">
        <x:v>Seller 1058</x:v>
      </x:c>
      <x:c r="E1662" t="str">
        <x:v>Bronze</x:v>
      </x:c>
      <x:c r="F1662" t="str">
        <x:v>East</x:v>
      </x:c>
      <x:c r="G1662" t="str">
        <x:v>Beauty</x:v>
      </x:c>
      <x:c r="H1662" t="n">
        <x:v>2</x:v>
      </x:c>
      <x:c r="I1662" s="26" t="n">
        <x:v>1229.3999999999999</x:v>
      </x:c>
      <x:c r="J1662" s="26" t="n">
        <x:v>1994.4</x:v>
      </x:c>
      <x:c r="K1662" s="28" t="n">
        <x:v>0.1531</x:v>
      </x:c>
      <x:c r="L1662" s="26" t="n">
        <x:v>305.34</x:v>
      </x:c>
      <x:c r="M1662" t="n">
        <x:v>0</x:v>
      </x:c>
      <x:c r="N1662" s="26" t="n">
        <x:v>0</x:v>
      </x:c>
      <x:c r="O1662" s="26" t="n">
        <x:v>36.9</x:v>
      </x:c>
      <x:c r="P1662" s="26" t="n">
        <x:v>8.97</x:v>
      </x:c>
      <x:c r="Q1662" s="26" t="n">
        <x:v>16.95</x:v>
      </x:c>
      <x:c r="R1662" s="26" t="n">
        <x:v>20.94</x:v>
      </x:c>
      <x:c r="S1662" s="26" t="n">
        <x:v>221.58</x:v>
      </x:c>
    </x:row>
    <x:row r="1663">
      <x:c r="A1663" t="n">
        <x:v>501660</x:v>
      </x:c>
      <x:c r="B1663" s="24" t="n">
        <x:v>45973</x:v>
      </x:c>
      <x:c r="C1663" t="n">
        <x:v>1078</x:v>
      </x:c>
      <x:c r="D1663" t="str">
        <x:v>Seller 1078</x:v>
      </x:c>
      <x:c r="E1663" t="str">
        <x:v>Bronze</x:v>
      </x:c>
      <x:c r="F1663" t="str">
        <x:v>East</x:v>
      </x:c>
      <x:c r="G1663" t="str">
        <x:v>Home &amp; Kitchen</x:v>
      </x:c>
      <x:c r="H1663" t="n">
        <x:v>3</x:v>
      </x:c>
      <x:c r="I1663" s="26" t="n">
        <x:v>1763.4</x:v>
      </x:c>
      <x:c r="J1663" s="26" t="n">
        <x:v>4291.8</x:v>
      </x:c>
      <x:c r="K1663" s="28" t="n">
        <x:v>0.1492</x:v>
      </x:c>
      <x:c r="L1663" s="26" t="n">
        <x:v>640.34</x:v>
      </x:c>
      <x:c r="M1663" t="n">
        <x:v>0</x:v>
      </x:c>
      <x:c r="N1663" s="26" t="n">
        <x:v>0</x:v>
      </x:c>
      <x:c r="O1663" s="26" t="n">
        <x:v>79.4</x:v>
      </x:c>
      <x:c r="P1663" s="26" t="n">
        <x:v>19.31</x:v>
      </x:c>
      <x:c r="Q1663" s="26" t="n">
        <x:v>36.48</x:v>
      </x:c>
      <x:c r="R1663" s="26" t="n">
        <x:v>45.06</x:v>
      </x:c>
      <x:c r="S1663" s="26" t="n">
        <x:v>460.08</x:v>
      </x:c>
    </x:row>
    <x:row r="1664">
      <x:c r="A1664" t="n">
        <x:v>501661</x:v>
      </x:c>
      <x:c r="B1664" s="24" t="n">
        <x:v>45959</x:v>
      </x:c>
      <x:c r="C1664" t="n">
        <x:v>1048</x:v>
      </x:c>
      <x:c r="D1664" t="str">
        <x:v>Seller 1048</x:v>
      </x:c>
      <x:c r="E1664" t="str">
        <x:v>Silver</x:v>
      </x:c>
      <x:c r="F1664" t="str">
        <x:v>East</x:v>
      </x:c>
      <x:c r="G1664" t="str">
        <x:v>Electronics</x:v>
      </x:c>
      <x:c r="H1664" t="n">
        <x:v>2</x:v>
      </x:c>
      <x:c r="I1664" s="26" t="n">
        <x:v>3748.2</x:v>
      </x:c>
      <x:c r="J1664" s="26" t="n">
        <x:v>8632.8</x:v>
      </x:c>
      <x:c r="K1664" s="28" t="n">
        <x:v>0.143</x:v>
      </x:c>
      <x:c r="L1664" s="26" t="n">
        <x:v>1234.49</x:v>
      </x:c>
      <x:c r="M1664" t="n">
        <x:v>0</x:v>
      </x:c>
      <x:c r="N1664" s="26" t="n">
        <x:v>0</x:v>
      </x:c>
      <x:c r="O1664" s="26" t="n">
        <x:v>159.71</x:v>
      </x:c>
      <x:c r="P1664" s="26" t="n">
        <x:v>38.85</x:v>
      </x:c>
      <x:c r="Q1664" s="26" t="n">
        <x:v>73.38</x:v>
      </x:c>
      <x:c r="R1664" s="26" t="n">
        <x:v>90.64</x:v>
      </x:c>
      <x:c r="S1664" s="26" t="n">
        <x:v>871.91</x:v>
      </x:c>
    </x:row>
    <x:row r="1665">
      <x:c r="A1665" t="n">
        <x:v>501662</x:v>
      </x:c>
      <x:c r="B1665" s="24" t="n">
        <x:v>45985</x:v>
      </x:c>
      <x:c r="C1665" t="n">
        <x:v>1046</x:v>
      </x:c>
      <x:c r="D1665" t="str">
        <x:v>Seller 1046</x:v>
      </x:c>
      <x:c r="E1665" t="str">
        <x:v>Silver</x:v>
      </x:c>
      <x:c r="F1665" t="str">
        <x:v>Central</x:v>
      </x:c>
      <x:c r="G1665" t="str">
        <x:v>Sports</x:v>
      </x:c>
      <x:c r="H1665" t="n">
        <x:v>3</x:v>
      </x:c>
      <x:c r="I1665" s="26" t="n">
        <x:v>1299</x:v>
      </x:c>
      <x:c r="J1665" s="26" t="n">
        <x:v>4486.8</x:v>
      </x:c>
      <x:c r="K1665" s="28" t="n">
        <x:v>0.1411</x:v>
      </x:c>
      <x:c r="L1665" s="26" t="n">
        <x:v>633.09</x:v>
      </x:c>
      <x:c r="M1665" t="n">
        <x:v>0</x:v>
      </x:c>
      <x:c r="N1665" s="26" t="n">
        <x:v>0</x:v>
      </x:c>
      <x:c r="O1665" s="26" t="n">
        <x:v>83.01</x:v>
      </x:c>
      <x:c r="P1665" s="26" t="n">
        <x:v>20.19</x:v>
      </x:c>
      <x:c r="Q1665" s="26" t="n">
        <x:v>38.14</x:v>
      </x:c>
      <x:c r="R1665" s="26" t="n">
        <x:v>47.11</x:v>
      </x:c>
      <x:c r="S1665" s="26" t="n">
        <x:v>444.64</x:v>
      </x:c>
    </x:row>
    <x:row r="1666">
      <x:c r="A1666" t="n">
        <x:v>501663</x:v>
      </x:c>
      <x:c r="B1666" s="24" t="n">
        <x:v>45968</x:v>
      </x:c>
      <x:c r="C1666" t="n">
        <x:v>1060</x:v>
      </x:c>
      <x:c r="D1666" t="str">
        <x:v>Seller 1060</x:v>
      </x:c>
      <x:c r="E1666" t="str">
        <x:v>Bronze</x:v>
      </x:c>
      <x:c r="F1666" t="str">
        <x:v>East</x:v>
      </x:c>
      <x:c r="G1666" t="str">
        <x:v>Pet Supplies</x:v>
      </x:c>
      <x:c r="H1666" t="n">
        <x:v>3</x:v>
      </x:c>
      <x:c r="I1666" s="26" t="n">
        <x:v>1363.8</x:v>
      </x:c>
      <x:c r="J1666" s="26" t="n">
        <x:v>3319.8</x:v>
      </x:c>
      <x:c r="K1666" s="28" t="n">
        <x:v>0.1361</x:v>
      </x:c>
      <x:c r="L1666" s="26" t="n">
        <x:v>451.82</x:v>
      </x:c>
      <x:c r="M1666" t="n">
        <x:v>0</x:v>
      </x:c>
      <x:c r="N1666" s="26" t="n">
        <x:v>0</x:v>
      </x:c>
      <x:c r="O1666" s="26" t="n">
        <x:v>61.42</x:v>
      </x:c>
      <x:c r="P1666" s="26" t="n">
        <x:v>14.94</x:v>
      </x:c>
      <x:c r="Q1666" s="26" t="n">
        <x:v>28.22</x:v>
      </x:c>
      <x:c r="R1666" s="26" t="n">
        <x:v>34.86</x:v>
      </x:c>
      <x:c r="S1666" s="26" t="n">
        <x:v>312.39</x:v>
      </x:c>
    </x:row>
    <x:row r="1667">
      <x:c r="A1667" t="n">
        <x:v>501664</x:v>
      </x:c>
      <x:c r="B1667" s="24" t="n">
        <x:v>45962</x:v>
      </x:c>
      <x:c r="C1667" t="n">
        <x:v>1049</x:v>
      </x:c>
      <x:c r="D1667" t="str">
        <x:v>Seller 1049</x:v>
      </x:c>
      <x:c r="E1667" t="str">
        <x:v>Silver</x:v>
      </x:c>
      <x:c r="F1667" t="str">
        <x:v>West</x:v>
      </x:c>
      <x:c r="G1667" t="str">
        <x:v>Pet Supplies</x:v>
      </x:c>
      <x:c r="H1667" t="n">
        <x:v>3</x:v>
      </x:c>
      <x:c r="I1667" s="26" t="n">
        <x:v>1232.3999999999999</x:v>
      </x:c>
      <x:c r="J1667" s="26" t="n">
        <x:v>4256.4</x:v>
      </x:c>
      <x:c r="K1667" s="28" t="n">
        <x:v>0.1364</x:v>
      </x:c>
      <x:c r="L1667" s="26" t="n">
        <x:v>580.57</x:v>
      </x:c>
      <x:c r="M1667" t="n">
        <x:v>0</x:v>
      </x:c>
      <x:c r="N1667" s="26" t="n">
        <x:v>0</x:v>
      </x:c>
      <x:c r="O1667" s="26" t="n">
        <x:v>78.74</x:v>
      </x:c>
      <x:c r="P1667" s="26" t="n">
        <x:v>19.15</x:v>
      </x:c>
      <x:c r="Q1667" s="26" t="n">
        <x:v>36.18</x:v>
      </x:c>
      <x:c r="R1667" s="26" t="n">
        <x:v>44.69</x:v>
      </x:c>
      <x:c r="S1667" s="26" t="n">
        <x:v>401.8</x:v>
      </x:c>
    </x:row>
    <x:row r="1668">
      <x:c r="A1668" t="n">
        <x:v>501665</x:v>
      </x:c>
      <x:c r="B1668" s="24" t="n">
        <x:v>45967</x:v>
      </x:c>
      <x:c r="C1668" t="n">
        <x:v>1076</x:v>
      </x:c>
      <x:c r="D1668" t="str">
        <x:v>Seller 1076</x:v>
      </x:c>
      <x:c r="E1668" t="str">
        <x:v>Bronze</x:v>
      </x:c>
      <x:c r="F1668" t="str">
        <x:v>Central</x:v>
      </x:c>
      <x:c r="G1668" t="str">
        <x:v>Home &amp; Kitchen</x:v>
      </x:c>
      <x:c r="H1668" t="n">
        <x:v>3</x:v>
      </x:c>
      <x:c r="I1668" s="26" t="n">
        <x:v>1860</x:v>
      </x:c>
      <x:c r="J1668" s="26" t="n">
        <x:v>4527</x:v>
      </x:c>
      <x:c r="K1668" s="28" t="n">
        <x:v>0.1326</x:v>
      </x:c>
      <x:c r="L1668" s="26" t="n">
        <x:v>600.28</x:v>
      </x:c>
      <x:c r="M1668" t="n">
        <x:v>1</x:v>
      </x:c>
      <x:c r="N1668" s="26" t="n">
        <x:v>3289.2</x:v>
      </x:c>
      <x:c r="O1668" s="26" t="n">
        <x:v>83.75</x:v>
      </x:c>
      <x:c r="P1668" s="26" t="n">
        <x:v>20.37</x:v>
      </x:c>
      <x:c r="Q1668" s="26" t="n">
        <x:v>38.48</x:v>
      </x:c>
      <x:c r="R1668" s="26" t="n">
        <x:v>47.53</x:v>
      </x:c>
      <x:c r="S1668" s="26" t="n">
        <x:v>344.36</x:v>
      </x:c>
    </x:row>
    <x:row r="1669">
      <x:c r="A1669" t="n">
        <x:v>501666</x:v>
      </x:c>
      <x:c r="B1669" s="24" t="n">
        <x:v>45973</x:v>
      </x:c>
      <x:c r="C1669" t="n">
        <x:v>1071</x:v>
      </x:c>
      <x:c r="D1669" t="str">
        <x:v>Seller 1071</x:v>
      </x:c>
      <x:c r="E1669" t="str">
        <x:v>Bronze</x:v>
      </x:c>
      <x:c r="F1669" t="str">
        <x:v>Central</x:v>
      </x:c>
      <x:c r="G1669" t="str">
        <x:v>Sports</x:v>
      </x:c>
      <x:c r="H1669" t="n">
        <x:v>3</x:v>
      </x:c>
      <x:c r="I1669" s="26" t="n">
        <x:v>1983.6000000000001</x:v>
      </x:c>
      <x:c r="J1669" s="26" t="n">
        <x:v>4827</x:v>
      </x:c>
      <x:c r="K1669" s="28" t="n">
        <x:v>0.134</x:v>
      </x:c>
      <x:c r="L1669" s="26" t="n">
        <x:v>646.82</x:v>
      </x:c>
      <x:c r="M1669" t="n">
        <x:v>0</x:v>
      </x:c>
      <x:c r="N1669" s="26" t="n">
        <x:v>0</x:v>
      </x:c>
      <x:c r="O1669" s="26" t="n">
        <x:v>89.3</x:v>
      </x:c>
      <x:c r="P1669" s="26" t="n">
        <x:v>21.72</x:v>
      </x:c>
      <x:c r="Q1669" s="26" t="n">
        <x:v>41.03</x:v>
      </x:c>
      <x:c r="R1669" s="26" t="n">
        <x:v>50.68</x:v>
      </x:c>
      <x:c r="S1669" s="26" t="n">
        <x:v>444.08</x:v>
      </x:c>
    </x:row>
    <x:row r="1670">
      <x:c r="A1670" t="n">
        <x:v>501667</x:v>
      </x:c>
      <x:c r="B1670" s="24" t="n">
        <x:v>45974</x:v>
      </x:c>
      <x:c r="C1670" t="n">
        <x:v>1008</x:v>
      </x:c>
      <x:c r="D1670" t="str">
        <x:v>Seller 1008</x:v>
      </x:c>
      <x:c r="E1670" t="str">
        <x:v>Platinum</x:v>
      </x:c>
      <x:c r="F1670" t="str">
        <x:v>West</x:v>
      </x:c>
      <x:c r="G1670" t="str">
        <x:v>Electronics</x:v>
      </x:c>
      <x:c r="H1670" t="n">
        <x:v>4</x:v>
      </x:c>
      <x:c r="I1670" s="26" t="n">
        <x:v>3238.2</x:v>
      </x:c>
      <x:c r="J1670" s="26" t="n">
        <x:v>26271.6</x:v>
      </x:c>
      <x:c r="K1670" s="28" t="n">
        <x:v>0.1359</x:v>
      </x:c>
      <x:c r="L1670" s="26" t="n">
        <x:v>3570.31</x:v>
      </x:c>
      <x:c r="M1670" t="n">
        <x:v>0</x:v>
      </x:c>
      <x:c r="N1670" s="26" t="n">
        <x:v>0</x:v>
      </x:c>
      <x:c r="O1670" s="26" t="n">
        <x:v>486.02</x:v>
      </x:c>
      <x:c r="P1670" s="26" t="n">
        <x:v>118.22</x:v>
      </x:c>
      <x:c r="Q1670" s="26" t="n">
        <x:v>223.31</x:v>
      </x:c>
      <x:c r="R1670" s="26" t="n">
        <x:v>275.85</x:v>
      </x:c>
      <x:c r="S1670" s="26" t="n">
        <x:v>2466.9</x:v>
      </x:c>
    </x:row>
    <x:row r="1671">
      <x:c r="A1671" t="n">
        <x:v>501668</x:v>
      </x:c>
      <x:c r="B1671" s="24" t="n">
        <x:v>45977</x:v>
      </x:c>
      <x:c r="C1671" t="n">
        <x:v>1064</x:v>
      </x:c>
      <x:c r="D1671" t="str">
        <x:v>Seller 1064</x:v>
      </x:c>
      <x:c r="E1671" t="str">
        <x:v>Bronze</x:v>
      </x:c>
      <x:c r="F1671" t="str">
        <x:v>Central</x:v>
      </x:c>
      <x:c r="G1671" t="str">
        <x:v>Apparel</x:v>
      </x:c>
      <x:c r="H1671" t="n">
        <x:v>1</x:v>
      </x:c>
      <x:c r="I1671" s="26" t="n">
        <x:v>3886.2</x:v>
      </x:c>
      <x:c r="J1671" s="26" t="n">
        <x:v>3152.4</x:v>
      </x:c>
      <x:c r="K1671" s="28" t="n">
        <x:v>0.1292</x:v>
      </x:c>
      <x:c r="L1671" s="26" t="n">
        <x:v>407.29</x:v>
      </x:c>
      <x:c r="M1671" t="n">
        <x:v>0</x:v>
      </x:c>
      <x:c r="N1671" s="26" t="n">
        <x:v>0</x:v>
      </x:c>
      <x:c r="O1671" s="26" t="n">
        <x:v>58.32</x:v>
      </x:c>
      <x:c r="P1671" s="26" t="n">
        <x:v>14.19</x:v>
      </x:c>
      <x:c r="Q1671" s="26" t="n">
        <x:v>26.8</x:v>
      </x:c>
      <x:c r="R1671" s="26" t="n">
        <x:v>33.1</x:v>
      </x:c>
      <x:c r="S1671" s="26" t="n">
        <x:v>274.89</x:v>
      </x:c>
    </x:row>
    <x:row r="1672">
      <x:c r="A1672" t="n">
        <x:v>501669</x:v>
      </x:c>
      <x:c r="B1672" s="24" t="n">
        <x:v>45962</x:v>
      </x:c>
      <x:c r="C1672" t="n">
        <x:v>1055</x:v>
      </x:c>
      <x:c r="D1672" t="str">
        <x:v>Seller 1055</x:v>
      </x:c>
      <x:c r="E1672" t="str">
        <x:v>Bronze</x:v>
      </x:c>
      <x:c r="F1672" t="str">
        <x:v>Central</x:v>
      </x:c>
      <x:c r="G1672" t="str">
        <x:v>Pet Supplies</x:v>
      </x:c>
      <x:c r="H1672" t="n">
        <x:v>1</x:v>
      </x:c>
      <x:c r="I1672" s="26" t="n">
        <x:v>2941.2000000000003</x:v>
      </x:c>
      <x:c r="J1672" s="26" t="n">
        <x:v>2386.2</x:v>
      </x:c>
      <x:c r="K1672" s="28" t="n">
        <x:v>0.1342</x:v>
      </x:c>
      <x:c r="L1672" s="26" t="n">
        <x:v>320.23</x:v>
      </x:c>
      <x:c r="M1672" t="n">
        <x:v>0</x:v>
      </x:c>
      <x:c r="N1672" s="26" t="n">
        <x:v>0</x:v>
      </x:c>
      <x:c r="O1672" s="26" t="n">
        <x:v>44.14</x:v>
      </x:c>
      <x:c r="P1672" s="26" t="n">
        <x:v>10.74</x:v>
      </x:c>
      <x:c r="Q1672" s="26" t="n">
        <x:v>20.28</x:v>
      </x:c>
      <x:c r="R1672" s="26" t="n">
        <x:v>25.06</x:v>
      </x:c>
      <x:c r="S1672" s="26" t="n">
        <x:v>220.01</x:v>
      </x:c>
    </x:row>
    <x:row r="1673">
      <x:c r="A1673" t="n">
        <x:v>501670</x:v>
      </x:c>
      <x:c r="B1673" s="24" t="n">
        <x:v>45980</x:v>
      </x:c>
      <x:c r="C1673" t="n">
        <x:v>1048</x:v>
      </x:c>
      <x:c r="D1673" t="str">
        <x:v>Seller 1048</x:v>
      </x:c>
      <x:c r="E1673" t="str">
        <x:v>Silver</x:v>
      </x:c>
      <x:c r="F1673" t="str">
        <x:v>East</x:v>
      </x:c>
      <x:c r="G1673" t="str">
        <x:v>Electronics</x:v>
      </x:c>
      <x:c r="H1673" t="n">
        <x:v>2</x:v>
      </x:c>
      <x:c r="I1673" s="26" t="n">
        <x:v>4371.6</x:v>
      </x:c>
      <x:c r="J1673" s="26" t="n">
        <x:v>10068</x:v>
      </x:c>
      <x:c r="K1673" s="28" t="n">
        <x:v>0.1279</x:v>
      </x:c>
      <x:c r="L1673" s="26" t="n">
        <x:v>1287.7</x:v>
      </x:c>
      <x:c r="M1673" t="n">
        <x:v>0</x:v>
      </x:c>
      <x:c r="N1673" s="26" t="n">
        <x:v>0</x:v>
      </x:c>
      <x:c r="O1673" s="26" t="n">
        <x:v>186.26</x:v>
      </x:c>
      <x:c r="P1673" s="26" t="n">
        <x:v>45.31</x:v>
      </x:c>
      <x:c r="Q1673" s="26" t="n">
        <x:v>85.58</x:v>
      </x:c>
      <x:c r="R1673" s="26" t="n">
        <x:v>105.71</x:v>
      </x:c>
      <x:c r="S1673" s="26" t="n">
        <x:v>864.84</x:v>
      </x:c>
    </x:row>
    <x:row r="1674">
      <x:c r="A1674" t="n">
        <x:v>501671</x:v>
      </x:c>
      <x:c r="B1674" s="24" t="n">
        <x:v>45983</x:v>
      </x:c>
      <x:c r="C1674" t="n">
        <x:v>1030</x:v>
      </x:c>
      <x:c r="D1674" t="str">
        <x:v>Seller 1030</x:v>
      </x:c>
      <x:c r="E1674" t="str">
        <x:v>Gold</x:v>
      </x:c>
      <x:c r="F1674" t="str">
        <x:v>South</x:v>
      </x:c>
      <x:c r="G1674" t="str">
        <x:v>Beauty</x:v>
      </x:c>
      <x:c r="H1674" t="n">
        <x:v>1</x:v>
      </x:c>
      <x:c r="I1674" s="26" t="n">
        <x:v>2301</x:v>
      </x:c>
      <x:c r="J1674" s="26" t="n">
        <x:v>3462</x:v>
      </x:c>
      <x:c r="K1674" s="28" t="n">
        <x:v>0.1504</x:v>
      </x:c>
      <x:c r="L1674" s="26" t="n">
        <x:v>520.68</x:v>
      </x:c>
      <x:c r="M1674" t="n">
        <x:v>0</x:v>
      </x:c>
      <x:c r="N1674" s="26" t="n">
        <x:v>0</x:v>
      </x:c>
      <x:c r="O1674" s="26" t="n">
        <x:v>64.05</x:v>
      </x:c>
      <x:c r="P1674" s="26" t="n">
        <x:v>15.58</x:v>
      </x:c>
      <x:c r="Q1674" s="26" t="n">
        <x:v>29.43</x:v>
      </x:c>
      <x:c r="R1674" s="26" t="n">
        <x:v>36.35</x:v>
      </x:c>
      <x:c r="S1674" s="26" t="n">
        <x:v>375.28</x:v>
      </x:c>
    </x:row>
    <x:row r="1675">
      <x:c r="A1675" t="n">
        <x:v>501672</x:v>
      </x:c>
      <x:c r="B1675" s="24" t="n">
        <x:v>45980</x:v>
      </x:c>
      <x:c r="C1675" t="n">
        <x:v>1043</x:v>
      </x:c>
      <x:c r="D1675" t="str">
        <x:v>Seller 1043</x:v>
      </x:c>
      <x:c r="E1675" t="str">
        <x:v>Silver</x:v>
      </x:c>
      <x:c r="F1675" t="str">
        <x:v>West</x:v>
      </x:c>
      <x:c r="G1675" t="str">
        <x:v>Sports</x:v>
      </x:c>
      <x:c r="H1675" t="n">
        <x:v>4</x:v>
      </x:c>
      <x:c r="I1675" s="26" t="n">
        <x:v>592.8000000000001</x:v>
      </x:c>
      <x:c r="J1675" s="26" t="n">
        <x:v>2729.4</x:v>
      </x:c>
      <x:c r="K1675" s="28" t="n">
        <x:v>0.1408</x:v>
      </x:c>
      <x:c r="L1675" s="26" t="n">
        <x:v>384.3</x:v>
      </x:c>
      <x:c r="M1675" t="n">
        <x:v>0</x:v>
      </x:c>
      <x:c r="N1675" s="26" t="n">
        <x:v>0</x:v>
      </x:c>
      <x:c r="O1675" s="26" t="n">
        <x:v>50.49</x:v>
      </x:c>
      <x:c r="P1675" s="26" t="n">
        <x:v>12.28</x:v>
      </x:c>
      <x:c r="Q1675" s="26" t="n">
        <x:v>23.2</x:v>
      </x:c>
      <x:c r="R1675" s="26" t="n">
        <x:v>28.66</x:v>
      </x:c>
      <x:c r="S1675" s="26" t="n">
        <x:v>269.66</x:v>
      </x:c>
    </x:row>
    <x:row r="1676">
      <x:c r="A1676" t="n">
        <x:v>501673</x:v>
      </x:c>
      <x:c r="B1676" s="24" t="n">
        <x:v>45986</x:v>
      </x:c>
      <x:c r="C1676" t="n">
        <x:v>1076</x:v>
      </x:c>
      <x:c r="D1676" t="str">
        <x:v>Seller 1076</x:v>
      </x:c>
      <x:c r="E1676" t="str">
        <x:v>Bronze</x:v>
      </x:c>
      <x:c r="F1676" t="str">
        <x:v>Central</x:v>
      </x:c>
      <x:c r="G1676" t="str">
        <x:v>Home &amp; Kitchen</x:v>
      </x:c>
      <x:c r="H1676" t="n">
        <x:v>2</x:v>
      </x:c>
      <x:c r="I1676" s="26" t="n">
        <x:v>2185.2000000000003</x:v>
      </x:c>
      <x:c r="J1676" s="26" t="n">
        <x:v>3546</x:v>
      </x:c>
      <x:c r="K1676" s="28" t="n">
        <x:v>0.1425</x:v>
      </x:c>
      <x:c r="L1676" s="26" t="n">
        <x:v>505.3</x:v>
      </x:c>
      <x:c r="M1676" t="n">
        <x:v>0</x:v>
      </x:c>
      <x:c r="N1676" s="26" t="n">
        <x:v>0</x:v>
      </x:c>
      <x:c r="O1676" s="26" t="n">
        <x:v>65.6</x:v>
      </x:c>
      <x:c r="P1676" s="26" t="n">
        <x:v>15.96</x:v>
      </x:c>
      <x:c r="Q1676" s="26" t="n">
        <x:v>30.14</x:v>
      </x:c>
      <x:c r="R1676" s="26" t="n">
        <x:v>37.23</x:v>
      </x:c>
      <x:c r="S1676" s="26" t="n">
        <x:v>356.37</x:v>
      </x:c>
    </x:row>
    <x:row r="1677">
      <x:c r="A1677" t="n">
        <x:v>501674</x:v>
      </x:c>
      <x:c r="B1677" s="24" t="n">
        <x:v>45981</x:v>
      </x:c>
      <x:c r="C1677" t="n">
        <x:v>1013</x:v>
      </x:c>
      <x:c r="D1677" t="str">
        <x:v>Seller 1013</x:v>
      </x:c>
      <x:c r="E1677" t="str">
        <x:v>Gold</x:v>
      </x:c>
      <x:c r="F1677" t="str">
        <x:v>West</x:v>
      </x:c>
      <x:c r="G1677" t="str">
        <x:v>Electronics</x:v>
      </x:c>
      <x:c r="H1677" t="n">
        <x:v>3</x:v>
      </x:c>
      <x:c r="I1677" s="26" t="n">
        <x:v>3392.4</x:v>
      </x:c>
      <x:c r="J1677" s="26" t="n">
        <x:v>15313.8</x:v>
      </x:c>
      <x:c r="K1677" s="28" t="n">
        <x:v>0.1317</x:v>
      </x:c>
      <x:c r="L1677" s="26" t="n">
        <x:v>2016.83</x:v>
      </x:c>
      <x:c r="M1677" t="n">
        <x:v>0</x:v>
      </x:c>
      <x:c r="N1677" s="26" t="n">
        <x:v>0</x:v>
      </x:c>
      <x:c r="O1677" s="26" t="n">
        <x:v>283.31</x:v>
      </x:c>
      <x:c r="P1677" s="26" t="n">
        <x:v>68.91</x:v>
      </x:c>
      <x:c r="Q1677" s="26" t="n">
        <x:v>130.17</x:v>
      </x:c>
      <x:c r="R1677" s="26" t="n">
        <x:v>160.79</x:v>
      </x:c>
      <x:c r="S1677" s="26" t="n">
        <x:v>1373.65</x:v>
      </x:c>
    </x:row>
    <x:row r="1678">
      <x:c r="A1678" t="n">
        <x:v>501675</x:v>
      </x:c>
      <x:c r="B1678" s="24" t="n">
        <x:v>45982</x:v>
      </x:c>
      <x:c r="C1678" t="n">
        <x:v>1035</x:v>
      </x:c>
      <x:c r="D1678" t="str">
        <x:v>Seller 1035</x:v>
      </x:c>
      <x:c r="E1678" t="str">
        <x:v>Silver</x:v>
      </x:c>
      <x:c r="F1678" t="str">
        <x:v>East</x:v>
      </x:c>
      <x:c r="G1678" t="str">
        <x:v>Electronics</x:v>
      </x:c>
      <x:c r="H1678" t="n">
        <x:v>2</x:v>
      </x:c>
      <x:c r="I1678" s="26" t="n">
        <x:v>4641.6</x:v>
      </x:c>
      <x:c r="J1678" s="26" t="n">
        <x:v>10689.6</x:v>
      </x:c>
      <x:c r="K1678" s="28" t="n">
        <x:v>0.1375</x:v>
      </x:c>
      <x:c r="L1678" s="26" t="n">
        <x:v>1469.82</x:v>
      </x:c>
      <x:c r="M1678" t="n">
        <x:v>0</x:v>
      </x:c>
      <x:c r="N1678" s="26" t="n">
        <x:v>0</x:v>
      </x:c>
      <x:c r="O1678" s="26" t="n">
        <x:v>197.76</x:v>
      </x:c>
      <x:c r="P1678" s="26" t="n">
        <x:v>48.1</x:v>
      </x:c>
      <x:c r="Q1678" s="26" t="n">
        <x:v>90.86</x:v>
      </x:c>
      <x:c r="R1678" s="26" t="n">
        <x:v>112.24</x:v>
      </x:c>
      <x:c r="S1678" s="26" t="n">
        <x:v>1020.86</x:v>
      </x:c>
    </x:row>
    <x:row r="1679">
      <x:c r="A1679" t="n">
        <x:v>501676</x:v>
      </x:c>
      <x:c r="B1679" s="24" t="n">
        <x:v>45983</x:v>
      </x:c>
      <x:c r="C1679" t="n">
        <x:v>1008</x:v>
      </x:c>
      <x:c r="D1679" t="str">
        <x:v>Seller 1008</x:v>
      </x:c>
      <x:c r="E1679" t="str">
        <x:v>Platinum</x:v>
      </x:c>
      <x:c r="F1679" t="str">
        <x:v>West</x:v>
      </x:c>
      <x:c r="G1679" t="str">
        <x:v>Electronics</x:v>
      </x:c>
      <x:c r="H1679" t="n">
        <x:v>2</x:v>
      </x:c>
      <x:c r="I1679" s="26" t="n">
        <x:v>4403.4</x:v>
      </x:c>
      <x:c r="J1679" s="26" t="n">
        <x:v>17862.6</x:v>
      </x:c>
      <x:c r="K1679" s="28" t="n">
        <x:v>0.1275</x:v>
      </x:c>
      <x:c r="L1679" s="26" t="n">
        <x:v>2277.48</x:v>
      </x:c>
      <x:c r="M1679" t="n">
        <x:v>0</x:v>
      </x:c>
      <x:c r="N1679" s="26" t="n">
        <x:v>0</x:v>
      </x:c>
      <x:c r="O1679" s="26" t="n">
        <x:v>330.46</x:v>
      </x:c>
      <x:c r="P1679" s="26" t="n">
        <x:v>80.38</x:v>
      </x:c>
      <x:c r="Q1679" s="26" t="n">
        <x:v>151.83</x:v>
      </x:c>
      <x:c r="R1679" s="26" t="n">
        <x:v>187.56</x:v>
      </x:c>
      <x:c r="S1679" s="26" t="n">
        <x:v>1527.25</x:v>
      </x:c>
    </x:row>
    <x:row r="1680">
      <x:c r="A1680" t="n">
        <x:v>501677</x:v>
      </x:c>
      <x:c r="B1680" s="24" t="n">
        <x:v>45987</x:v>
      </x:c>
      <x:c r="C1680" t="n">
        <x:v>1035</x:v>
      </x:c>
      <x:c r="D1680" t="str">
        <x:v>Seller 1035</x:v>
      </x:c>
      <x:c r="E1680" t="str">
        <x:v>Silver</x:v>
      </x:c>
      <x:c r="F1680" t="str">
        <x:v>East</x:v>
      </x:c>
      <x:c r="G1680" t="str">
        <x:v>Apparel</x:v>
      </x:c>
      <x:c r="H1680" t="n">
        <x:v>3</x:v>
      </x:c>
      <x:c r="I1680" s="26" t="n">
        <x:v>1241.4</x:v>
      </x:c>
      <x:c r="J1680" s="26" t="n">
        <x:v>4288.2</x:v>
      </x:c>
      <x:c r="K1680" s="28" t="n">
        <x:v>0.1269</x:v>
      </x:c>
      <x:c r="L1680" s="26" t="n">
        <x:v>544.17</x:v>
      </x:c>
      <x:c r="M1680" t="n">
        <x:v>0</x:v>
      </x:c>
      <x:c r="N1680" s="26" t="n">
        <x:v>0</x:v>
      </x:c>
      <x:c r="O1680" s="26" t="n">
        <x:v>79.33</x:v>
      </x:c>
      <x:c r="P1680" s="26" t="n">
        <x:v>19.3</x:v>
      </x:c>
      <x:c r="Q1680" s="26" t="n">
        <x:v>36.45</x:v>
      </x:c>
      <x:c r="R1680" s="26" t="n">
        <x:v>45.03</x:v>
      </x:c>
      <x:c r="S1680" s="26" t="n">
        <x:v>364.07</x:v>
      </x:c>
    </x:row>
    <x:row r="1681">
      <x:c r="A1681" t="n">
        <x:v>501678</x:v>
      </x:c>
      <x:c r="B1681" s="24" t="n">
        <x:v>45965</x:v>
      </x:c>
      <x:c r="C1681" t="n">
        <x:v>1077</x:v>
      </x:c>
      <x:c r="D1681" t="str">
        <x:v>Seller 1077</x:v>
      </x:c>
      <x:c r="E1681" t="str">
        <x:v>Bronze</x:v>
      </x:c>
      <x:c r="F1681" t="str">
        <x:v>South</x:v>
      </x:c>
      <x:c r="G1681" t="str">
        <x:v>Home &amp; Kitchen</x:v>
      </x:c>
      <x:c r="H1681" t="n">
        <x:v>2</x:v>
      </x:c>
      <x:c r="I1681" s="26" t="n">
        <x:v>2593.2</x:v>
      </x:c>
      <x:c r="J1681" s="26" t="n">
        <x:v>4207.8</x:v>
      </x:c>
      <x:c r="K1681" s="28" t="n">
        <x:v>0.1502</x:v>
      </x:c>
      <x:c r="L1681" s="26" t="n">
        <x:v>632.01</x:v>
      </x:c>
      <x:c r="M1681" t="n">
        <x:v>0</x:v>
      </x:c>
      <x:c r="N1681" s="26" t="n">
        <x:v>0</x:v>
      </x:c>
      <x:c r="O1681" s="26" t="n">
        <x:v>77.84</x:v>
      </x:c>
      <x:c r="P1681" s="26" t="n">
        <x:v>18.94</x:v>
      </x:c>
      <x:c r="Q1681" s="26" t="n">
        <x:v>35.77</x:v>
      </x:c>
      <x:c r="R1681" s="26" t="n">
        <x:v>44.18</x:v>
      </x:c>
      <x:c r="S1681" s="26" t="n">
        <x:v>455.28</x:v>
      </x:c>
    </x:row>
    <x:row r="1682">
      <x:c r="A1682" t="n">
        <x:v>501679</x:v>
      </x:c>
      <x:c r="B1682" s="24" t="n">
        <x:v>45982</x:v>
      </x:c>
      <x:c r="C1682" t="n">
        <x:v>1049</x:v>
      </x:c>
      <x:c r="D1682" t="str">
        <x:v>Seller 1049</x:v>
      </x:c>
      <x:c r="E1682" t="str">
        <x:v>Silver</x:v>
      </x:c>
      <x:c r="F1682" t="str">
        <x:v>West</x:v>
      </x:c>
      <x:c r="G1682" t="str">
        <x:v>Home &amp; Kitchen</x:v>
      </x:c>
      <x:c r="H1682" t="n">
        <x:v>2</x:v>
      </x:c>
      <x:c r="I1682" s="26" t="n">
        <x:v>2407.2</x:v>
      </x:c>
      <x:c r="J1682" s="26" t="n">
        <x:v>5543.4</x:v>
      </x:c>
      <x:c r="K1682" s="28" t="n">
        <x:v>0.1353</x:v>
      </x:c>
      <x:c r="L1682" s="26" t="n">
        <x:v>750.02</x:v>
      </x:c>
      <x:c r="M1682" t="n">
        <x:v>1</x:v>
      </x:c>
      <x:c r="N1682" s="26" t="n">
        <x:v>4674</x:v>
      </x:c>
      <x:c r="O1682" s="26" t="n">
        <x:v>102.55</x:v>
      </x:c>
      <x:c r="P1682" s="26" t="n">
        <x:v>24.95</x:v>
      </x:c>
      <x:c r="Q1682" s="26" t="n">
        <x:v>47.12</x:v>
      </x:c>
      <x:c r="R1682" s="26" t="n">
        <x:v>58.21</x:v>
      </x:c>
      <x:c r="S1682" s="26" t="n">
        <x:v>423.72</x:v>
      </x:c>
    </x:row>
    <x:row r="1683">
      <x:c r="A1683" t="n">
        <x:v>501680</x:v>
      </x:c>
      <x:c r="B1683" s="24" t="n">
        <x:v>45977</x:v>
      </x:c>
      <x:c r="C1683" t="n">
        <x:v>1054</x:v>
      </x:c>
      <x:c r="D1683" t="str">
        <x:v>Seller 1054</x:v>
      </x:c>
      <x:c r="E1683" t="str">
        <x:v>Silver</x:v>
      </x:c>
      <x:c r="F1683" t="str">
        <x:v>South</x:v>
      </x:c>
      <x:c r="G1683" t="str">
        <x:v>Home &amp; Kitchen</x:v>
      </x:c>
      <x:c r="H1683" t="n">
        <x:v>1</x:v>
      </x:c>
      <x:c r="I1683" s="26" t="n">
        <x:v>5108.4</x:v>
      </x:c>
      <x:c r="J1683" s="26" t="n">
        <x:v>5882.4</x:v>
      </x:c>
      <x:c r="K1683" s="28" t="n">
        <x:v>0.1325</x:v>
      </x:c>
      <x:c r="L1683" s="26" t="n">
        <x:v>779.42</x:v>
      </x:c>
      <x:c r="M1683" t="n">
        <x:v>0</x:v>
      </x:c>
      <x:c r="N1683" s="26" t="n">
        <x:v>0</x:v>
      </x:c>
      <x:c r="O1683" s="26" t="n">
        <x:v>108.82</x:v>
      </x:c>
      <x:c r="P1683" s="26" t="n">
        <x:v>26.47</x:v>
      </x:c>
      <x:c r="Q1683" s="26" t="n">
        <x:v>50</x:v>
      </x:c>
      <x:c r="R1683" s="26" t="n">
        <x:v>61.77</x:v>
      </x:c>
      <x:c r="S1683" s="26" t="n">
        <x:v>532.36</x:v>
      </x:c>
    </x:row>
    <x:row r="1684">
      <x:c r="A1684" t="n">
        <x:v>501681</x:v>
      </x:c>
      <x:c r="B1684" s="24" t="n">
        <x:v>45976</x:v>
      </x:c>
      <x:c r="C1684" t="n">
        <x:v>1057</x:v>
      </x:c>
      <x:c r="D1684" t="str">
        <x:v>Seller 1057</x:v>
      </x:c>
      <x:c r="E1684" t="str">
        <x:v>Bronze</x:v>
      </x:c>
      <x:c r="F1684" t="str">
        <x:v>South</x:v>
      </x:c>
      <x:c r="G1684" t="str">
        <x:v>Electronics</x:v>
      </x:c>
      <x:c r="H1684" t="n">
        <x:v>3</x:v>
      </x:c>
      <x:c r="I1684" s="26" t="n">
        <x:v>2603.4</x:v>
      </x:c>
      <x:c r="J1684" s="26" t="n">
        <x:v>6336</x:v>
      </x:c>
      <x:c r="K1684" s="28" t="n">
        <x:v>0.1237</x:v>
      </x:c>
      <x:c r="L1684" s="26" t="n">
        <x:v>783.76</x:v>
      </x:c>
      <x:c r="M1684" t="n">
        <x:v>0</x:v>
      </x:c>
      <x:c r="N1684" s="26" t="n">
        <x:v>0</x:v>
      </x:c>
      <x:c r="O1684" s="26" t="n">
        <x:v>117.22</x:v>
      </x:c>
      <x:c r="P1684" s="26" t="n">
        <x:v>28.51</x:v>
      </x:c>
      <x:c r="Q1684" s="26" t="n">
        <x:v>53.86</x:v>
      </x:c>
      <x:c r="R1684" s="26" t="n">
        <x:v>66.53</x:v>
      </x:c>
      <x:c r="S1684" s="26" t="n">
        <x:v>517.65</x:v>
      </x:c>
    </x:row>
    <x:row r="1685">
      <x:c r="A1685" t="n">
        <x:v>501682</x:v>
      </x:c>
      <x:c r="B1685" s="24" t="n">
        <x:v>45984</x:v>
      </x:c>
      <x:c r="C1685" t="n">
        <x:v>1017</x:v>
      </x:c>
      <x:c r="D1685" t="str">
        <x:v>Seller 1017</x:v>
      </x:c>
      <x:c r="E1685" t="str">
        <x:v>Gold</x:v>
      </x:c>
      <x:c r="F1685" t="str">
        <x:v>East</x:v>
      </x:c>
      <x:c r="G1685" t="str">
        <x:v>Electronics</x:v>
      </x:c>
      <x:c r="H1685" t="n">
        <x:v>2</x:v>
      </x:c>
      <x:c r="I1685" s="26" t="n">
        <x:v>4374</x:v>
      </x:c>
      <x:c r="J1685" s="26" t="n">
        <x:v>13164.6</x:v>
      </x:c>
      <x:c r="K1685" s="28" t="n">
        <x:v>0.1268</x:v>
      </x:c>
      <x:c r="L1685" s="26" t="n">
        <x:v>1669.27</x:v>
      </x:c>
      <x:c r="M1685" t="n">
        <x:v>0</x:v>
      </x:c>
      <x:c r="N1685" s="26" t="n">
        <x:v>0</x:v>
      </x:c>
      <x:c r="O1685" s="26" t="n">
        <x:v>243.55</x:v>
      </x:c>
      <x:c r="P1685" s="26" t="n">
        <x:v>59.24</x:v>
      </x:c>
      <x:c r="Q1685" s="26" t="n">
        <x:v>111.9</x:v>
      </x:c>
      <x:c r="R1685" s="26" t="n">
        <x:v>138.23</x:v>
      </x:c>
      <x:c r="S1685" s="26" t="n">
        <x:v>1116.36</x:v>
      </x:c>
    </x:row>
    <x:row r="1686">
      <x:c r="A1686" t="n">
        <x:v>501683</x:v>
      </x:c>
      <x:c r="B1686" s="24" t="n">
        <x:v>45959</x:v>
      </x:c>
      <x:c r="C1686" t="n">
        <x:v>1049</x:v>
      </x:c>
      <x:c r="D1686" t="str">
        <x:v>Seller 1049</x:v>
      </x:c>
      <x:c r="E1686" t="str">
        <x:v>Silver</x:v>
      </x:c>
      <x:c r="F1686" t="str">
        <x:v>West</x:v>
      </x:c>
      <x:c r="G1686" t="str">
        <x:v>Home &amp; Kitchen</x:v>
      </x:c>
      <x:c r="H1686" t="n">
        <x:v>1</x:v>
      </x:c>
      <x:c r="I1686" s="26" t="n">
        <x:v>4509</x:v>
      </x:c>
      <x:c r="J1686" s="26" t="n">
        <x:v>5191.8</x:v>
      </x:c>
      <x:c r="K1686" s="28" t="n">
        <x:v>0.1385</x:v>
      </x:c>
      <x:c r="L1686" s="26" t="n">
        <x:v>719.06</x:v>
      </x:c>
      <x:c r="M1686" t="n">
        <x:v>0</x:v>
      </x:c>
      <x:c r="N1686" s="26" t="n">
        <x:v>0</x:v>
      </x:c>
      <x:c r="O1686" s="26" t="n">
        <x:v>96.05</x:v>
      </x:c>
      <x:c r="P1686" s="26" t="n">
        <x:v>23.36</x:v>
      </x:c>
      <x:c r="Q1686" s="26" t="n">
        <x:v>44.13</x:v>
      </x:c>
      <x:c r="R1686" s="26" t="n">
        <x:v>54.51</x:v>
      </x:c>
      <x:c r="S1686" s="26" t="n">
        <x:v>501.01</x:v>
      </x:c>
    </x:row>
    <x:row r="1687">
      <x:c r="A1687" t="n">
        <x:v>501684</x:v>
      </x:c>
      <x:c r="B1687" s="24" t="n">
        <x:v>45973</x:v>
      </x:c>
      <x:c r="C1687" t="n">
        <x:v>1037</x:v>
      </x:c>
      <x:c r="D1687" t="str">
        <x:v>Seller 1037</x:v>
      </x:c>
      <x:c r="E1687" t="str">
        <x:v>Silver</x:v>
      </x:c>
      <x:c r="F1687" t="str">
        <x:v>East</x:v>
      </x:c>
      <x:c r="G1687" t="str">
        <x:v>Apparel</x:v>
      </x:c>
      <x:c r="H1687" t="n">
        <x:v>2</x:v>
      </x:c>
      <x:c r="I1687" s="26" t="n">
        <x:v>1833</x:v>
      </x:c>
      <x:c r="J1687" s="26" t="n">
        <x:v>4221</x:v>
      </x:c>
      <x:c r="K1687" s="28" t="n">
        <x:v>0.1263</x:v>
      </x:c>
      <x:c r="L1687" s="26" t="n">
        <x:v>533.11</x:v>
      </x:c>
      <x:c r="M1687" t="n">
        <x:v>0</x:v>
      </x:c>
      <x:c r="N1687" s="26" t="n">
        <x:v>0</x:v>
      </x:c>
      <x:c r="O1687" s="26" t="n">
        <x:v>78.09</x:v>
      </x:c>
      <x:c r="P1687" s="26" t="n">
        <x:v>18.99</x:v>
      </x:c>
      <x:c r="Q1687" s="26" t="n">
        <x:v>35.88</x:v>
      </x:c>
      <x:c r="R1687" s="26" t="n">
        <x:v>44.32</x:v>
      </x:c>
      <x:c r="S1687" s="26" t="n">
        <x:v>355.83</x:v>
      </x:c>
    </x:row>
    <x:row r="1688">
      <x:c r="A1688" t="n">
        <x:v>501685</x:v>
      </x:c>
      <x:c r="B1688" s="24" t="n">
        <x:v>45969</x:v>
      </x:c>
      <x:c r="C1688" t="n">
        <x:v>1009</x:v>
      </x:c>
      <x:c r="D1688" t="str">
        <x:v>Seller 1009</x:v>
      </x:c>
      <x:c r="E1688" t="str">
        <x:v>Platinum</x:v>
      </x:c>
      <x:c r="F1688" t="str">
        <x:v>Central</x:v>
      </x:c>
      <x:c r="G1688" t="str">
        <x:v>Home &amp; Kitchen</x:v>
      </x:c>
      <x:c r="H1688" t="n">
        <x:v>3</x:v>
      </x:c>
      <x:c r="I1688" s="26" t="n">
        <x:v>2029.8</x:v>
      </x:c>
      <x:c r="J1688" s="26" t="n">
        <x:v>12352.2</x:v>
      </x:c>
      <x:c r="K1688" s="28" t="n">
        <x:v>0.1516</x:v>
      </x:c>
      <x:c r="L1688" s="26" t="n">
        <x:v>1872.59</x:v>
      </x:c>
      <x:c r="M1688" t="n">
        <x:v>0</x:v>
      </x:c>
      <x:c r="N1688" s="26" t="n">
        <x:v>0</x:v>
      </x:c>
      <x:c r="O1688" s="26" t="n">
        <x:v>228.52</x:v>
      </x:c>
      <x:c r="P1688" s="26" t="n">
        <x:v>55.58</x:v>
      </x:c>
      <x:c r="Q1688" s="26" t="n">
        <x:v>104.99</x:v>
      </x:c>
      <x:c r="R1688" s="26" t="n">
        <x:v>129.7</x:v>
      </x:c>
      <x:c r="S1688" s="26" t="n">
        <x:v>1353.8</x:v>
      </x:c>
    </x:row>
    <x:row r="1689">
      <x:c r="A1689" t="n">
        <x:v>501686</x:v>
      </x:c>
      <x:c r="B1689" s="24" t="n">
        <x:v>45983</x:v>
      </x:c>
      <x:c r="C1689" t="n">
        <x:v>1044</x:v>
      </x:c>
      <x:c r="D1689" t="str">
        <x:v>Seller 1044</x:v>
      </x:c>
      <x:c r="E1689" t="str">
        <x:v>Silver</x:v>
      </x:c>
      <x:c r="F1689" t="str">
        <x:v>East</x:v>
      </x:c>
      <x:c r="G1689" t="str">
        <x:v>Pet Supplies</x:v>
      </x:c>
      <x:c r="H1689" t="n">
        <x:v>2</x:v>
      </x:c>
      <x:c r="I1689" s="26" t="n">
        <x:v>1638.6</x:v>
      </x:c>
      <x:c r="J1689" s="26" t="n">
        <x:v>3774</x:v>
      </x:c>
      <x:c r="K1689" s="28" t="n">
        <x:v>0.1356</x:v>
      </x:c>
      <x:c r="L1689" s="26" t="n">
        <x:v>511.75</x:v>
      </x:c>
      <x:c r="M1689" t="n">
        <x:v>0</x:v>
      </x:c>
      <x:c r="N1689" s="26" t="n">
        <x:v>0</x:v>
      </x:c>
      <x:c r="O1689" s="26" t="n">
        <x:v>69.82</x:v>
      </x:c>
      <x:c r="P1689" s="26" t="n">
        <x:v>16.98</x:v>
      </x:c>
      <x:c r="Q1689" s="26" t="n">
        <x:v>32.08</x:v>
      </x:c>
      <x:c r="R1689" s="26" t="n">
        <x:v>39.63</x:v>
      </x:c>
      <x:c r="S1689" s="26" t="n">
        <x:v>353.25</x:v>
      </x:c>
    </x:row>
    <x:row r="1690">
      <x:c r="A1690" t="n">
        <x:v>501687</x:v>
      </x:c>
      <x:c r="B1690" s="24" t="n">
        <x:v>45985</x:v>
      </x:c>
      <x:c r="C1690" t="n">
        <x:v>1051</x:v>
      </x:c>
      <x:c r="D1690" t="str">
        <x:v>Seller 1051</x:v>
      </x:c>
      <x:c r="E1690" t="str">
        <x:v>Silver</x:v>
      </x:c>
      <x:c r="F1690" t="str">
        <x:v>East</x:v>
      </x:c>
      <x:c r="G1690" t="str">
        <x:v>Sports</x:v>
      </x:c>
      <x:c r="H1690" t="n">
        <x:v>2</x:v>
      </x:c>
      <x:c r="I1690" s="26" t="n">
        <x:v>2233.2</x:v>
      </x:c>
      <x:c r="J1690" s="26" t="n">
        <x:v>5142.6</x:v>
      </x:c>
      <x:c r="K1690" s="28" t="n">
        <x:v>0.127</x:v>
      </x:c>
      <x:c r="L1690" s="26" t="n">
        <x:v>653.11</x:v>
      </x:c>
      <x:c r="M1690" t="n">
        <x:v>0</x:v>
      </x:c>
      <x:c r="N1690" s="26" t="n">
        <x:v>0</x:v>
      </x:c>
      <x:c r="O1690" s="26" t="n">
        <x:v>95.14</x:v>
      </x:c>
      <x:c r="P1690" s="26" t="n">
        <x:v>23.14</x:v>
      </x:c>
      <x:c r="Q1690" s="26" t="n">
        <x:v>43.71</x:v>
      </x:c>
      <x:c r="R1690" s="26" t="n">
        <x:v>54</x:v>
      </x:c>
      <x:c r="S1690" s="26" t="n">
        <x:v>437.12</x:v>
      </x:c>
    </x:row>
    <x:row r="1691">
      <x:c r="A1691" t="n">
        <x:v>501688</x:v>
      </x:c>
      <x:c r="B1691" s="24" t="n">
        <x:v>45973</x:v>
      </x:c>
      <x:c r="C1691" t="n">
        <x:v>1034</x:v>
      </x:c>
      <x:c r="D1691" t="str">
        <x:v>Seller 1034</x:v>
      </x:c>
      <x:c r="E1691" t="str">
        <x:v>Silver</x:v>
      </x:c>
      <x:c r="F1691" t="str">
        <x:v>Central</x:v>
      </x:c>
      <x:c r="G1691" t="str">
        <x:v>Sports</x:v>
      </x:c>
      <x:c r="H1691" t="n">
        <x:v>3</x:v>
      </x:c>
      <x:c r="I1691" s="26" t="n">
        <x:v>1712.3999999999999</x:v>
      </x:c>
      <x:c r="J1691" s="26" t="n">
        <x:v>5915.4</x:v>
      </x:c>
      <x:c r="K1691" s="28" t="n">
        <x:v>0.1226</x:v>
      </x:c>
      <x:c r="L1691" s="26" t="n">
        <x:v>725.23</x:v>
      </x:c>
      <x:c r="M1691" t="n">
        <x:v>0</x:v>
      </x:c>
      <x:c r="N1691" s="26" t="n">
        <x:v>0</x:v>
      </x:c>
      <x:c r="O1691" s="26" t="n">
        <x:v>109.43</x:v>
      </x:c>
      <x:c r="P1691" s="26" t="n">
        <x:v>26.62</x:v>
      </x:c>
      <x:c r="Q1691" s="26" t="n">
        <x:v>50.28</x:v>
      </x:c>
      <x:c r="R1691" s="26" t="n">
        <x:v>62.11</x:v>
      </x:c>
      <x:c r="S1691" s="26" t="n">
        <x:v>476.78</x:v>
      </x:c>
    </x:row>
    <x:row r="1692">
      <x:c r="A1692" t="n">
        <x:v>501689</x:v>
      </x:c>
      <x:c r="B1692" s="24" t="n">
        <x:v>45970</x:v>
      </x:c>
      <x:c r="C1692" t="n">
        <x:v>1006</x:v>
      </x:c>
      <x:c r="D1692" t="str">
        <x:v>Seller 1006</x:v>
      </x:c>
      <x:c r="E1692" t="str">
        <x:v>Platinum</x:v>
      </x:c>
      <x:c r="F1692" t="str">
        <x:v>East</x:v>
      </x:c>
      <x:c r="G1692" t="str">
        <x:v>Sports</x:v>
      </x:c>
      <x:c r="H1692" t="n">
        <x:v>2</x:v>
      </x:c>
      <x:c r="I1692" s="26" t="n">
        <x:v>1388.4</x:v>
      </x:c>
      <x:c r="J1692" s="26" t="n">
        <x:v>5632.2</x:v>
      </x:c>
      <x:c r="K1692" s="28" t="n">
        <x:v>0.1449</x:v>
      </x:c>
      <x:c r="L1692" s="26" t="n">
        <x:v>816.11</x:v>
      </x:c>
      <x:c r="M1692" t="n">
        <x:v>0</x:v>
      </x:c>
      <x:c r="N1692" s="26" t="n">
        <x:v>0</x:v>
      </x:c>
      <x:c r="O1692" s="26" t="n">
        <x:v>104.2</x:v>
      </x:c>
      <x:c r="P1692" s="26" t="n">
        <x:v>25.34</x:v>
      </x:c>
      <x:c r="Q1692" s="26" t="n">
        <x:v>47.87</x:v>
      </x:c>
      <x:c r="R1692" s="26" t="n">
        <x:v>59.14</x:v>
      </x:c>
      <x:c r="S1692" s="26" t="n">
        <x:v>579.55</x:v>
      </x:c>
    </x:row>
    <x:row r="1693">
      <x:c r="A1693" t="n">
        <x:v>501690</x:v>
      </x:c>
      <x:c r="B1693" s="24" t="n">
        <x:v>45959</x:v>
      </x:c>
      <x:c r="C1693" t="n">
        <x:v>1051</x:v>
      </x:c>
      <x:c r="D1693" t="str">
        <x:v>Seller 1051</x:v>
      </x:c>
      <x:c r="E1693" t="str">
        <x:v>Silver</x:v>
      </x:c>
      <x:c r="F1693" t="str">
        <x:v>East</x:v>
      </x:c>
      <x:c r="G1693" t="str">
        <x:v>Sports</x:v>
      </x:c>
      <x:c r="H1693" t="n">
        <x:v>2</x:v>
      </x:c>
      <x:c r="I1693" s="26" t="n">
        <x:v>1857.6000000000001</x:v>
      </x:c>
      <x:c r="J1693" s="26" t="n">
        <x:v>4277.4</x:v>
      </x:c>
      <x:c r="K1693" s="28" t="n">
        <x:v>0.1381</x:v>
      </x:c>
      <x:c r="L1693" s="26" t="n">
        <x:v>590.71</x:v>
      </x:c>
      <x:c r="M1693" t="n">
        <x:v>0</x:v>
      </x:c>
      <x:c r="N1693" s="26" t="n">
        <x:v>0</x:v>
      </x:c>
      <x:c r="O1693" s="26" t="n">
        <x:v>79.13</x:v>
      </x:c>
      <x:c r="P1693" s="26" t="n">
        <x:v>19.25</x:v>
      </x:c>
      <x:c r="Q1693" s="26" t="n">
        <x:v>36.36</x:v>
      </x:c>
      <x:c r="R1693" s="26" t="n">
        <x:v>44.91</x:v>
      </x:c>
      <x:c r="S1693" s="26" t="n">
        <x:v>411.06</x:v>
      </x:c>
    </x:row>
    <x:row r="1694">
      <x:c r="A1694" t="n">
        <x:v>501691</x:v>
      </x:c>
      <x:c r="B1694" s="24" t="n">
        <x:v>45969</x:v>
      </x:c>
      <x:c r="C1694" t="n">
        <x:v>1026</x:v>
      </x:c>
      <x:c r="D1694" t="str">
        <x:v>Seller 1026</x:v>
      </x:c>
      <x:c r="E1694" t="str">
        <x:v>Gold</x:v>
      </x:c>
      <x:c r="F1694" t="str">
        <x:v>East</x:v>
      </x:c>
      <x:c r="G1694" t="str">
        <x:v>Home &amp; Kitchen</x:v>
      </x:c>
      <x:c r="H1694" t="n">
        <x:v>2</x:v>
      </x:c>
      <x:c r="I1694" s="26" t="n">
        <x:v>2962.8</x:v>
      </x:c>
      <x:c r="J1694" s="26" t="n">
        <x:v>8917.8</x:v>
      </x:c>
      <x:c r="K1694" s="28" t="n">
        <x:v>0.1292</x:v>
      </x:c>
      <x:c r="L1694" s="26" t="n">
        <x:v>1152.18</x:v>
      </x:c>
      <x:c r="M1694" t="n">
        <x:v>0</x:v>
      </x:c>
      <x:c r="N1694" s="26" t="n">
        <x:v>0</x:v>
      </x:c>
      <x:c r="O1694" s="26" t="n">
        <x:v>164.98</x:v>
      </x:c>
      <x:c r="P1694" s="26" t="n">
        <x:v>40.13</x:v>
      </x:c>
      <x:c r="Q1694" s="26" t="n">
        <x:v>75.8</x:v>
      </x:c>
      <x:c r="R1694" s="26" t="n">
        <x:v>93.64</x:v>
      </x:c>
      <x:c r="S1694" s="26" t="n">
        <x:v>777.63</x:v>
      </x:c>
    </x:row>
    <x:row r="1695">
      <x:c r="A1695" t="n">
        <x:v>501692</x:v>
      </x:c>
      <x:c r="B1695" s="24" t="n">
        <x:v>45966</x:v>
      </x:c>
      <x:c r="C1695" t="n">
        <x:v>1066</x:v>
      </x:c>
      <x:c r="D1695" t="str">
        <x:v>Seller 1066</x:v>
      </x:c>
      <x:c r="E1695" t="str">
        <x:v>Bronze</x:v>
      </x:c>
      <x:c r="F1695" t="str">
        <x:v>South</x:v>
      </x:c>
      <x:c r="G1695" t="str">
        <x:v>Home &amp; Kitchen</x:v>
      </x:c>
      <x:c r="H1695" t="n">
        <x:v>2</x:v>
      </x:c>
      <x:c r="I1695" s="26" t="n">
        <x:v>2596.2000000000003</x:v>
      </x:c>
      <x:c r="J1695" s="26" t="n">
        <x:v>4212.6</x:v>
      </x:c>
      <x:c r="K1695" s="28" t="n">
        <x:v>0.1292</x:v>
      </x:c>
      <x:c r="L1695" s="26" t="n">
        <x:v>544.27</x:v>
      </x:c>
      <x:c r="M1695" t="n">
        <x:v>0</x:v>
      </x:c>
      <x:c r="N1695" s="26" t="n">
        <x:v>0</x:v>
      </x:c>
      <x:c r="O1695" s="26" t="n">
        <x:v>77.93</x:v>
      </x:c>
      <x:c r="P1695" s="26" t="n">
        <x:v>18.96</x:v>
      </x:c>
      <x:c r="Q1695" s="26" t="n">
        <x:v>35.81</x:v>
      </x:c>
      <x:c r="R1695" s="26" t="n">
        <x:v>44.23</x:v>
      </x:c>
      <x:c r="S1695" s="26" t="n">
        <x:v>367.34</x:v>
      </x:c>
    </x:row>
    <x:row r="1696">
      <x:c r="A1696" t="n">
        <x:v>501693</x:v>
      </x:c>
      <x:c r="B1696" s="24" t="n">
        <x:v>45986</x:v>
      </x:c>
      <x:c r="C1696" t="n">
        <x:v>1072</x:v>
      </x:c>
      <x:c r="D1696" t="str">
        <x:v>Seller 1072</x:v>
      </x:c>
      <x:c r="E1696" t="str">
        <x:v>Bronze</x:v>
      </x:c>
      <x:c r="F1696" t="str">
        <x:v>South</x:v>
      </x:c>
      <x:c r="G1696" t="str">
        <x:v>Home &amp; Kitchen</x:v>
      </x:c>
      <x:c r="H1696" t="n">
        <x:v>1</x:v>
      </x:c>
      <x:c r="I1696" s="26" t="n">
        <x:v>5401.8</x:v>
      </x:c>
      <x:c r="J1696" s="26" t="n">
        <x:v>4382.4</x:v>
      </x:c>
      <x:c r="K1696" s="28" t="n">
        <x:v>0.1471</x:v>
      </x:c>
      <x:c r="L1696" s="26" t="n">
        <x:v>644.65</x:v>
      </x:c>
      <x:c r="M1696" t="n">
        <x:v>0</x:v>
      </x:c>
      <x:c r="N1696" s="26" t="n">
        <x:v>0</x:v>
      </x:c>
      <x:c r="O1696" s="26" t="n">
        <x:v>81.07</x:v>
      </x:c>
      <x:c r="P1696" s="26" t="n">
        <x:v>19.72</x:v>
      </x:c>
      <x:c r="Q1696" s="26" t="n">
        <x:v>37.25</x:v>
      </x:c>
      <x:c r="R1696" s="26" t="n">
        <x:v>46.02</x:v>
      </x:c>
      <x:c r="S1696" s="26" t="n">
        <x:v>460.59</x:v>
      </x:c>
    </x:row>
    <x:row r="1697">
      <x:c r="A1697" t="n">
        <x:v>501694</x:v>
      </x:c>
      <x:c r="B1697" s="24" t="n">
        <x:v>45982</x:v>
      </x:c>
      <x:c r="C1697" t="n">
        <x:v>1034</x:v>
      </x:c>
      <x:c r="D1697" t="str">
        <x:v>Seller 1034</x:v>
      </x:c>
      <x:c r="E1697" t="str">
        <x:v>Silver</x:v>
      </x:c>
      <x:c r="F1697" t="str">
        <x:v>Central</x:v>
      </x:c>
      <x:c r="G1697" t="str">
        <x:v>Sports</x:v>
      </x:c>
      <x:c r="H1697" t="n">
        <x:v>2</x:v>
      </x:c>
      <x:c r="I1697" s="26" t="n">
        <x:v>1956</x:v>
      </x:c>
      <x:c r="J1697" s="26" t="n">
        <x:v>4504.2</x:v>
      </x:c>
      <x:c r="K1697" s="28" t="n">
        <x:v>0.1327</x:v>
      </x:c>
      <x:c r="L1697" s="26" t="n">
        <x:v>597.71</x:v>
      </x:c>
      <x:c r="M1697" t="n">
        <x:v>0</x:v>
      </x:c>
      <x:c r="N1697" s="26" t="n">
        <x:v>0</x:v>
      </x:c>
      <x:c r="O1697" s="26" t="n">
        <x:v>83.33</x:v>
      </x:c>
      <x:c r="P1697" s="26" t="n">
        <x:v>20.27</x:v>
      </x:c>
      <x:c r="Q1697" s="26" t="n">
        <x:v>38.29</x:v>
      </x:c>
      <x:c r="R1697" s="26" t="n">
        <x:v>47.29</x:v>
      </x:c>
      <x:c r="S1697" s="26" t="n">
        <x:v>408.53</x:v>
      </x:c>
    </x:row>
    <x:row r="1698">
      <x:c r="A1698" t="n">
        <x:v>501695</x:v>
      </x:c>
      <x:c r="B1698" s="24" t="n">
        <x:v>45982</x:v>
      </x:c>
      <x:c r="C1698" t="n">
        <x:v>1052</x:v>
      </x:c>
      <x:c r="D1698" t="str">
        <x:v>Seller 1052</x:v>
      </x:c>
      <x:c r="E1698" t="str">
        <x:v>Silver</x:v>
      </x:c>
      <x:c r="F1698" t="str">
        <x:v>Central</x:v>
      </x:c>
      <x:c r="G1698" t="str">
        <x:v>Pet Supplies</x:v>
      </x:c>
      <x:c r="H1698" t="n">
        <x:v>3</x:v>
      </x:c>
      <x:c r="I1698" s="26" t="n">
        <x:v>1200.6000000000001</x:v>
      </x:c>
      <x:c r="J1698" s="26" t="n">
        <x:v>4147.8</x:v>
      </x:c>
      <x:c r="K1698" s="28" t="n">
        <x:v>0.1286</x:v>
      </x:c>
      <x:c r="L1698" s="26" t="n">
        <x:v>533.41</x:v>
      </x:c>
      <x:c r="M1698" t="n">
        <x:v>0</x:v>
      </x:c>
      <x:c r="N1698" s="26" t="n">
        <x:v>0</x:v>
      </x:c>
      <x:c r="O1698" s="26" t="n">
        <x:v>76.73</x:v>
      </x:c>
      <x:c r="P1698" s="26" t="n">
        <x:v>18.67</x:v>
      </x:c>
      <x:c r="Q1698" s="26" t="n">
        <x:v>35.26</x:v>
      </x:c>
      <x:c r="R1698" s="26" t="n">
        <x:v>43.55</x:v>
      </x:c>
      <x:c r="S1698" s="26" t="n">
        <x:v>359.2</x:v>
      </x:c>
    </x:row>
    <x:row r="1699">
      <x:c r="A1699" t="n">
        <x:v>501696</x:v>
      </x:c>
      <x:c r="B1699" s="24" t="n">
        <x:v>45972</x:v>
      </x:c>
      <x:c r="C1699" t="n">
        <x:v>1073</x:v>
      </x:c>
      <x:c r="D1699" t="str">
        <x:v>Seller 1073</x:v>
      </x:c>
      <x:c r="E1699" t="str">
        <x:v>Bronze</x:v>
      </x:c>
      <x:c r="F1699" t="str">
        <x:v>Central</x:v>
      </x:c>
      <x:c r="G1699" t="str">
        <x:v>Electronics</x:v>
      </x:c>
      <x:c r="H1699" t="n">
        <x:v>2</x:v>
      </x:c>
      <x:c r="I1699" s="26" t="n">
        <x:v>5365.8</x:v>
      </x:c>
      <x:c r="J1699" s="26" t="n">
        <x:v>8706</x:v>
      </x:c>
      <x:c r="K1699" s="28" t="n">
        <x:v>0.1241</x:v>
      </x:c>
      <x:c r="L1699" s="26" t="n">
        <x:v>1080.41</x:v>
      </x:c>
      <x:c r="M1699" t="n">
        <x:v>0</x:v>
      </x:c>
      <x:c r="N1699" s="26" t="n">
        <x:v>0</x:v>
      </x:c>
      <x:c r="O1699" s="26" t="n">
        <x:v>161.06</x:v>
      </x:c>
      <x:c r="P1699" s="26" t="n">
        <x:v>39.18</x:v>
      </x:c>
      <x:c r="Q1699" s="26" t="n">
        <x:v>74</x:v>
      </x:c>
      <x:c r="R1699" s="26" t="n">
        <x:v>91.41</x:v>
      </x:c>
      <x:c r="S1699" s="26" t="n">
        <x:v>714.76</x:v>
      </x:c>
    </x:row>
    <x:row r="1700">
      <x:c r="A1700" t="n">
        <x:v>501697</x:v>
      </x:c>
      <x:c r="B1700" s="24" t="n">
        <x:v>45958</x:v>
      </x:c>
      <x:c r="C1700" t="n">
        <x:v>1007</x:v>
      </x:c>
      <x:c r="D1700" t="str">
        <x:v>Seller 1007</x:v>
      </x:c>
      <x:c r="E1700" t="str">
        <x:v>Platinum</x:v>
      </x:c>
      <x:c r="F1700" t="str">
        <x:v>South</x:v>
      </x:c>
      <x:c r="G1700" t="str">
        <x:v>Home &amp; Kitchen</x:v>
      </x:c>
      <x:c r="H1700" t="n">
        <x:v>2</x:v>
      </x:c>
      <x:c r="I1700" s="26" t="n">
        <x:v>3280.8</x:v>
      </x:c>
      <x:c r="J1700" s="26" t="n">
        <x:v>13307.4</x:v>
      </x:c>
      <x:c r="K1700" s="28" t="n">
        <x:v>0.1492</x:v>
      </x:c>
      <x:c r="L1700" s="26" t="n">
        <x:v>1985.46</x:v>
      </x:c>
      <x:c r="M1700" t="n">
        <x:v>0</x:v>
      </x:c>
      <x:c r="N1700" s="26" t="n">
        <x:v>0</x:v>
      </x:c>
      <x:c r="O1700" s="26" t="n">
        <x:v>246.19</x:v>
      </x:c>
      <x:c r="P1700" s="26" t="n">
        <x:v>59.88</x:v>
      </x:c>
      <x:c r="Q1700" s="26" t="n">
        <x:v>113.11</x:v>
      </x:c>
      <x:c r="R1700" s="26" t="n">
        <x:v>139.73</x:v>
      </x:c>
      <x:c r="S1700" s="26" t="n">
        <x:v>1426.55</x:v>
      </x:c>
    </x:row>
    <x:row r="1701">
      <x:c r="A1701" t="n">
        <x:v>501698</x:v>
      </x:c>
      <x:c r="B1701" s="24" t="n">
        <x:v>45977</x:v>
      </x:c>
      <x:c r="C1701" t="n">
        <x:v>1028</x:v>
      </x:c>
      <x:c r="D1701" t="str">
        <x:v>Seller 1028</x:v>
      </x:c>
      <x:c r="E1701" t="str">
        <x:v>Gold</x:v>
      </x:c>
      <x:c r="F1701" t="str">
        <x:v>Central</x:v>
      </x:c>
      <x:c r="G1701" t="str">
        <x:v>Beauty</x:v>
      </x:c>
      <x:c r="H1701" t="n">
        <x:v>3</x:v>
      </x:c>
      <x:c r="I1701" s="26" t="n">
        <x:v>1372.2</x:v>
      </x:c>
      <x:c r="J1701" s="26" t="n">
        <x:v>6195.6</x:v>
      </x:c>
      <x:c r="K1701" s="28" t="n">
        <x:v>0.1483</x:v>
      </x:c>
      <x:c r="L1701" s="26" t="n">
        <x:v>918.81</x:v>
      </x:c>
      <x:c r="M1701" t="n">
        <x:v>0</x:v>
      </x:c>
      <x:c r="N1701" s="26" t="n">
        <x:v>0</x:v>
      </x:c>
      <x:c r="O1701" s="26" t="n">
        <x:v>114.62</x:v>
      </x:c>
      <x:c r="P1701" s="26" t="n">
        <x:v>27.88</x:v>
      </x:c>
      <x:c r="Q1701" s="26" t="n">
        <x:v>52.66</x:v>
      </x:c>
      <x:c r="R1701" s="26" t="n">
        <x:v>65.05</x:v>
      </x:c>
      <x:c r="S1701" s="26" t="n">
        <x:v>658.59</x:v>
      </x:c>
    </x:row>
    <x:row r="1702">
      <x:c r="A1702" t="n">
        <x:v>501699</x:v>
      </x:c>
      <x:c r="B1702" s="24" t="n">
        <x:v>45977</x:v>
      </x:c>
      <x:c r="C1702" t="n">
        <x:v>1022</x:v>
      </x:c>
      <x:c r="D1702" t="str">
        <x:v>Seller 1022</x:v>
      </x:c>
      <x:c r="E1702" t="str">
        <x:v>Gold</x:v>
      </x:c>
      <x:c r="F1702" t="str">
        <x:v>East</x:v>
      </x:c>
      <x:c r="G1702" t="str">
        <x:v>Apparel</x:v>
      </x:c>
      <x:c r="H1702" t="n">
        <x:v>1</x:v>
      </x:c>
      <x:c r="I1702" s="26" t="n">
        <x:v>3745.8</x:v>
      </x:c>
      <x:c r="J1702" s="26" t="n">
        <x:v>5637</x:v>
      </x:c>
      <x:c r="K1702" s="28" t="n">
        <x:v>0.1377</x:v>
      </x:c>
      <x:c r="L1702" s="26" t="n">
        <x:v>776.21</x:v>
      </x:c>
      <x:c r="M1702" t="n">
        <x:v>0</x:v>
      </x:c>
      <x:c r="N1702" s="26" t="n">
        <x:v>0</x:v>
      </x:c>
      <x:c r="O1702" s="26" t="n">
        <x:v>104.28</x:v>
      </x:c>
      <x:c r="P1702" s="26" t="n">
        <x:v>25.37</x:v>
      </x:c>
      <x:c r="Q1702" s="26" t="n">
        <x:v>47.91</x:v>
      </x:c>
      <x:c r="R1702" s="26" t="n">
        <x:v>59.19</x:v>
      </x:c>
      <x:c r="S1702" s="26" t="n">
        <x:v>539.46</x:v>
      </x:c>
    </x:row>
    <x:row r="1703">
      <x:c r="A1703" t="n">
        <x:v>501700</x:v>
      </x:c>
      <x:c r="B1703" s="24" t="n">
        <x:v>45970</x:v>
      </x:c>
      <x:c r="C1703" t="n">
        <x:v>1014</x:v>
      </x:c>
      <x:c r="D1703" t="str">
        <x:v>Seller 1014</x:v>
      </x:c>
      <x:c r="E1703" t="str">
        <x:v>Gold</x:v>
      </x:c>
      <x:c r="F1703" t="str">
        <x:v>East</x:v>
      </x:c>
      <x:c r="G1703" t="str">
        <x:v>Electronics</x:v>
      </x:c>
      <x:c r="H1703" t="n">
        <x:v>1</x:v>
      </x:c>
      <x:c r="I1703" s="26" t="n">
        <x:v>7764.599999999999</x:v>
      </x:c>
      <x:c r="J1703" s="26" t="n">
        <x:v>11683.8</x:v>
      </x:c>
      <x:c r="K1703" s="28" t="n">
        <x:v>0.1417</x:v>
      </x:c>
      <x:c r="L1703" s="26" t="n">
        <x:v>1655.59</x:v>
      </x:c>
      <x:c r="M1703" t="n">
        <x:v>0</x:v>
      </x:c>
      <x:c r="N1703" s="26" t="n">
        <x:v>0</x:v>
      </x:c>
      <x:c r="O1703" s="26" t="n">
        <x:v>216.15</x:v>
      </x:c>
      <x:c r="P1703" s="26" t="n">
        <x:v>52.58</x:v>
      </x:c>
      <x:c r="Q1703" s="26" t="n">
        <x:v>99.31</x:v>
      </x:c>
      <x:c r="R1703" s="26" t="n">
        <x:v>122.68</x:v>
      </x:c>
      <x:c r="S1703" s="26" t="n">
        <x:v>1164.87</x:v>
      </x:c>
    </x:row>
    <x:row r="1704">
      <x:c r="A1704" t="n">
        <x:v>501701</x:v>
      </x:c>
      <x:c r="B1704" s="24" t="n">
        <x:v>45960</x:v>
      </x:c>
      <x:c r="C1704" t="n">
        <x:v>1073</x:v>
      </x:c>
      <x:c r="D1704" t="str">
        <x:v>Seller 1073</x:v>
      </x:c>
      <x:c r="E1704" t="str">
        <x:v>Bronze</x:v>
      </x:c>
      <x:c r="F1704" t="str">
        <x:v>Central</x:v>
      </x:c>
      <x:c r="G1704" t="str">
        <x:v>Electronics</x:v>
      </x:c>
      <x:c r="H1704" t="n">
        <x:v>3</x:v>
      </x:c>
      <x:c r="I1704" s="26" t="n">
        <x:v>3060</x:v>
      </x:c>
      <x:c r="J1704" s="26" t="n">
        <x:v>7447.2</x:v>
      </x:c>
      <x:c r="K1704" s="28" t="n">
        <x:v>0.1236</x:v>
      </x:c>
      <x:c r="L1704" s="26" t="n">
        <x:v>920.47</x:v>
      </x:c>
      <x:c r="M1704" t="n">
        <x:v>0</x:v>
      </x:c>
      <x:c r="N1704" s="26" t="n">
        <x:v>0</x:v>
      </x:c>
      <x:c r="O1704" s="26" t="n">
        <x:v>137.77</x:v>
      </x:c>
      <x:c r="P1704" s="26" t="n">
        <x:v>33.51</x:v>
      </x:c>
      <x:c r="Q1704" s="26" t="n">
        <x:v>63.3</x:v>
      </x:c>
      <x:c r="R1704" s="26" t="n">
        <x:v>78.2</x:v>
      </x:c>
      <x:c r="S1704" s="26" t="n">
        <x:v>607.69</x:v>
      </x:c>
    </x:row>
    <x:row r="1705">
      <x:c r="A1705" t="n">
        <x:v>501702</x:v>
      </x:c>
      <x:c r="B1705" s="24" t="n">
        <x:v>45987</x:v>
      </x:c>
      <x:c r="C1705" t="n">
        <x:v>1036</x:v>
      </x:c>
      <x:c r="D1705" t="str">
        <x:v>Seller 1036</x:v>
      </x:c>
      <x:c r="E1705" t="str">
        <x:v>Silver</x:v>
      </x:c>
      <x:c r="F1705" t="str">
        <x:v>Central</x:v>
      </x:c>
      <x:c r="G1705" t="str">
        <x:v>Pet Supplies</x:v>
      </x:c>
      <x:c r="H1705" t="n">
        <x:v>4</x:v>
      </x:c>
      <x:c r="I1705" s="26" t="n">
        <x:v>840</x:v>
      </x:c>
      <x:c r="J1705" s="26" t="n">
        <x:v>3869.4</x:v>
      </x:c>
      <x:c r="K1705" s="28" t="n">
        <x:v>0.1476</x:v>
      </x:c>
      <x:c r="L1705" s="26" t="n">
        <x:v>571.12</x:v>
      </x:c>
      <x:c r="M1705" t="n">
        <x:v>0</x:v>
      </x:c>
      <x:c r="N1705" s="26" t="n">
        <x:v>0</x:v>
      </x:c>
      <x:c r="O1705" s="26" t="n">
        <x:v>71.58</x:v>
      </x:c>
      <x:c r="P1705" s="26" t="n">
        <x:v>17.41</x:v>
      </x:c>
      <x:c r="Q1705" s="26" t="n">
        <x:v>32.89</x:v>
      </x:c>
      <x:c r="R1705" s="26" t="n">
        <x:v>40.63</x:v>
      </x:c>
      <x:c r="S1705" s="26" t="n">
        <x:v>408.61</x:v>
      </x:c>
    </x:row>
    <x:row r="1706">
      <x:c r="A1706" t="n">
        <x:v>501703</x:v>
      </x:c>
      <x:c r="B1706" s="24" t="n">
        <x:v>45963</x:v>
      </x:c>
      <x:c r="C1706" t="n">
        <x:v>1027</x:v>
      </x:c>
      <x:c r="D1706" t="str">
        <x:v>Seller 1027</x:v>
      </x:c>
      <x:c r="E1706" t="str">
        <x:v>Gold</x:v>
      </x:c>
      <x:c r="F1706" t="str">
        <x:v>West</x:v>
      </x:c>
      <x:c r="G1706" t="str">
        <x:v>Apparel</x:v>
      </x:c>
      <x:c r="H1706" t="n">
        <x:v>1</x:v>
      </x:c>
      <x:c r="I1706" s="26" t="n">
        <x:v>3265.8</x:v>
      </x:c>
      <x:c r="J1706" s="26" t="n">
        <x:v>4914.6</x:v>
      </x:c>
      <x:c r="K1706" s="28" t="n">
        <x:v>0.133</x:v>
      </x:c>
      <x:c r="L1706" s="26" t="n">
        <x:v>653.64</x:v>
      </x:c>
      <x:c r="M1706" t="n">
        <x:v>0</x:v>
      </x:c>
      <x:c r="N1706" s="26" t="n">
        <x:v>0</x:v>
      </x:c>
      <x:c r="O1706" s="26" t="n">
        <x:v>90.92</x:v>
      </x:c>
      <x:c r="P1706" s="26" t="n">
        <x:v>22.12</x:v>
      </x:c>
      <x:c r="Q1706" s="26" t="n">
        <x:v>41.77</x:v>
      </x:c>
      <x:c r="R1706" s="26" t="n">
        <x:v>51.6</x:v>
      </x:c>
      <x:c r="S1706" s="26" t="n">
        <x:v>447.23</x:v>
      </x:c>
    </x:row>
    <x:row r="1707">
      <x:c r="A1707" t="n">
        <x:v>501704</x:v>
      </x:c>
      <x:c r="B1707" s="24" t="n">
        <x:v>45958</x:v>
      </x:c>
      <x:c r="C1707" t="n">
        <x:v>1002</x:v>
      </x:c>
      <x:c r="D1707" t="str">
        <x:v>Seller 1002</x:v>
      </x:c>
      <x:c r="E1707" t="str">
        <x:v>Platinum</x:v>
      </x:c>
      <x:c r="F1707" t="str">
        <x:v>Central</x:v>
      </x:c>
      <x:c r="G1707" t="str">
        <x:v>Home &amp; Kitchen</x:v>
      </x:c>
      <x:c r="H1707" t="n">
        <x:v>2</x:v>
      </x:c>
      <x:c r="I1707" s="26" t="n">
        <x:v>2031.6</x:v>
      </x:c>
      <x:c r="J1707" s="26" t="n">
        <x:v>8241</x:v>
      </x:c>
      <x:c r="K1707" s="28" t="n">
        <x:v>0.1503</x:v>
      </x:c>
      <x:c r="L1707" s="26" t="n">
        <x:v>1238.62</x:v>
      </x:c>
      <x:c r="M1707" t="n">
        <x:v>0</x:v>
      </x:c>
      <x:c r="N1707" s="26" t="n">
        <x:v>0</x:v>
      </x:c>
      <x:c r="O1707" s="26" t="n">
        <x:v>152.46</x:v>
      </x:c>
      <x:c r="P1707" s="26" t="n">
        <x:v>37.08</x:v>
      </x:c>
      <x:c r="Q1707" s="26" t="n">
        <x:v>70.05</x:v>
      </x:c>
      <x:c r="R1707" s="26" t="n">
        <x:v>86.53</x:v>
      </x:c>
      <x:c r="S1707" s="26" t="n">
        <x:v>892.5</x:v>
      </x:c>
    </x:row>
    <x:row r="1708">
      <x:c r="A1708" t="n">
        <x:v>501705</x:v>
      </x:c>
      <x:c r="B1708" s="24" t="n">
        <x:v>45984</x:v>
      </x:c>
      <x:c r="C1708" t="n">
        <x:v>1073</x:v>
      </x:c>
      <x:c r="D1708" t="str">
        <x:v>Seller 1073</x:v>
      </x:c>
      <x:c r="E1708" t="str">
        <x:v>Bronze</x:v>
      </x:c>
      <x:c r="F1708" t="str">
        <x:v>Central</x:v>
      </x:c>
      <x:c r="G1708" t="str">
        <x:v>Electronics</x:v>
      </x:c>
      <x:c r="H1708" t="n">
        <x:v>2</x:v>
      </x:c>
      <x:c r="I1708" s="26" t="n">
        <x:v>3950.9999999999995</x:v>
      </x:c>
      <x:c r="J1708" s="26" t="n">
        <x:v>6411</x:v>
      </x:c>
      <x:c r="K1708" s="28" t="n">
        <x:v>0.1206</x:v>
      </x:c>
      <x:c r="L1708" s="26" t="n">
        <x:v>773.17</x:v>
      </x:c>
      <x:c r="M1708" t="n">
        <x:v>1</x:v>
      </x:c>
      <x:c r="N1708" s="26" t="n">
        <x:v>4960.8</x:v>
      </x:c>
      <x:c r="O1708" s="26" t="n">
        <x:v>118.6</x:v>
      </x:c>
      <x:c r="P1708" s="26" t="n">
        <x:v>28.85</x:v>
      </x:c>
      <x:c r="Q1708" s="26" t="n">
        <x:v>54.49</x:v>
      </x:c>
      <x:c r="R1708" s="26" t="n">
        <x:v>67.32</x:v>
      </x:c>
      <x:c r="S1708" s="26" t="n">
        <x:v>404.69</x:v>
      </x:c>
    </x:row>
    <x:row r="1709">
      <x:c r="A1709" t="n">
        <x:v>501706</x:v>
      </x:c>
      <x:c r="B1709" s="24" t="n">
        <x:v>45966</x:v>
      </x:c>
      <x:c r="C1709" t="n">
        <x:v>1060</x:v>
      </x:c>
      <x:c r="D1709" t="str">
        <x:v>Seller 1060</x:v>
      </x:c>
      <x:c r="E1709" t="str">
        <x:v>Bronze</x:v>
      </x:c>
      <x:c r="F1709" t="str">
        <x:v>East</x:v>
      </x:c>
      <x:c r="G1709" t="str">
        <x:v>Pet Supplies</x:v>
      </x:c>
      <x:c r="H1709" t="n">
        <x:v>3</x:v>
      </x:c>
      <x:c r="I1709" s="26" t="n">
        <x:v>984.6</x:v>
      </x:c>
      <x:c r="J1709" s="26" t="n">
        <x:v>2396.4</x:v>
      </x:c>
      <x:c r="K1709" s="28" t="n">
        <x:v>0.1271</x:v>
      </x:c>
      <x:c r="L1709" s="26" t="n">
        <x:v>304.58</x:v>
      </x:c>
      <x:c r="M1709" t="n">
        <x:v>0</x:v>
      </x:c>
      <x:c r="N1709" s="26" t="n">
        <x:v>0</x:v>
      </x:c>
      <x:c r="O1709" s="26" t="n">
        <x:v>44.33</x:v>
      </x:c>
      <x:c r="P1709" s="26" t="n">
        <x:v>10.78</x:v>
      </x:c>
      <x:c r="Q1709" s="26" t="n">
        <x:v>20.37</x:v>
      </x:c>
      <x:c r="R1709" s="26" t="n">
        <x:v>25.16</x:v>
      </x:c>
      <x:c r="S1709" s="26" t="n">
        <x:v>203.93</x:v>
      </x:c>
    </x:row>
    <x:row r="1710">
      <x:c r="A1710" t="n">
        <x:v>501707</x:v>
      </x:c>
      <x:c r="B1710" s="24" t="n">
        <x:v>45980</x:v>
      </x:c>
      <x:c r="C1710" t="n">
        <x:v>1037</x:v>
      </x:c>
      <x:c r="D1710" t="str">
        <x:v>Seller 1037</x:v>
      </x:c>
      <x:c r="E1710" t="str">
        <x:v>Silver</x:v>
      </x:c>
      <x:c r="F1710" t="str">
        <x:v>East</x:v>
      </x:c>
      <x:c r="G1710" t="str">
        <x:v>Apparel</x:v>
      </x:c>
      <x:c r="H1710" t="n">
        <x:v>2</x:v>
      </x:c>
      <x:c r="I1710" s="26" t="n">
        <x:v>2151.6</x:v>
      </x:c>
      <x:c r="J1710" s="26" t="n">
        <x:v>4955.4</x:v>
      </x:c>
      <x:c r="K1710" s="28" t="n">
        <x:v>0.1301</x:v>
      </x:c>
      <x:c r="L1710" s="26" t="n">
        <x:v>644.7</x:v>
      </x:c>
      <x:c r="M1710" t="n">
        <x:v>0</x:v>
      </x:c>
      <x:c r="N1710" s="26" t="n">
        <x:v>0</x:v>
      </x:c>
      <x:c r="O1710" s="26" t="n">
        <x:v>91.67</x:v>
      </x:c>
      <x:c r="P1710" s="26" t="n">
        <x:v>22.3</x:v>
      </x:c>
      <x:c r="Q1710" s="26" t="n">
        <x:v>42.12</x:v>
      </x:c>
      <x:c r="R1710" s="26" t="n">
        <x:v>52.03</x:v>
      </x:c>
      <x:c r="S1710" s="26" t="n">
        <x:v>436.57</x:v>
      </x:c>
    </x:row>
    <x:row r="1711">
      <x:c r="A1711" t="n">
        <x:v>501708</x:v>
      </x:c>
      <x:c r="B1711" s="24" t="n">
        <x:v>45983</x:v>
      </x:c>
      <x:c r="C1711" t="n">
        <x:v>1058</x:v>
      </x:c>
      <x:c r="D1711" t="str">
        <x:v>Seller 1058</x:v>
      </x:c>
      <x:c r="E1711" t="str">
        <x:v>Bronze</x:v>
      </x:c>
      <x:c r="F1711" t="str">
        <x:v>East</x:v>
      </x:c>
      <x:c r="G1711" t="str">
        <x:v>Pet Supplies</x:v>
      </x:c>
      <x:c r="H1711" t="n">
        <x:v>3</x:v>
      </x:c>
      <x:c r="I1711" s="26" t="n">
        <x:v>1128</x:v>
      </x:c>
      <x:c r="J1711" s="26" t="n">
        <x:v>2745</x:v>
      </x:c>
      <x:c r="K1711" s="28" t="n">
        <x:v>0.1466</x:v>
      </x:c>
      <x:c r="L1711" s="26" t="n">
        <x:v>402.42</x:v>
      </x:c>
      <x:c r="M1711" t="n">
        <x:v>0</x:v>
      </x:c>
      <x:c r="N1711" s="26" t="n">
        <x:v>0</x:v>
      </x:c>
      <x:c r="O1711" s="26" t="n">
        <x:v>50.78</x:v>
      </x:c>
      <x:c r="P1711" s="26" t="n">
        <x:v>12.35</x:v>
      </x:c>
      <x:c r="Q1711" s="26" t="n">
        <x:v>23.33</x:v>
      </x:c>
      <x:c r="R1711" s="26" t="n">
        <x:v>28.82</x:v>
      </x:c>
      <x:c r="S1711" s="26" t="n">
        <x:v>287.13</x:v>
      </x:c>
    </x:row>
    <x:row r="1712">
      <x:c r="A1712" t="n">
        <x:v>501709</x:v>
      </x:c>
      <x:c r="B1712" s="24" t="n">
        <x:v>45975</x:v>
      </x:c>
      <x:c r="C1712" t="n">
        <x:v>1030</x:v>
      </x:c>
      <x:c r="D1712" t="str">
        <x:v>Seller 1030</x:v>
      </x:c>
      <x:c r="E1712" t="str">
        <x:v>Gold</x:v>
      </x:c>
      <x:c r="F1712" t="str">
        <x:v>South</x:v>
      </x:c>
      <x:c r="G1712" t="str">
        <x:v>Pet Supplies</x:v>
      </x:c>
      <x:c r="H1712" t="n">
        <x:v>2</x:v>
      </x:c>
      <x:c r="I1712" s="26" t="n">
        <x:v>1355.4</x:v>
      </x:c>
      <x:c r="J1712" s="26" t="n">
        <x:v>4078.2</x:v>
      </x:c>
      <x:c r="K1712" s="28" t="n">
        <x:v>0.1281</x:v>
      </x:c>
      <x:c r="L1712" s="26" t="n">
        <x:v>522.42</x:v>
      </x:c>
      <x:c r="M1712" t="n">
        <x:v>0</x:v>
      </x:c>
      <x:c r="N1712" s="26" t="n">
        <x:v>0</x:v>
      </x:c>
      <x:c r="O1712" s="26" t="n">
        <x:v>75.45</x:v>
      </x:c>
      <x:c r="P1712" s="26" t="n">
        <x:v>18.35</x:v>
      </x:c>
      <x:c r="Q1712" s="26" t="n">
        <x:v>34.66</x:v>
      </x:c>
      <x:c r="R1712" s="26" t="n">
        <x:v>42.82</x:v>
      </x:c>
      <x:c r="S1712" s="26" t="n">
        <x:v>351.13</x:v>
      </x:c>
    </x:row>
    <x:row r="1713">
      <x:c r="A1713" t="n">
        <x:v>501710</x:v>
      </x:c>
      <x:c r="B1713" s="24" t="n">
        <x:v>45971</x:v>
      </x:c>
      <x:c r="C1713" t="n">
        <x:v>1021</x:v>
      </x:c>
      <x:c r="D1713" t="str">
        <x:v>Seller 1021</x:v>
      </x:c>
      <x:c r="E1713" t="str">
        <x:v>Gold</x:v>
      </x:c>
      <x:c r="F1713" t="str">
        <x:v>Central</x:v>
      </x:c>
      <x:c r="G1713" t="str">
        <x:v>Pet Supplies</x:v>
      </x:c>
      <x:c r="H1713" t="n">
        <x:v>3</x:v>
      </x:c>
      <x:c r="I1713" s="26" t="n">
        <x:v>807.6</x:v>
      </x:c>
      <x:c r="J1713" s="26" t="n">
        <x:v>3645.6</x:v>
      </x:c>
      <x:c r="K1713" s="28" t="n">
        <x:v>0.139</x:v>
      </x:c>
      <x:c r="L1713" s="26" t="n">
        <x:v>506.74</x:v>
      </x:c>
      <x:c r="M1713" t="n">
        <x:v>0</x:v>
      </x:c>
      <x:c r="N1713" s="26" t="n">
        <x:v>0</x:v>
      </x:c>
      <x:c r="O1713" s="26" t="n">
        <x:v>67.44</x:v>
      </x:c>
      <x:c r="P1713" s="26" t="n">
        <x:v>16.41</x:v>
      </x:c>
      <x:c r="Q1713" s="26" t="n">
        <x:v>30.99</x:v>
      </x:c>
      <x:c r="R1713" s="26" t="n">
        <x:v>38.28</x:v>
      </x:c>
      <x:c r="S1713" s="26" t="n">
        <x:v>353.62</x:v>
      </x:c>
    </x:row>
    <x:row r="1714">
      <x:c r="A1714" t="n">
        <x:v>501711</x:v>
      </x:c>
      <x:c r="B1714" s="24" t="n">
        <x:v>45986</x:v>
      </x:c>
      <x:c r="C1714" t="n">
        <x:v>1023</x:v>
      </x:c>
      <x:c r="D1714" t="str">
        <x:v>Seller 1023</x:v>
      </x:c>
      <x:c r="E1714" t="str">
        <x:v>Gold</x:v>
      </x:c>
      <x:c r="F1714" t="str">
        <x:v>Central</x:v>
      </x:c>
      <x:c r="G1714" t="str">
        <x:v>Home &amp; Kitchen</x:v>
      </x:c>
      <x:c r="H1714" t="n">
        <x:v>1</x:v>
      </x:c>
      <x:c r="I1714" s="26" t="n">
        <x:v>5731.8</x:v>
      </x:c>
      <x:c r="J1714" s="26" t="n">
        <x:v>8625</x:v>
      </x:c>
      <x:c r="K1714" s="28" t="n">
        <x:v>0.1474</x:v>
      </x:c>
      <x:c r="L1714" s="26" t="n">
        <x:v>1271.33</x:v>
      </x:c>
      <x:c r="M1714" t="n">
        <x:v>0</x:v>
      </x:c>
      <x:c r="N1714" s="26" t="n">
        <x:v>0</x:v>
      </x:c>
      <x:c r="O1714" s="26" t="n">
        <x:v>159.56</x:v>
      </x:c>
      <x:c r="P1714" s="26" t="n">
        <x:v>38.81</x:v>
      </x:c>
      <x:c r="Q1714" s="26" t="n">
        <x:v>73.31</x:v>
      </x:c>
      <x:c r="R1714" s="26" t="n">
        <x:v>90.56</x:v>
      </x:c>
      <x:c r="S1714" s="26" t="n">
        <x:v>909.08</x:v>
      </x:c>
    </x:row>
    <x:row r="1715">
      <x:c r="A1715" t="n">
        <x:v>501712</x:v>
      </x:c>
      <x:c r="B1715" s="24" t="n">
        <x:v>45987</x:v>
      </x:c>
      <x:c r="C1715" t="n">
        <x:v>1064</x:v>
      </x:c>
      <x:c r="D1715" t="str">
        <x:v>Seller 1064</x:v>
      </x:c>
      <x:c r="E1715" t="str">
        <x:v>Bronze</x:v>
      </x:c>
      <x:c r="F1715" t="str">
        <x:v>Central</x:v>
      </x:c>
      <x:c r="G1715" t="str">
        <x:v>Pet Supplies</x:v>
      </x:c>
      <x:c r="H1715" t="n">
        <x:v>1</x:v>
      </x:c>
      <x:c r="I1715" s="26" t="n">
        <x:v>3468.6000000000004</x:v>
      </x:c>
      <x:c r="J1715" s="26" t="n">
        <x:v>2814</x:v>
      </x:c>
      <x:c r="K1715" s="28" t="n">
        <x:v>0.1281</x:v>
      </x:c>
      <x:c r="L1715" s="26" t="n">
        <x:v>360.47</x:v>
      </x:c>
      <x:c r="M1715" t="n">
        <x:v>0</x:v>
      </x:c>
      <x:c r="N1715" s="26" t="n">
        <x:v>0</x:v>
      </x:c>
      <x:c r="O1715" s="26" t="n">
        <x:v>52.06</x:v>
      </x:c>
      <x:c r="P1715" s="26" t="n">
        <x:v>12.66</x:v>
      </x:c>
      <x:c r="Q1715" s="26" t="n">
        <x:v>23.92</x:v>
      </x:c>
      <x:c r="R1715" s="26" t="n">
        <x:v>29.55</x:v>
      </x:c>
      <x:c r="S1715" s="26" t="n">
        <x:v>242.29</x:v>
      </x:c>
    </x:row>
    <x:row r="1716">
      <x:c r="A1716" t="n">
        <x:v>501713</x:v>
      </x:c>
      <x:c r="B1716" s="24" t="n">
        <x:v>45987</x:v>
      </x:c>
      <x:c r="C1716" t="n">
        <x:v>1046</x:v>
      </x:c>
      <x:c r="D1716" t="str">
        <x:v>Seller 1046</x:v>
      </x:c>
      <x:c r="E1716" t="str">
        <x:v>Silver</x:v>
      </x:c>
      <x:c r="F1716" t="str">
        <x:v>Central</x:v>
      </x:c>
      <x:c r="G1716" t="str">
        <x:v>Sports</x:v>
      </x:c>
      <x:c r="H1716" t="n">
        <x:v>1</x:v>
      </x:c>
      <x:c r="I1716" s="26" t="n">
        <x:v>4698</x:v>
      </x:c>
      <x:c r="J1716" s="26" t="n">
        <x:v>5409.6</x:v>
      </x:c>
      <x:c r="K1716" s="28" t="n">
        <x:v>0.1383</x:v>
      </x:c>
      <x:c r="L1716" s="26" t="n">
        <x:v>748.15</x:v>
      </x:c>
      <x:c r="M1716" t="n">
        <x:v>0</x:v>
      </x:c>
      <x:c r="N1716" s="26" t="n">
        <x:v>0</x:v>
      </x:c>
      <x:c r="O1716" s="26" t="n">
        <x:v>100.08</x:v>
      </x:c>
      <x:c r="P1716" s="26" t="n">
        <x:v>24.34</x:v>
      </x:c>
      <x:c r="Q1716" s="26" t="n">
        <x:v>45.98</x:v>
      </x:c>
      <x:c r="R1716" s="26" t="n">
        <x:v>56.8</x:v>
      </x:c>
      <x:c r="S1716" s="26" t="n">
        <x:v>520.94</x:v>
      </x:c>
    </x:row>
    <x:row r="1717">
      <x:c r="A1717" t="n">
        <x:v>501714</x:v>
      </x:c>
      <x:c r="B1717" s="24" t="n">
        <x:v>45984</x:v>
      </x:c>
      <x:c r="C1717" t="n">
        <x:v>1019</x:v>
      </x:c>
      <x:c r="D1717" t="str">
        <x:v>Seller 1019</x:v>
      </x:c>
      <x:c r="E1717" t="str">
        <x:v>Gold</x:v>
      </x:c>
      <x:c r="F1717" t="str">
        <x:v>East</x:v>
      </x:c>
      <x:c r="G1717" t="str">
        <x:v>Apparel</x:v>
      </x:c>
      <x:c r="H1717" t="n">
        <x:v>1</x:v>
      </x:c>
      <x:c r="I1717" s="26" t="n">
        <x:v>3694.7999999999997</x:v>
      </x:c>
      <x:c r="J1717" s="26" t="n">
        <x:v>5560.2</x:v>
      </x:c>
      <x:c r="K1717" s="28" t="n">
        <x:v>0.1178</x:v>
      </x:c>
      <x:c r="L1717" s="26" t="n">
        <x:v>654.99</x:v>
      </x:c>
      <x:c r="M1717" t="n">
        <x:v>0</x:v>
      </x:c>
      <x:c r="N1717" s="26" t="n">
        <x:v>0</x:v>
      </x:c>
      <x:c r="O1717" s="26" t="n">
        <x:v>102.86</x:v>
      </x:c>
      <x:c r="P1717" s="26" t="n">
        <x:v>25.02</x:v>
      </x:c>
      <x:c r="Q1717" s="26" t="n">
        <x:v>47.26</x:v>
      </x:c>
      <x:c r="R1717" s="26" t="n">
        <x:v>58.38</x:v>
      </x:c>
      <x:c r="S1717" s="26" t="n">
        <x:v>421.46</x:v>
      </x:c>
    </x:row>
    <x:row r="1718">
      <x:c r="A1718" t="n">
        <x:v>501715</x:v>
      </x:c>
      <x:c r="B1718" s="24" t="n">
        <x:v>45958</x:v>
      </x:c>
      <x:c r="C1718" t="n">
        <x:v>1027</x:v>
      </x:c>
      <x:c r="D1718" t="str">
        <x:v>Seller 1027</x:v>
      </x:c>
      <x:c r="E1718" t="str">
        <x:v>Gold</x:v>
      </x:c>
      <x:c r="F1718" t="str">
        <x:v>West</x:v>
      </x:c>
      <x:c r="G1718" t="str">
        <x:v>Apparel</x:v>
      </x:c>
      <x:c r="H1718" t="n">
        <x:v>3</x:v>
      </x:c>
      <x:c r="I1718" s="26" t="n">
        <x:v>1437</x:v>
      </x:c>
      <x:c r="J1718" s="26" t="n">
        <x:v>6488.4</x:v>
      </x:c>
      <x:c r="K1718" s="28" t="n">
        <x:v>0.1167</x:v>
      </x:c>
      <x:c r="L1718" s="26" t="n">
        <x:v>757.2</x:v>
      </x:c>
      <x:c r="M1718" t="n">
        <x:v>1</x:v>
      </x:c>
      <x:c r="N1718" s="26" t="n">
        <x:v>3871.8</x:v>
      </x:c>
      <x:c r="O1718" s="26" t="n">
        <x:v>120.04</x:v>
      </x:c>
      <x:c r="P1718" s="26" t="n">
        <x:v>29.2</x:v>
      </x:c>
      <x:c r="Q1718" s="26" t="n">
        <x:v>55.15</x:v>
      </x:c>
      <x:c r="R1718" s="26" t="n">
        <x:v>68.13</x:v>
      </x:c>
      <x:c r="S1718" s="26" t="n">
        <x:v>407.25</x:v>
      </x:c>
    </x:row>
    <x:row r="1719">
      <x:c r="A1719" t="n">
        <x:v>501716</x:v>
      </x:c>
      <x:c r="B1719" s="24" t="n">
        <x:v>45968</x:v>
      </x:c>
      <x:c r="C1719" t="n">
        <x:v>1033</x:v>
      </x:c>
      <x:c r="D1719" t="str">
        <x:v>Seller 1033</x:v>
      </x:c>
      <x:c r="E1719" t="str">
        <x:v>Silver</x:v>
      </x:c>
      <x:c r="F1719" t="str">
        <x:v>South</x:v>
      </x:c>
      <x:c r="G1719" t="str">
        <x:v>Pet Supplies</x:v>
      </x:c>
      <x:c r="H1719" t="n">
        <x:v>3</x:v>
      </x:c>
      <x:c r="I1719" s="26" t="n">
        <x:v>894.6</x:v>
      </x:c>
      <x:c r="J1719" s="26" t="n">
        <x:v>3090.6</x:v>
      </x:c>
      <x:c r="K1719" s="28" t="n">
        <x:v>0.1424</x:v>
      </x:c>
      <x:c r="L1719" s="26" t="n">
        <x:v>440.1</x:v>
      </x:c>
      <x:c r="M1719" t="n">
        <x:v>0</x:v>
      </x:c>
      <x:c r="N1719" s="26" t="n">
        <x:v>0</x:v>
      </x:c>
      <x:c r="O1719" s="26" t="n">
        <x:v>57.18</x:v>
      </x:c>
      <x:c r="P1719" s="26" t="n">
        <x:v>13.91</x:v>
      </x:c>
      <x:c r="Q1719" s="26" t="n">
        <x:v>26.27</x:v>
      </x:c>
      <x:c r="R1719" s="26" t="n">
        <x:v>32.45</x:v>
      </x:c>
      <x:c r="S1719" s="26" t="n">
        <x:v>310.3</x:v>
      </x:c>
    </x:row>
    <x:row r="1720">
      <x:c r="A1720" t="n">
        <x:v>501717</x:v>
      </x:c>
      <x:c r="B1720" s="24" t="n">
        <x:v>45980</x:v>
      </x:c>
      <x:c r="C1720" t="n">
        <x:v>1048</x:v>
      </x:c>
      <x:c r="D1720" t="str">
        <x:v>Seller 1048</x:v>
      </x:c>
      <x:c r="E1720" t="str">
        <x:v>Silver</x:v>
      </x:c>
      <x:c r="F1720" t="str">
        <x:v>East</x:v>
      </x:c>
      <x:c r="G1720" t="str">
        <x:v>Electronics</x:v>
      </x:c>
      <x:c r="H1720" t="n">
        <x:v>1</x:v>
      </x:c>
      <x:c r="I1720" s="26" t="n">
        <x:v>9324</x:v>
      </x:c>
      <x:c r="J1720" s="26" t="n">
        <x:v>10736.4</x:v>
      </x:c>
      <x:c r="K1720" s="28" t="n">
        <x:v>0.1284</x:v>
      </x:c>
      <x:c r="L1720" s="26" t="n">
        <x:v>1378.55</x:v>
      </x:c>
      <x:c r="M1720" t="n">
        <x:v>0</x:v>
      </x:c>
      <x:c r="N1720" s="26" t="n">
        <x:v>0</x:v>
      </x:c>
      <x:c r="O1720" s="26" t="n">
        <x:v>198.62</x:v>
      </x:c>
      <x:c r="P1720" s="26" t="n">
        <x:v>48.31</x:v>
      </x:c>
      <x:c r="Q1720" s="26" t="n">
        <x:v>91.26</x:v>
      </x:c>
      <x:c r="R1720" s="26" t="n">
        <x:v>112.73</x:v>
      </x:c>
      <x:c r="S1720" s="26" t="n">
        <x:v>927.62</x:v>
      </x:c>
    </x:row>
    <x:row r="1721">
      <x:c r="A1721" t="n">
        <x:v>501718</x:v>
      </x:c>
      <x:c r="B1721" s="24" t="n">
        <x:v>45986</x:v>
      </x:c>
      <x:c r="C1721" t="n">
        <x:v>1014</x:v>
      </x:c>
      <x:c r="D1721" t="str">
        <x:v>Seller 1014</x:v>
      </x:c>
      <x:c r="E1721" t="str">
        <x:v>Gold</x:v>
      </x:c>
      <x:c r="F1721" t="str">
        <x:v>East</x:v>
      </x:c>
      <x:c r="G1721" t="str">
        <x:v>Apparel</x:v>
      </x:c>
      <x:c r="H1721" t="n">
        <x:v>2</x:v>
      </x:c>
      <x:c r="I1721" s="26" t="n">
        <x:v>1779.6</x:v>
      </x:c>
      <x:c r="J1721" s="26" t="n">
        <x:v>5355.6</x:v>
      </x:c>
      <x:c r="K1721" s="28" t="n">
        <x:v>0.1307</x:v>
      </x:c>
      <x:c r="L1721" s="26" t="n">
        <x:v>699.98</x:v>
      </x:c>
      <x:c r="M1721" t="n">
        <x:v>0</x:v>
      </x:c>
      <x:c r="N1721" s="26" t="n">
        <x:v>0</x:v>
      </x:c>
      <x:c r="O1721" s="26" t="n">
        <x:v>99.08</x:v>
      </x:c>
      <x:c r="P1721" s="26" t="n">
        <x:v>24.1</x:v>
      </x:c>
      <x:c r="Q1721" s="26" t="n">
        <x:v>45.52</x:v>
      </x:c>
      <x:c r="R1721" s="26" t="n">
        <x:v>56.23</x:v>
      </x:c>
      <x:c r="S1721" s="26" t="n">
        <x:v>475.04</x:v>
      </x:c>
    </x:row>
    <x:row r="1722">
      <x:c r="A1722" t="n">
        <x:v>501719</x:v>
      </x:c>
      <x:c r="B1722" s="24" t="n">
        <x:v>45984</x:v>
      </x:c>
      <x:c r="C1722" t="n">
        <x:v>1065</x:v>
      </x:c>
      <x:c r="D1722" t="str">
        <x:v>Seller 1065</x:v>
      </x:c>
      <x:c r="E1722" t="str">
        <x:v>Bronze</x:v>
      </x:c>
      <x:c r="F1722" t="str">
        <x:v>South</x:v>
      </x:c>
      <x:c r="G1722" t="str">
        <x:v>Apparel</x:v>
      </x:c>
      <x:c r="H1722" t="n">
        <x:v>2</x:v>
      </x:c>
      <x:c r="I1722" s="26" t="n">
        <x:v>2013.6000000000001</x:v>
      </x:c>
      <x:c r="J1722" s="26" t="n">
        <x:v>3267</x:v>
      </x:c>
      <x:c r="K1722" s="28" t="n">
        <x:v>0.1368</x:v>
      </x:c>
      <x:c r="L1722" s="26" t="n">
        <x:v>446.93</x:v>
      </x:c>
      <x:c r="M1722" t="n">
        <x:v>0</x:v>
      </x:c>
      <x:c r="N1722" s="26" t="n">
        <x:v>0</x:v>
      </x:c>
      <x:c r="O1722" s="26" t="n">
        <x:v>60.44</x:v>
      </x:c>
      <x:c r="P1722" s="26" t="n">
        <x:v>14.7</x:v>
      </x:c>
      <x:c r="Q1722" s="26" t="n">
        <x:v>27.77</x:v>
      </x:c>
      <x:c r="R1722" s="26" t="n">
        <x:v>34.3</x:v>
      </x:c>
      <x:c r="S1722" s="26" t="n">
        <x:v>309.71</x:v>
      </x:c>
    </x:row>
    <x:row r="1723">
      <x:c r="A1723" t="n">
        <x:v>501720</x:v>
      </x:c>
      <x:c r="B1723" s="24" t="n">
        <x:v>45963</x:v>
      </x:c>
      <x:c r="C1723" t="n">
        <x:v>1027</x:v>
      </x:c>
      <x:c r="D1723" t="str">
        <x:v>Seller 1027</x:v>
      </x:c>
      <x:c r="E1723" t="str">
        <x:v>Gold</x:v>
      </x:c>
      <x:c r="F1723" t="str">
        <x:v>West</x:v>
      </x:c>
      <x:c r="G1723" t="str">
        <x:v>Apparel</x:v>
      </x:c>
      <x:c r="H1723" t="n">
        <x:v>3</x:v>
      </x:c>
      <x:c r="I1723" s="26" t="n">
        <x:v>1601.4</x:v>
      </x:c>
      <x:c r="J1723" s="26" t="n">
        <x:v>7230</x:v>
      </x:c>
      <x:c r="K1723" s="28" t="n">
        <x:v>0.1146</x:v>
      </x:c>
      <x:c r="L1723" s="26" t="n">
        <x:v>828.56</x:v>
      </x:c>
      <x:c r="M1723" t="n">
        <x:v>0</x:v>
      </x:c>
      <x:c r="N1723" s="26" t="n">
        <x:v>0</x:v>
      </x:c>
      <x:c r="O1723" s="26" t="n">
        <x:v>133.75</x:v>
      </x:c>
      <x:c r="P1723" s="26" t="n">
        <x:v>32.53</x:v>
      </x:c>
      <x:c r="Q1723" s="26" t="n">
        <x:v>61.46</x:v>
      </x:c>
      <x:c r="R1723" s="26" t="n">
        <x:v>75.92</x:v>
      </x:c>
      <x:c r="S1723" s="26" t="n">
        <x:v>524.9</x:v>
      </x:c>
    </x:row>
    <x:row r="1724">
      <x:c r="A1724" t="n">
        <x:v>501721</x:v>
      </x:c>
      <x:c r="B1724" s="24" t="n">
        <x:v>45968</x:v>
      </x:c>
      <x:c r="C1724" t="n">
        <x:v>1010</x:v>
      </x:c>
      <x:c r="D1724" t="str">
        <x:v>Seller 1010</x:v>
      </x:c>
      <x:c r="E1724" t="str">
        <x:v>Platinum</x:v>
      </x:c>
      <x:c r="F1724" t="str">
        <x:v>West</x:v>
      </x:c>
      <x:c r="G1724" t="str">
        <x:v>Home &amp; Kitchen</x:v>
      </x:c>
      <x:c r="H1724" t="n">
        <x:v>2</x:v>
      </x:c>
      <x:c r="I1724" s="26" t="n">
        <x:v>2518.2</x:v>
      </x:c>
      <x:c r="J1724" s="26" t="n">
        <x:v>10214.4</x:v>
      </x:c>
      <x:c r="K1724" s="28" t="n">
        <x:v>0.1517</x:v>
      </x:c>
      <x:c r="L1724" s="26" t="n">
        <x:v>1549.52</x:v>
      </x:c>
      <x:c r="M1724" t="n">
        <x:v>1</x:v>
      </x:c>
      <x:c r="N1724" s="26" t="n">
        <x:v>8364.6</x:v>
      </x:c>
      <x:c r="O1724" s="26" t="n">
        <x:v>188.97</x:v>
      </x:c>
      <x:c r="P1724" s="26" t="n">
        <x:v>45.96</x:v>
      </x:c>
      <x:c r="Q1724" s="26" t="n">
        <x:v>86.82</x:v>
      </x:c>
      <x:c r="R1724" s="26" t="n">
        <x:v>107.25</x:v>
      </x:c>
      <x:c r="S1724" s="26" t="n">
        <x:v>953.23</x:v>
      </x:c>
    </x:row>
    <x:row r="1725">
      <x:c r="A1725" t="n">
        <x:v>501722</x:v>
      </x:c>
      <x:c r="B1725" s="24" t="n">
        <x:v>45979</x:v>
      </x:c>
      <x:c r="C1725" t="n">
        <x:v>1050</x:v>
      </x:c>
      <x:c r="D1725" t="str">
        <x:v>Seller 1050</x:v>
      </x:c>
      <x:c r="E1725" t="str">
        <x:v>Silver</x:v>
      </x:c>
      <x:c r="F1725" t="str">
        <x:v>East</x:v>
      </x:c>
      <x:c r="G1725" t="str">
        <x:v>Electronics</x:v>
      </x:c>
      <x:c r="H1725" t="n">
        <x:v>2</x:v>
      </x:c>
      <x:c r="I1725" s="26" t="n">
        <x:v>5262.599999999999</x:v>
      </x:c>
      <x:c r="J1725" s="26" t="n">
        <x:v>12119.4</x:v>
      </x:c>
      <x:c r="K1725" s="28" t="n">
        <x:v>0.1411</x:v>
      </x:c>
      <x:c r="L1725" s="26" t="n">
        <x:v>1710.05</x:v>
      </x:c>
      <x:c r="M1725" t="n">
        <x:v>0</x:v>
      </x:c>
      <x:c r="N1725" s="26" t="n">
        <x:v>0</x:v>
      </x:c>
      <x:c r="O1725" s="26" t="n">
        <x:v>224.21</x:v>
      </x:c>
      <x:c r="P1725" s="26" t="n">
        <x:v>54.54</x:v>
      </x:c>
      <x:c r="Q1725" s="26" t="n">
        <x:v>103.01</x:v>
      </x:c>
      <x:c r="R1725" s="26" t="n">
        <x:v>127.25</x:v>
      </x:c>
      <x:c r="S1725" s="26" t="n">
        <x:v>1201.03</x:v>
      </x:c>
    </x:row>
    <x:row r="1726">
      <x:c r="A1726" t="n">
        <x:v>501723</x:v>
      </x:c>
      <x:c r="B1726" s="24" t="n">
        <x:v>45975</x:v>
      </x:c>
      <x:c r="C1726" t="n">
        <x:v>1063</x:v>
      </x:c>
      <x:c r="D1726" t="str">
        <x:v>Seller 1063</x:v>
      </x:c>
      <x:c r="E1726" t="str">
        <x:v>Bronze</x:v>
      </x:c>
      <x:c r="F1726" t="str">
        <x:v>West</x:v>
      </x:c>
      <x:c r="G1726" t="str">
        <x:v>Apparel</x:v>
      </x:c>
      <x:c r="H1726" t="n">
        <x:v>2</x:v>
      </x:c>
      <x:c r="I1726" s="26" t="n">
        <x:v>1989.6</x:v>
      </x:c>
      <x:c r="J1726" s="26" t="n">
        <x:v>3228.6</x:v>
      </x:c>
      <x:c r="K1726" s="28" t="n">
        <x:v>0.1308</x:v>
      </x:c>
      <x:c r="L1726" s="26" t="n">
        <x:v>422.3</x:v>
      </x:c>
      <x:c r="M1726" t="n">
        <x:v>0</x:v>
      </x:c>
      <x:c r="N1726" s="26" t="n">
        <x:v>0</x:v>
      </x:c>
      <x:c r="O1726" s="26" t="n">
        <x:v>59.73</x:v>
      </x:c>
      <x:c r="P1726" s="26" t="n">
        <x:v>14.53</x:v>
      </x:c>
      <x:c r="Q1726" s="26" t="n">
        <x:v>27.44</x:v>
      </x:c>
      <x:c r="R1726" s="26" t="n">
        <x:v>33.9</x:v>
      </x:c>
      <x:c r="S1726" s="26" t="n">
        <x:v>286.7</x:v>
      </x:c>
    </x:row>
    <x:row r="1727">
      <x:c r="A1727" t="n">
        <x:v>501724</x:v>
      </x:c>
      <x:c r="B1727" s="24" t="n">
        <x:v>45970</x:v>
      </x:c>
      <x:c r="C1727" t="n">
        <x:v>1013</x:v>
      </x:c>
      <x:c r="D1727" t="str">
        <x:v>Seller 1013</x:v>
      </x:c>
      <x:c r="E1727" t="str">
        <x:v>Gold</x:v>
      </x:c>
      <x:c r="F1727" t="str">
        <x:v>West</x:v>
      </x:c>
      <x:c r="G1727" t="str">
        <x:v>Electronics</x:v>
      </x:c>
      <x:c r="H1727" t="n">
        <x:v>1</x:v>
      </x:c>
      <x:c r="I1727" s="26" t="n">
        <x:v>7953.000000000001</x:v>
      </x:c>
      <x:c r="J1727" s="26" t="n">
        <x:v>11967.6</x:v>
      </x:c>
      <x:c r="K1727" s="28" t="n">
        <x:v>0.1418</x:v>
      </x:c>
      <x:c r="L1727" s="26" t="n">
        <x:v>1697.01</x:v>
      </x:c>
      <x:c r="M1727" t="n">
        <x:v>0</x:v>
      </x:c>
      <x:c r="N1727" s="26" t="n">
        <x:v>0</x:v>
      </x:c>
      <x:c r="O1727" s="26" t="n">
        <x:v>221.4</x:v>
      </x:c>
      <x:c r="P1727" s="26" t="n">
        <x:v>53.85</x:v>
      </x:c>
      <x:c r="Q1727" s="26" t="n">
        <x:v>101.72</x:v>
      </x:c>
      <x:c r="R1727" s="26" t="n">
        <x:v>125.66</x:v>
      </x:c>
      <x:c r="S1727" s="26" t="n">
        <x:v>1194.37</x:v>
      </x:c>
    </x:row>
    <x:row r="1728">
      <x:c r="A1728" t="n">
        <x:v>501725</x:v>
      </x:c>
      <x:c r="B1728" s="24" t="n">
        <x:v>45987</x:v>
      </x:c>
      <x:c r="C1728" t="n">
        <x:v>1005</x:v>
      </x:c>
      <x:c r="D1728" t="str">
        <x:v>Seller 1005</x:v>
      </x:c>
      <x:c r="E1728" t="str">
        <x:v>Platinum</x:v>
      </x:c>
      <x:c r="F1728" t="str">
        <x:v>East</x:v>
      </x:c>
      <x:c r="G1728" t="str">
        <x:v>Electronics</x:v>
      </x:c>
      <x:c r="H1728" t="n">
        <x:v>1</x:v>
      </x:c>
      <x:c r="I1728" s="26" t="n">
        <x:v>8836.8</x:v>
      </x:c>
      <x:c r="J1728" s="26" t="n">
        <x:v>17923.2</x:v>
      </x:c>
      <x:c r="K1728" s="28" t="n">
        <x:v>0.121</x:v>
      </x:c>
      <x:c r="L1728" s="26" t="n">
        <x:v>2168.71</x:v>
      </x:c>
      <x:c r="M1728" t="n">
        <x:v>0</x:v>
      </x:c>
      <x:c r="N1728" s="26" t="n">
        <x:v>0</x:v>
      </x:c>
      <x:c r="O1728" s="26" t="n">
        <x:v>331.58</x:v>
      </x:c>
      <x:c r="P1728" s="26" t="n">
        <x:v>80.65</x:v>
      </x:c>
      <x:c r="Q1728" s="26" t="n">
        <x:v>152.35</x:v>
      </x:c>
      <x:c r="R1728" s="26" t="n">
        <x:v>188.19</x:v>
      </x:c>
      <x:c r="S1728" s="26" t="n">
        <x:v>1415.93</x:v>
      </x:c>
    </x:row>
    <x:row r="1729">
      <x:c r="A1729" t="n">
        <x:v>501726</x:v>
      </x:c>
      <x:c r="B1729" s="24" t="n">
        <x:v>45982</x:v>
      </x:c>
      <x:c r="C1729" t="n">
        <x:v>1013</x:v>
      </x:c>
      <x:c r="D1729" t="str">
        <x:v>Seller 1013</x:v>
      </x:c>
      <x:c r="E1729" t="str">
        <x:v>Gold</x:v>
      </x:c>
      <x:c r="F1729" t="str">
        <x:v>West</x:v>
      </x:c>
      <x:c r="G1729" t="str">
        <x:v>Electronics</x:v>
      </x:c>
      <x:c r="H1729" t="n">
        <x:v>2</x:v>
      </x:c>
      <x:c r="I1729" s="26" t="n">
        <x:v>3832.8</x:v>
      </x:c>
      <x:c r="J1729" s="26" t="n">
        <x:v>11534.4</x:v>
      </x:c>
      <x:c r="K1729" s="28" t="n">
        <x:v>0.1426</x:v>
      </x:c>
      <x:c r="L1729" s="26" t="n">
        <x:v>1644.81</x:v>
      </x:c>
      <x:c r="M1729" t="n">
        <x:v>0</x:v>
      </x:c>
      <x:c r="N1729" s="26" t="n">
        <x:v>0</x:v>
      </x:c>
      <x:c r="O1729" s="26" t="n">
        <x:v>213.39</x:v>
      </x:c>
      <x:c r="P1729" s="26" t="n">
        <x:v>51.9</x:v>
      </x:c>
      <x:c r="Q1729" s="26" t="n">
        <x:v>98.04</x:v>
      </x:c>
      <x:c r="R1729" s="26" t="n">
        <x:v>121.11</x:v>
      </x:c>
      <x:c r="S1729" s="26" t="n">
        <x:v>1160.36</x:v>
      </x:c>
    </x:row>
    <x:row r="1730">
      <x:c r="A1730" t="n">
        <x:v>501727</x:v>
      </x:c>
      <x:c r="B1730" s="24" t="n">
        <x:v>45987</x:v>
      </x:c>
      <x:c r="C1730" t="n">
        <x:v>1058</x:v>
      </x:c>
      <x:c r="D1730" t="str">
        <x:v>Seller 1058</x:v>
      </x:c>
      <x:c r="E1730" t="str">
        <x:v>Bronze</x:v>
      </x:c>
      <x:c r="F1730" t="str">
        <x:v>East</x:v>
      </x:c>
      <x:c r="G1730" t="str">
        <x:v>Beauty</x:v>
      </x:c>
      <x:c r="H1730" t="n">
        <x:v>2</x:v>
      </x:c>
      <x:c r="I1730" s="26" t="n">
        <x:v>1336.2</x:v>
      </x:c>
      <x:c r="J1730" s="26" t="n">
        <x:v>2167.8</x:v>
      </x:c>
      <x:c r="K1730" s="28" t="n">
        <x:v>0.1421</x:v>
      </x:c>
      <x:c r="L1730" s="26" t="n">
        <x:v>308.04</x:v>
      </x:c>
      <x:c r="M1730" t="n">
        <x:v>0</x:v>
      </x:c>
      <x:c r="N1730" s="26" t="n">
        <x:v>0</x:v>
      </x:c>
      <x:c r="O1730" s="26" t="n">
        <x:v>40.1</x:v>
      </x:c>
      <x:c r="P1730" s="26" t="n">
        <x:v>9.76</x:v>
      </x:c>
      <x:c r="Q1730" s="26" t="n">
        <x:v>18.43</x:v>
      </x:c>
      <x:c r="R1730" s="26" t="n">
        <x:v>22.76</x:v>
      </x:c>
      <x:c r="S1730" s="26" t="n">
        <x:v>217</x:v>
      </x:c>
    </x:row>
    <x:row r="1731">
      <x:c r="A1731" t="n">
        <x:v>501728</x:v>
      </x:c>
      <x:c r="B1731" s="24" t="n">
        <x:v>45978</x:v>
      </x:c>
      <x:c r="C1731" t="n">
        <x:v>1065</x:v>
      </x:c>
      <x:c r="D1731" t="str">
        <x:v>Seller 1065</x:v>
      </x:c>
      <x:c r="E1731" t="str">
        <x:v>Bronze</x:v>
      </x:c>
      <x:c r="F1731" t="str">
        <x:v>South</x:v>
      </x:c>
      <x:c r="G1731" t="str">
        <x:v>Home &amp; Kitchen</x:v>
      </x:c>
      <x:c r="H1731" t="n">
        <x:v>1</x:v>
      </x:c>
      <x:c r="I1731" s="26" t="n">
        <x:v>4914</x:v>
      </x:c>
      <x:c r="J1731" s="26" t="n">
        <x:v>3987</x:v>
      </x:c>
      <x:c r="K1731" s="28" t="n">
        <x:v>0.1457</x:v>
      </x:c>
      <x:c r="L1731" s="26" t="n">
        <x:v>580.91</x:v>
      </x:c>
      <x:c r="M1731" t="n">
        <x:v>0</x:v>
      </x:c>
      <x:c r="N1731" s="26" t="n">
        <x:v>0</x:v>
      </x:c>
      <x:c r="O1731" s="26" t="n">
        <x:v>73.76</x:v>
      </x:c>
      <x:c r="P1731" s="26" t="n">
        <x:v>17.94</x:v>
      </x:c>
      <x:c r="Q1731" s="26" t="n">
        <x:v>33.89</x:v>
      </x:c>
      <x:c r="R1731" s="26" t="n">
        <x:v>41.86</x:v>
      </x:c>
      <x:c r="S1731" s="26" t="n">
        <x:v>413.45</x:v>
      </x:c>
    </x:row>
    <x:row r="1732">
      <x:c r="A1732" t="n">
        <x:v>501729</x:v>
      </x:c>
      <x:c r="B1732" s="24" t="n">
        <x:v>45959</x:v>
      </x:c>
      <x:c r="C1732" t="n">
        <x:v>1007</x:v>
      </x:c>
      <x:c r="D1732" t="str">
        <x:v>Seller 1007</x:v>
      </x:c>
      <x:c r="E1732" t="str">
        <x:v>Platinum</x:v>
      </x:c>
      <x:c r="F1732" t="str">
        <x:v>South</x:v>
      </x:c>
      <x:c r="G1732" t="str">
        <x:v>Home &amp; Kitchen</x:v>
      </x:c>
      <x:c r="H1732" t="n">
        <x:v>3</x:v>
      </x:c>
      <x:c r="I1732" s="26" t="n">
        <x:v>1959.6</x:v>
      </x:c>
      <x:c r="J1732" s="26" t="n">
        <x:v>11924.4</x:v>
      </x:c>
      <x:c r="K1732" s="28" t="n">
        <x:v>0.1332</x:v>
      </x:c>
      <x:c r="L1732" s="26" t="n">
        <x:v>1588.33</x:v>
      </x:c>
      <x:c r="M1732" t="n">
        <x:v>0</x:v>
      </x:c>
      <x:c r="N1732" s="26" t="n">
        <x:v>0</x:v>
      </x:c>
      <x:c r="O1732" s="26" t="n">
        <x:v>220.6</x:v>
      </x:c>
      <x:c r="P1732" s="26" t="n">
        <x:v>53.66</x:v>
      </x:c>
      <x:c r="Q1732" s="26" t="n">
        <x:v>101.36</x:v>
      </x:c>
      <x:c r="R1732" s="26" t="n">
        <x:v>125.21</x:v>
      </x:c>
      <x:c r="S1732" s="26" t="n">
        <x:v>1087.51</x:v>
      </x:c>
    </x:row>
    <x:row r="1733">
      <x:c r="A1733" t="n">
        <x:v>501730</x:v>
      </x:c>
      <x:c r="B1733" s="24" t="n">
        <x:v>45965</x:v>
      </x:c>
      <x:c r="C1733" t="n">
        <x:v>1038</x:v>
      </x:c>
      <x:c r="D1733" t="str">
        <x:v>Seller 1038</x:v>
      </x:c>
      <x:c r="E1733" t="str">
        <x:v>Silver</x:v>
      </x:c>
      <x:c r="F1733" t="str">
        <x:v>South</x:v>
      </x:c>
      <x:c r="G1733" t="str">
        <x:v>Sports</x:v>
      </x:c>
      <x:c r="H1733" t="n">
        <x:v>1</x:v>
      </x:c>
      <x:c r="I1733" s="26" t="n">
        <x:v>4807.200000000001</x:v>
      </x:c>
      <x:c r="J1733" s="26" t="n">
        <x:v>5535</x:v>
      </x:c>
      <x:c r="K1733" s="28" t="n">
        <x:v>0.1452</x:v>
      </x:c>
      <x:c r="L1733" s="26" t="n">
        <x:v>803.68</x:v>
      </x:c>
      <x:c r="M1733" t="n">
        <x:v>0</x:v>
      </x:c>
      <x:c r="N1733" s="26" t="n">
        <x:v>0</x:v>
      </x:c>
      <x:c r="O1733" s="26" t="n">
        <x:v>102.4</x:v>
      </x:c>
      <x:c r="P1733" s="26" t="n">
        <x:v>24.91</x:v>
      </x:c>
      <x:c r="Q1733" s="26" t="n">
        <x:v>47.05</x:v>
      </x:c>
      <x:c r="R1733" s="26" t="n">
        <x:v>58.12</x:v>
      </x:c>
      <x:c r="S1733" s="26" t="n">
        <x:v>571.21</x:v>
      </x:c>
    </x:row>
    <x:row r="1734">
      <x:c r="A1734" t="n">
        <x:v>501731</x:v>
      </x:c>
      <x:c r="B1734" s="24" t="n">
        <x:v>45965</x:v>
      </x:c>
      <x:c r="C1734" t="n">
        <x:v>1001</x:v>
      </x:c>
      <x:c r="D1734" t="str">
        <x:v>Seller 1001</x:v>
      </x:c>
      <x:c r="E1734" t="str">
        <x:v>Platinum</x:v>
      </x:c>
      <x:c r="F1734" t="str">
        <x:v>East</x:v>
      </x:c>
      <x:c r="G1734" t="str">
        <x:v>Electronics</x:v>
      </x:c>
      <x:c r="H1734" t="n">
        <x:v>2</x:v>
      </x:c>
      <x:c r="I1734" s="26" t="n">
        <x:v>3336.6</x:v>
      </x:c>
      <x:c r="J1734" s="26" t="n">
        <x:v>13534.8</x:v>
      </x:c>
      <x:c r="K1734" s="28" t="n">
        <x:v>0.1232</x:v>
      </x:c>
      <x:c r="L1734" s="26" t="n">
        <x:v>1667.49</x:v>
      </x:c>
      <x:c r="M1734" t="n">
        <x:v>0</x:v>
      </x:c>
      <x:c r="N1734" s="26" t="n">
        <x:v>0</x:v>
      </x:c>
      <x:c r="O1734" s="26" t="n">
        <x:v>250.39</x:v>
      </x:c>
      <x:c r="P1734" s="26" t="n">
        <x:v>60.91</x:v>
      </x:c>
      <x:c r="Q1734" s="26" t="n">
        <x:v>115.05</x:v>
      </x:c>
      <x:c r="R1734" s="26" t="n">
        <x:v>142.12</x:v>
      </x:c>
      <x:c r="S1734" s="26" t="n">
        <x:v>1099.03</x:v>
      </x:c>
    </x:row>
    <x:row r="1735">
      <x:c r="A1735" t="n">
        <x:v>501732</x:v>
      </x:c>
      <x:c r="B1735" s="24" t="n">
        <x:v>45961</x:v>
      </x:c>
      <x:c r="C1735" t="n">
        <x:v>1044</x:v>
      </x:c>
      <x:c r="D1735" t="str">
        <x:v>Seller 1044</x:v>
      </x:c>
      <x:c r="E1735" t="str">
        <x:v>Silver</x:v>
      </x:c>
      <x:c r="F1735" t="str">
        <x:v>East</x:v>
      </x:c>
      <x:c r="G1735" t="str">
        <x:v>Sports</x:v>
      </x:c>
      <x:c r="H1735" t="n">
        <x:v>2</x:v>
      </x:c>
      <x:c r="I1735" s="26" t="n">
        <x:v>2062.8</x:v>
      </x:c>
      <x:c r="J1735" s="26" t="n">
        <x:v>4750.8</x:v>
      </x:c>
      <x:c r="K1735" s="28" t="n">
        <x:v>0.1327</x:v>
      </x:c>
      <x:c r="L1735" s="26" t="n">
        <x:v>630.43</x:v>
      </x:c>
      <x:c r="M1735" t="n">
        <x:v>0</x:v>
      </x:c>
      <x:c r="N1735" s="26" t="n">
        <x:v>0</x:v>
      </x:c>
      <x:c r="O1735" s="26" t="n">
        <x:v>87.89</x:v>
      </x:c>
      <x:c r="P1735" s="26" t="n">
        <x:v>21.38</x:v>
      </x:c>
      <x:c r="Q1735" s="26" t="n">
        <x:v>40.38</x:v>
      </x:c>
      <x:c r="R1735" s="26" t="n">
        <x:v>49.88</x:v>
      </x:c>
      <x:c r="S1735" s="26" t="n">
        <x:v>430.9</x:v>
      </x:c>
    </x:row>
    <x:row r="1736">
      <x:c r="A1736" t="n">
        <x:v>501733</x:v>
      </x:c>
      <x:c r="B1736" s="24" t="n">
        <x:v>45980</x:v>
      </x:c>
      <x:c r="C1736" t="n">
        <x:v>1022</x:v>
      </x:c>
      <x:c r="D1736" t="str">
        <x:v>Seller 1022</x:v>
      </x:c>
      <x:c r="E1736" t="str">
        <x:v>Gold</x:v>
      </x:c>
      <x:c r="F1736" t="str">
        <x:v>East</x:v>
      </x:c>
      <x:c r="G1736" t="str">
        <x:v>Sports</x:v>
      </x:c>
      <x:c r="H1736" t="n">
        <x:v>2</x:v>
      </x:c>
      <x:c r="I1736" s="26" t="n">
        <x:v>1398.6</x:v>
      </x:c>
      <x:c r="J1736" s="26" t="n">
        <x:v>4208.4</x:v>
      </x:c>
      <x:c r="K1736" s="28" t="n">
        <x:v>0.1355</x:v>
      </x:c>
      <x:c r="L1736" s="26" t="n">
        <x:v>570.24</x:v>
      </x:c>
      <x:c r="M1736" t="n">
        <x:v>0</x:v>
      </x:c>
      <x:c r="N1736" s="26" t="n">
        <x:v>0</x:v>
      </x:c>
      <x:c r="O1736" s="26" t="n">
        <x:v>77.86</x:v>
      </x:c>
      <x:c r="P1736" s="26" t="n">
        <x:v>18.94</x:v>
      </x:c>
      <x:c r="Q1736" s="26" t="n">
        <x:v>35.77</x:v>
      </x:c>
      <x:c r="R1736" s="26" t="n">
        <x:v>44.19</x:v>
      </x:c>
      <x:c r="S1736" s="26" t="n">
        <x:v>393.49</x:v>
      </x:c>
    </x:row>
    <x:row r="1737">
      <x:c r="A1737" t="n">
        <x:v>501734</x:v>
      </x:c>
      <x:c r="B1737" s="24" t="n">
        <x:v>45966</x:v>
      </x:c>
      <x:c r="C1737" t="n">
        <x:v>1056</x:v>
      </x:c>
      <x:c r="D1737" t="str">
        <x:v>Seller 1056</x:v>
      </x:c>
      <x:c r="E1737" t="str">
        <x:v>Bronze</x:v>
      </x:c>
      <x:c r="F1737" t="str">
        <x:v>West</x:v>
      </x:c>
      <x:c r="G1737" t="str">
        <x:v>Apparel</x:v>
      </x:c>
      <x:c r="H1737" t="n">
        <x:v>1</x:v>
      </x:c>
      <x:c r="I1737" s="26" t="n">
        <x:v>3765.6</x:v>
      </x:c>
      <x:c r="J1737" s="26" t="n">
        <x:v>3054.6</x:v>
      </x:c>
      <x:c r="K1737" s="28" t="n">
        <x:v>0.1292</x:v>
      </x:c>
      <x:c r="L1737" s="26" t="n">
        <x:v>394.65</x:v>
      </x:c>
      <x:c r="M1737" t="n">
        <x:v>0</x:v>
      </x:c>
      <x:c r="N1737" s="26" t="n">
        <x:v>0</x:v>
      </x:c>
      <x:c r="O1737" s="26" t="n">
        <x:v>56.51</x:v>
      </x:c>
      <x:c r="P1737" s="26" t="n">
        <x:v>13.75</x:v>
      </x:c>
      <x:c r="Q1737" s="26" t="n">
        <x:v>25.96</x:v>
      </x:c>
      <x:c r="R1737" s="26" t="n">
        <x:v>32.07</x:v>
      </x:c>
      <x:c r="S1737" s="26" t="n">
        <x:v>266.36</x:v>
      </x:c>
    </x:row>
    <x:row r="1738">
      <x:c r="A1738" t="n">
        <x:v>501735</x:v>
      </x:c>
      <x:c r="B1738" s="24" t="n">
        <x:v>45970</x:v>
      </x:c>
      <x:c r="C1738" t="n">
        <x:v>1056</x:v>
      </x:c>
      <x:c r="D1738" t="str">
        <x:v>Seller 1056</x:v>
      </x:c>
      <x:c r="E1738" t="str">
        <x:v>Bronze</x:v>
      </x:c>
      <x:c r="F1738" t="str">
        <x:v>West</x:v>
      </x:c>
      <x:c r="G1738" t="str">
        <x:v>Apparel</x:v>
      </x:c>
      <x:c r="H1738" t="n">
        <x:v>2</x:v>
      </x:c>
      <x:c r="I1738" s="26" t="n">
        <x:v>1972.8000000000002</x:v>
      </x:c>
      <x:c r="J1738" s="26" t="n">
        <x:v>3201</x:v>
      </x:c>
      <x:c r="K1738" s="28" t="n">
        <x:v>0.1203</x:v>
      </x:c>
      <x:c r="L1738" s="26" t="n">
        <x:v>385.08</x:v>
      </x:c>
      <x:c r="M1738" t="n">
        <x:v>0</x:v>
      </x:c>
      <x:c r="N1738" s="26" t="n">
        <x:v>0</x:v>
      </x:c>
      <x:c r="O1738" s="26" t="n">
        <x:v>59.22</x:v>
      </x:c>
      <x:c r="P1738" s="26" t="n">
        <x:v>14.4</x:v>
      </x:c>
      <x:c r="Q1738" s="26" t="n">
        <x:v>27.21</x:v>
      </x:c>
      <x:c r="R1738" s="26" t="n">
        <x:v>33.61</x:v>
      </x:c>
      <x:c r="S1738" s="26" t="n">
        <x:v>250.64</x:v>
      </x:c>
    </x:row>
    <x:row r="1739">
      <x:c r="A1739" t="n">
        <x:v>501736</x:v>
      </x:c>
      <x:c r="B1739" s="24" t="n">
        <x:v>45975</x:v>
      </x:c>
      <x:c r="C1739" t="n">
        <x:v>1065</x:v>
      </x:c>
      <x:c r="D1739" t="str">
        <x:v>Seller 1065</x:v>
      </x:c>
      <x:c r="E1739" t="str">
        <x:v>Bronze</x:v>
      </x:c>
      <x:c r="F1739" t="str">
        <x:v>South</x:v>
      </x:c>
      <x:c r="G1739" t="str">
        <x:v>Home &amp; Kitchen</x:v>
      </x:c>
      <x:c r="H1739" t="n">
        <x:v>2</x:v>
      </x:c>
      <x:c r="I1739" s="26" t="n">
        <x:v>2621.3999999999996</x:v>
      </x:c>
      <x:c r="J1739" s="26" t="n">
        <x:v>4252.8</x:v>
      </x:c>
      <x:c r="K1739" s="28" t="n">
        <x:v>0.1427</x:v>
      </x:c>
      <x:c r="L1739" s="26" t="n">
        <x:v>606.87</x:v>
      </x:c>
      <x:c r="M1739" t="n">
        <x:v>0</x:v>
      </x:c>
      <x:c r="N1739" s="26" t="n">
        <x:v>0</x:v>
      </x:c>
      <x:c r="O1739" s="26" t="n">
        <x:v>78.68</x:v>
      </x:c>
      <x:c r="P1739" s="26" t="n">
        <x:v>19.14</x:v>
      </x:c>
      <x:c r="Q1739" s="26" t="n">
        <x:v>36.15</x:v>
      </x:c>
      <x:c r="R1739" s="26" t="n">
        <x:v>44.65</x:v>
      </x:c>
      <x:c r="S1739" s="26" t="n">
        <x:v>428.26</x:v>
      </x:c>
    </x:row>
    <x:row r="1740">
      <x:c r="A1740" t="n">
        <x:v>501737</x:v>
      </x:c>
      <x:c r="B1740" s="24" t="n">
        <x:v>45959</x:v>
      </x:c>
      <x:c r="C1740" t="n">
        <x:v>1048</x:v>
      </x:c>
      <x:c r="D1740" t="str">
        <x:v>Seller 1048</x:v>
      </x:c>
      <x:c r="E1740" t="str">
        <x:v>Silver</x:v>
      </x:c>
      <x:c r="F1740" t="str">
        <x:v>East</x:v>
      </x:c>
      <x:c r="G1740" t="str">
        <x:v>Electronics</x:v>
      </x:c>
      <x:c r="H1740" t="n">
        <x:v>1</x:v>
      </x:c>
      <x:c r="I1740" s="26" t="n">
        <x:v>8956.2</x:v>
      </x:c>
      <x:c r="J1740" s="26" t="n">
        <x:v>10312.8</x:v>
      </x:c>
      <x:c r="K1740" s="28" t="n">
        <x:v>0.1348</x:v>
      </x:c>
      <x:c r="L1740" s="26" t="n">
        <x:v>1390.17</x:v>
      </x:c>
      <x:c r="M1740" t="n">
        <x:v>0</x:v>
      </x:c>
      <x:c r="N1740" s="26" t="n">
        <x:v>0</x:v>
      </x:c>
      <x:c r="O1740" s="26" t="n">
        <x:v>190.79</x:v>
      </x:c>
      <x:c r="P1740" s="26" t="n">
        <x:v>46.41</x:v>
      </x:c>
      <x:c r="Q1740" s="26" t="n">
        <x:v>87.66</x:v>
      </x:c>
      <x:c r="R1740" s="26" t="n">
        <x:v>108.28</x:v>
      </x:c>
      <x:c r="S1740" s="26" t="n">
        <x:v>957.03</x:v>
      </x:c>
    </x:row>
    <x:row r="1741">
      <x:c r="A1741" t="n">
        <x:v>501738</x:v>
      </x:c>
      <x:c r="B1741" s="24" t="n">
        <x:v>45958</x:v>
      </x:c>
      <x:c r="C1741" t="n">
        <x:v>1030</x:v>
      </x:c>
      <x:c r="D1741" t="str">
        <x:v>Seller 1030</x:v>
      </x:c>
      <x:c r="E1741" t="str">
        <x:v>Gold</x:v>
      </x:c>
      <x:c r="F1741" t="str">
        <x:v>South</x:v>
      </x:c>
      <x:c r="G1741" t="str">
        <x:v>Pet Supplies</x:v>
      </x:c>
      <x:c r="H1741" t="n">
        <x:v>2</x:v>
      </x:c>
      <x:c r="I1741" s="26" t="n">
        <x:v>1952.9999999999998</x:v>
      </x:c>
      <x:c r="J1741" s="26" t="n">
        <x:v>5877.6</x:v>
      </x:c>
      <x:c r="K1741" s="28" t="n">
        <x:v>0.1354</x:v>
      </x:c>
      <x:c r="L1741" s="26" t="n">
        <x:v>795.83</x:v>
      </x:c>
      <x:c r="M1741" t="n">
        <x:v>0</x:v>
      </x:c>
      <x:c r="N1741" s="26" t="n">
        <x:v>0</x:v>
      </x:c>
      <x:c r="O1741" s="26" t="n">
        <x:v>108.74</x:v>
      </x:c>
      <x:c r="P1741" s="26" t="n">
        <x:v>26.45</x:v>
      </x:c>
      <x:c r="Q1741" s="26" t="n">
        <x:v>49.96</x:v>
      </x:c>
      <x:c r="R1741" s="26" t="n">
        <x:v>61.71</x:v>
      </x:c>
      <x:c r="S1741" s="26" t="n">
        <x:v>548.97</x:v>
      </x:c>
    </x:row>
    <x:row r="1742">
      <x:c r="A1742" t="n">
        <x:v>501739</x:v>
      </x:c>
      <x:c r="B1742" s="24" t="n">
        <x:v>45965</x:v>
      </x:c>
      <x:c r="C1742" t="n">
        <x:v>1015</x:v>
      </x:c>
      <x:c r="D1742" t="str">
        <x:v>Seller 1015</x:v>
      </x:c>
      <x:c r="E1742" t="str">
        <x:v>Gold</x:v>
      </x:c>
      <x:c r="F1742" t="str">
        <x:v>West</x:v>
      </x:c>
      <x:c r="G1742" t="str">
        <x:v>Pet Supplies</x:v>
      </x:c>
      <x:c r="H1742" t="n">
        <x:v>2</x:v>
      </x:c>
      <x:c r="I1742" s="26" t="n">
        <x:v>1865.4</x:v>
      </x:c>
      <x:c r="J1742" s="26" t="n">
        <x:v>5614.2</x:v>
      </x:c>
      <x:c r="K1742" s="28" t="n">
        <x:v>0.1333</x:v>
      </x:c>
      <x:c r="L1742" s="26" t="n">
        <x:v>748.37</x:v>
      </x:c>
      <x:c r="M1742" t="n">
        <x:v>0</x:v>
      </x:c>
      <x:c r="N1742" s="26" t="n">
        <x:v>0</x:v>
      </x:c>
      <x:c r="O1742" s="26" t="n">
        <x:v>103.86</x:v>
      </x:c>
      <x:c r="P1742" s="26" t="n">
        <x:v>25.26</x:v>
      </x:c>
      <x:c r="Q1742" s="26" t="n">
        <x:v>47.72</x:v>
      </x:c>
      <x:c r="R1742" s="26" t="n">
        <x:v>58.95</x:v>
      </x:c>
      <x:c r="S1742" s="26" t="n">
        <x:v>512.58</x:v>
      </x:c>
    </x:row>
    <x:row r="1743">
      <x:c r="A1743" t="n">
        <x:v>501740</x:v>
      </x:c>
      <x:c r="B1743" s="24" t="n">
        <x:v>45978</x:v>
      </x:c>
      <x:c r="C1743" t="n">
        <x:v>1062</x:v>
      </x:c>
      <x:c r="D1743" t="str">
        <x:v>Seller 1062</x:v>
      </x:c>
      <x:c r="E1743" t="str">
        <x:v>Bronze</x:v>
      </x:c>
      <x:c r="F1743" t="str">
        <x:v>West</x:v>
      </x:c>
      <x:c r="G1743" t="str">
        <x:v>Home &amp; Kitchen</x:v>
      </x:c>
      <x:c r="H1743" t="n">
        <x:v>2</x:v>
      </x:c>
      <x:c r="I1743" s="26" t="n">
        <x:v>2074.7999999999997</x:v>
      </x:c>
      <x:c r="J1743" s="26" t="n">
        <x:v>3366.6</x:v>
      </x:c>
      <x:c r="K1743" s="28" t="n">
        <x:v>0.1341</x:v>
      </x:c>
      <x:c r="L1743" s="26" t="n">
        <x:v>451.46</x:v>
      </x:c>
      <x:c r="M1743" t="n">
        <x:v>0</x:v>
      </x:c>
      <x:c r="N1743" s="26" t="n">
        <x:v>0</x:v>
      </x:c>
      <x:c r="O1743" s="26" t="n">
        <x:v>62.28</x:v>
      </x:c>
      <x:c r="P1743" s="26" t="n">
        <x:v>15.15</x:v>
      </x:c>
      <x:c r="Q1743" s="26" t="n">
        <x:v>28.62</x:v>
      </x:c>
      <x:c r="R1743" s="26" t="n">
        <x:v>35.35</x:v>
      </x:c>
      <x:c r="S1743" s="26" t="n">
        <x:v>310.06</x:v>
      </x:c>
    </x:row>
    <x:row r="1744">
      <x:c r="A1744" t="n">
        <x:v>501741</x:v>
      </x:c>
      <x:c r="B1744" s="24" t="n">
        <x:v>45960</x:v>
      </x:c>
      <x:c r="C1744" t="n">
        <x:v>1070</x:v>
      </x:c>
      <x:c r="D1744" t="str">
        <x:v>Seller 1070</x:v>
      </x:c>
      <x:c r="E1744" t="str">
        <x:v>Bronze</x:v>
      </x:c>
      <x:c r="F1744" t="str">
        <x:v>West</x:v>
      </x:c>
      <x:c r="G1744" t="str">
        <x:v>Electronics</x:v>
      </x:c>
      <x:c r="H1744" t="n">
        <x:v>2</x:v>
      </x:c>
      <x:c r="I1744" s="26" t="n">
        <x:v>4638</x:v>
      </x:c>
      <x:c r="J1744" s="26" t="n">
        <x:v>7525.2</x:v>
      </x:c>
      <x:c r="K1744" s="28" t="n">
        <x:v>0.1312</x:v>
      </x:c>
      <x:c r="L1744" s="26" t="n">
        <x:v>987.31</x:v>
      </x:c>
      <x:c r="M1744" t="n">
        <x:v>1</x:v>
      </x:c>
      <x:c r="N1744" s="26" t="n">
        <x:v>5877.6</x:v>
      </x:c>
      <x:c r="O1744" s="26" t="n">
        <x:v>139.22</x:v>
      </x:c>
      <x:c r="P1744" s="26" t="n">
        <x:v>33.86</x:v>
      </x:c>
      <x:c r="Q1744" s="26" t="n">
        <x:v>63.96</x:v>
      </x:c>
      <x:c r="R1744" s="26" t="n">
        <x:v>79.01</x:v>
      </x:c>
      <x:c r="S1744" s="26" t="n">
        <x:v>553.7</x:v>
      </x:c>
    </x:row>
    <x:row r="1745">
      <x:c r="A1745" t="n">
        <x:v>501742</x:v>
      </x:c>
      <x:c r="B1745" s="24" t="n">
        <x:v>45971</x:v>
      </x:c>
      <x:c r="C1745" t="n">
        <x:v>1073</x:v>
      </x:c>
      <x:c r="D1745" t="str">
        <x:v>Seller 1073</x:v>
      </x:c>
      <x:c r="E1745" t="str">
        <x:v>Bronze</x:v>
      </x:c>
      <x:c r="F1745" t="str">
        <x:v>Central</x:v>
      </x:c>
      <x:c r="G1745" t="str">
        <x:v>Electronics</x:v>
      </x:c>
      <x:c r="H1745" t="n">
        <x:v>1</x:v>
      </x:c>
      <x:c r="I1745" s="26" t="n">
        <x:v>8185.199999999999</x:v>
      </x:c>
      <x:c r="J1745" s="26" t="n">
        <x:v>6640.8</x:v>
      </x:c>
      <x:c r="K1745" s="28" t="n">
        <x:v>0.134</x:v>
      </x:c>
      <x:c r="L1745" s="26" t="n">
        <x:v>889.87</x:v>
      </x:c>
      <x:c r="M1745" t="n">
        <x:v>0</x:v>
      </x:c>
      <x:c r="N1745" s="26" t="n">
        <x:v>0</x:v>
      </x:c>
      <x:c r="O1745" s="26" t="n">
        <x:v>122.85</x:v>
      </x:c>
      <x:c r="P1745" s="26" t="n">
        <x:v>29.88</x:v>
      </x:c>
      <x:c r="Q1745" s="26" t="n">
        <x:v>56.45</x:v>
      </x:c>
      <x:c r="R1745" s="26" t="n">
        <x:v>69.73</x:v>
      </x:c>
      <x:c r="S1745" s="26" t="n">
        <x:v>610.95</x:v>
      </x:c>
    </x:row>
    <x:row r="1746">
      <x:c r="A1746" t="n">
        <x:v>501743</x:v>
      </x:c>
      <x:c r="B1746" s="24" t="n">
        <x:v>45970</x:v>
      </x:c>
      <x:c r="C1746" t="n">
        <x:v>1008</x:v>
      </x:c>
      <x:c r="D1746" t="str">
        <x:v>Seller 1008</x:v>
      </x:c>
      <x:c r="E1746" t="str">
        <x:v>Platinum</x:v>
      </x:c>
      <x:c r="F1746" t="str">
        <x:v>West</x:v>
      </x:c>
      <x:c r="G1746" t="str">
        <x:v>Electronics</x:v>
      </x:c>
      <x:c r="H1746" t="n">
        <x:v>3</x:v>
      </x:c>
      <x:c r="I1746" s="26" t="n">
        <x:v>2019.6</x:v>
      </x:c>
      <x:c r="J1746" s="26" t="n">
        <x:v>12289.2</x:v>
      </x:c>
      <x:c r="K1746" s="28" t="n">
        <x:v>0.1197</x:v>
      </x:c>
      <x:c r="L1746" s="26" t="n">
        <x:v>1471.02</x:v>
      </x:c>
      <x:c r="M1746" t="n">
        <x:v>0</x:v>
      </x:c>
      <x:c r="N1746" s="26" t="n">
        <x:v>0</x:v>
      </x:c>
      <x:c r="O1746" s="26" t="n">
        <x:v>227.35</x:v>
      </x:c>
      <x:c r="P1746" s="26" t="n">
        <x:v>55.3</x:v>
      </x:c>
      <x:c r="Q1746" s="26" t="n">
        <x:v>104.46</x:v>
      </x:c>
      <x:c r="R1746" s="26" t="n">
        <x:v>129.04</x:v>
      </x:c>
      <x:c r="S1746" s="26" t="n">
        <x:v>954.87</x:v>
      </x:c>
    </x:row>
    <x:row r="1747">
      <x:c r="A1747" t="n">
        <x:v>501744</x:v>
      </x:c>
      <x:c r="B1747" s="24" t="n">
        <x:v>45986</x:v>
      </x:c>
      <x:c r="C1747" t="n">
        <x:v>1058</x:v>
      </x:c>
      <x:c r="D1747" t="str">
        <x:v>Seller 1058</x:v>
      </x:c>
      <x:c r="E1747" t="str">
        <x:v>Bronze</x:v>
      </x:c>
      <x:c r="F1747" t="str">
        <x:v>East</x:v>
      </x:c>
      <x:c r="G1747" t="str">
        <x:v>Beauty</x:v>
      </x:c>
      <x:c r="H1747" t="n">
        <x:v>3</x:v>
      </x:c>
      <x:c r="I1747" s="26" t="n">
        <x:v>619.8</x:v>
      </x:c>
      <x:c r="J1747" s="26" t="n">
        <x:v>1507.8</x:v>
      </x:c>
      <x:c r="K1747" s="28" t="n">
        <x:v>0.1421</x:v>
      </x:c>
      <x:c r="L1747" s="26" t="n">
        <x:v>214.26</x:v>
      </x:c>
      <x:c r="M1747" t="n">
        <x:v>0</x:v>
      </x:c>
      <x:c r="N1747" s="26" t="n">
        <x:v>0</x:v>
      </x:c>
      <x:c r="O1747" s="26" t="n">
        <x:v>27.89</x:v>
      </x:c>
      <x:c r="P1747" s="26" t="n">
        <x:v>6.79</x:v>
      </x:c>
      <x:c r="Q1747" s="26" t="n">
        <x:v>12.82</x:v>
      </x:c>
      <x:c r="R1747" s="26" t="n">
        <x:v>15.83</x:v>
      </x:c>
      <x:c r="S1747" s="26" t="n">
        <x:v>150.93</x:v>
      </x:c>
    </x:row>
    <x:row r="1748">
      <x:c r="A1748" t="n">
        <x:v>501745</x:v>
      </x:c>
      <x:c r="B1748" s="24" t="n">
        <x:v>45971</x:v>
      </x:c>
      <x:c r="C1748" t="n">
        <x:v>1053</x:v>
      </x:c>
      <x:c r="D1748" t="str">
        <x:v>Seller 1053</x:v>
      </x:c>
      <x:c r="E1748" t="str">
        <x:v>Silver</x:v>
      </x:c>
      <x:c r="F1748" t="str">
        <x:v>Central</x:v>
      </x:c>
      <x:c r="G1748" t="str">
        <x:v>Beauty</x:v>
      </x:c>
      <x:c r="H1748" t="n">
        <x:v>2</x:v>
      </x:c>
      <x:c r="I1748" s="26" t="n">
        <x:v>1196.4</x:v>
      </x:c>
      <x:c r="J1748" s="26" t="n">
        <x:v>2755.8</x:v>
      </x:c>
      <x:c r="K1748" s="28" t="n">
        <x:v>0.1534</x:v>
      </x:c>
      <x:c r="L1748" s="26" t="n">
        <x:v>422.74</x:v>
      </x:c>
      <x:c r="M1748" t="n">
        <x:v>0</x:v>
      </x:c>
      <x:c r="N1748" s="26" t="n">
        <x:v>0</x:v>
      </x:c>
      <x:c r="O1748" s="26" t="n">
        <x:v>50.98</x:v>
      </x:c>
      <x:c r="P1748" s="26" t="n">
        <x:v>12.4</x:v>
      </x:c>
      <x:c r="Q1748" s="26" t="n">
        <x:v>23.42</x:v>
      </x:c>
      <x:c r="R1748" s="26" t="n">
        <x:v>28.94</x:v>
      </x:c>
      <x:c r="S1748" s="26" t="n">
        <x:v>307</x:v>
      </x:c>
    </x:row>
    <x:row r="1749">
      <x:c r="A1749" t="n">
        <x:v>501746</x:v>
      </x:c>
      <x:c r="B1749" s="24" t="n">
        <x:v>45969</x:v>
      </x:c>
      <x:c r="C1749" t="n">
        <x:v>1077</x:v>
      </x:c>
      <x:c r="D1749" t="str">
        <x:v>Seller 1077</x:v>
      </x:c>
      <x:c r="E1749" t="str">
        <x:v>Bronze</x:v>
      </x:c>
      <x:c r="F1749" t="str">
        <x:v>South</x:v>
      </x:c>
      <x:c r="G1749" t="str">
        <x:v>Home &amp; Kitchen</x:v>
      </x:c>
      <x:c r="H1749" t="n">
        <x:v>2</x:v>
      </x:c>
      <x:c r="I1749" s="26" t="n">
        <x:v>2527.2</x:v>
      </x:c>
      <x:c r="J1749" s="26" t="n">
        <x:v>4100.4</x:v>
      </x:c>
      <x:c r="K1749" s="28" t="n">
        <x:v>0.1504</x:v>
      </x:c>
      <x:c r="L1749" s="26" t="n">
        <x:v>616.7</x:v>
      </x:c>
      <x:c r="M1749" t="n">
        <x:v>0</x:v>
      </x:c>
      <x:c r="N1749" s="26" t="n">
        <x:v>0</x:v>
      </x:c>
      <x:c r="O1749" s="26" t="n">
        <x:v>75.86</x:v>
      </x:c>
      <x:c r="P1749" s="26" t="n">
        <x:v>18.45</x:v>
      </x:c>
      <x:c r="Q1749" s="26" t="n">
        <x:v>34.85</x:v>
      </x:c>
      <x:c r="R1749" s="26" t="n">
        <x:v>43.05</x:v>
      </x:c>
      <x:c r="S1749" s="26" t="n">
        <x:v>444.48</x:v>
      </x:c>
    </x:row>
    <x:row r="1750">
      <x:c r="A1750" t="n">
        <x:v>501747</x:v>
      </x:c>
      <x:c r="B1750" s="24" t="n">
        <x:v>45968</x:v>
      </x:c>
      <x:c r="C1750" t="n">
        <x:v>1036</x:v>
      </x:c>
      <x:c r="D1750" t="str">
        <x:v>Seller 1036</x:v>
      </x:c>
      <x:c r="E1750" t="str">
        <x:v>Silver</x:v>
      </x:c>
      <x:c r="F1750" t="str">
        <x:v>Central</x:v>
      </x:c>
      <x:c r="G1750" t="str">
        <x:v>Pet Supplies</x:v>
      </x:c>
      <x:c r="H1750" t="n">
        <x:v>1</x:v>
      </x:c>
      <x:c r="I1750" s="26" t="n">
        <x:v>3220.2000000000003</x:v>
      </x:c>
      <x:c r="J1750" s="26" t="n">
        <x:v>3708</x:v>
      </x:c>
      <x:c r="K1750" s="28" t="n">
        <x:v>0.148</x:v>
      </x:c>
      <x:c r="L1750" s="26" t="n">
        <x:v>548.78</x:v>
      </x:c>
      <x:c r="M1750" t="n">
        <x:v>0</x:v>
      </x:c>
      <x:c r="N1750" s="26" t="n">
        <x:v>0</x:v>
      </x:c>
      <x:c r="O1750" s="26" t="n">
        <x:v>68.6</x:v>
      </x:c>
      <x:c r="P1750" s="26" t="n">
        <x:v>16.69</x:v>
      </x:c>
      <x:c r="Q1750" s="26" t="n">
        <x:v>31.52</x:v>
      </x:c>
      <x:c r="R1750" s="26" t="n">
        <x:v>38.93</x:v>
      </x:c>
      <x:c r="S1750" s="26" t="n">
        <x:v>393.05</x:v>
      </x:c>
    </x:row>
    <x:row r="1751">
      <x:c r="A1751" t="n">
        <x:v>501748</x:v>
      </x:c>
      <x:c r="B1751" s="24" t="n">
        <x:v>45987</x:v>
      </x:c>
      <x:c r="C1751" t="n">
        <x:v>1040</x:v>
      </x:c>
      <x:c r="D1751" t="str">
        <x:v>Seller 1040</x:v>
      </x:c>
      <x:c r="E1751" t="str">
        <x:v>Silver</x:v>
      </x:c>
      <x:c r="F1751" t="str">
        <x:v>West</x:v>
      </x:c>
      <x:c r="G1751" t="str">
        <x:v>Apparel</x:v>
      </x:c>
      <x:c r="H1751" t="n">
        <x:v>1</x:v>
      </x:c>
      <x:c r="I1751" s="26" t="n">
        <x:v>3818.4</x:v>
      </x:c>
      <x:c r="J1751" s="26" t="n">
        <x:v>4396.8</x:v>
      </x:c>
      <x:c r="K1751" s="28" t="n">
        <x:v>0.1349</x:v>
      </x:c>
      <x:c r="L1751" s="26" t="n">
        <x:v>593.13</x:v>
      </x:c>
      <x:c r="M1751" t="n">
        <x:v>0</x:v>
      </x:c>
      <x:c r="N1751" s="26" t="n">
        <x:v>0</x:v>
      </x:c>
      <x:c r="O1751" s="26" t="n">
        <x:v>81.34</x:v>
      </x:c>
      <x:c r="P1751" s="26" t="n">
        <x:v>19.79</x:v>
      </x:c>
      <x:c r="Q1751" s="26" t="n">
        <x:v>37.37</x:v>
      </x:c>
      <x:c r="R1751" s="26" t="n">
        <x:v>46.17</x:v>
      </x:c>
      <x:c r="S1751" s="26" t="n">
        <x:v>408.46</x:v>
      </x:c>
    </x:row>
    <x:row r="1752">
      <x:c r="A1752" t="n">
        <x:v>501749</x:v>
      </x:c>
      <x:c r="B1752" s="24" t="n">
        <x:v>45975</x:v>
      </x:c>
      <x:c r="C1752" t="n">
        <x:v>1078</x:v>
      </x:c>
      <x:c r="D1752" t="str">
        <x:v>Seller 1078</x:v>
      </x:c>
      <x:c r="E1752" t="str">
        <x:v>Bronze</x:v>
      </x:c>
      <x:c r="F1752" t="str">
        <x:v>East</x:v>
      </x:c>
      <x:c r="G1752" t="str">
        <x:v>Home &amp; Kitchen</x:v>
      </x:c>
      <x:c r="H1752" t="n">
        <x:v>2</x:v>
      </x:c>
      <x:c r="I1752" s="26" t="n">
        <x:v>2251.8</x:v>
      </x:c>
      <x:c r="J1752" s="26" t="n">
        <x:v>3653.4</x:v>
      </x:c>
      <x:c r="K1752" s="28" t="n">
        <x:v>0.1371</x:v>
      </x:c>
      <x:c r="L1752" s="26" t="n">
        <x:v>500.88</x:v>
      </x:c>
      <x:c r="M1752" t="n">
        <x:v>0</x:v>
      </x:c>
      <x:c r="N1752" s="26" t="n">
        <x:v>0</x:v>
      </x:c>
      <x:c r="O1752" s="26" t="n">
        <x:v>67.59</x:v>
      </x:c>
      <x:c r="P1752" s="26" t="n">
        <x:v>16.44</x:v>
      </x:c>
      <x:c r="Q1752" s="26" t="n">
        <x:v>31.05</x:v>
      </x:c>
      <x:c r="R1752" s="26" t="n">
        <x:v>38.36</x:v>
      </x:c>
      <x:c r="S1752" s="26" t="n">
        <x:v>347.44</x:v>
      </x:c>
    </x:row>
    <x:row r="1753">
      <x:c r="A1753" t="n">
        <x:v>501750</x:v>
      </x:c>
      <x:c r="B1753" s="24" t="n">
        <x:v>45965</x:v>
      </x:c>
      <x:c r="C1753" t="n">
        <x:v>1067</x:v>
      </x:c>
      <x:c r="D1753" t="str">
        <x:v>Seller 1067</x:v>
      </x:c>
      <x:c r="E1753" t="str">
        <x:v>Bronze</x:v>
      </x:c>
      <x:c r="F1753" t="str">
        <x:v>South</x:v>
      </x:c>
      <x:c r="G1753" t="str">
        <x:v>Beauty</x:v>
      </x:c>
      <x:c r="H1753" t="n">
        <x:v>3</x:v>
      </x:c>
      <x:c r="I1753" s="26" t="n">
        <x:v>994.8</x:v>
      </x:c>
      <x:c r="J1753" s="26" t="n">
        <x:v>2420.4</x:v>
      </x:c>
      <x:c r="K1753" s="28" t="n">
        <x:v>0.1614</x:v>
      </x:c>
      <x:c r="L1753" s="26" t="n">
        <x:v>390.65</x:v>
      </x:c>
      <x:c r="M1753" t="n">
        <x:v>0</x:v>
      </x:c>
      <x:c r="N1753" s="26" t="n">
        <x:v>0</x:v>
      </x:c>
      <x:c r="O1753" s="26" t="n">
        <x:v>44.78</x:v>
      </x:c>
      <x:c r="P1753" s="26" t="n">
        <x:v>10.89</x:v>
      </x:c>
      <x:c r="Q1753" s="26" t="n">
        <x:v>20.57</x:v>
      </x:c>
      <x:c r="R1753" s="26" t="n">
        <x:v>25.41</x:v>
      </x:c>
      <x:c r="S1753" s="26" t="n">
        <x:v>289</x:v>
      </x:c>
    </x:row>
    <x:row r="1754">
      <x:c r="A1754" t="n">
        <x:v>501751</x:v>
      </x:c>
      <x:c r="B1754" s="24" t="n">
        <x:v>45974</x:v>
      </x:c>
      <x:c r="C1754" t="n">
        <x:v>1041</x:v>
      </x:c>
      <x:c r="D1754" t="str">
        <x:v>Seller 1041</x:v>
      </x:c>
      <x:c r="E1754" t="str">
        <x:v>Silver</x:v>
      </x:c>
      <x:c r="F1754" t="str">
        <x:v>West</x:v>
      </x:c>
      <x:c r="G1754" t="str">
        <x:v>Beauty</x:v>
      </x:c>
      <x:c r="H1754" t="n">
        <x:v>3</x:v>
      </x:c>
      <x:c r="I1754" s="26" t="n">
        <x:v>729.6</x:v>
      </x:c>
      <x:c r="J1754" s="26" t="n">
        <x:v>2521.2</x:v>
      </x:c>
      <x:c r="K1754" s="28" t="n">
        <x:v>0.1474</x:v>
      </x:c>
      <x:c r="L1754" s="26" t="n">
        <x:v>371.62</x:v>
      </x:c>
      <x:c r="M1754" t="n">
        <x:v>0</x:v>
      </x:c>
      <x:c r="N1754" s="26" t="n">
        <x:v>0</x:v>
      </x:c>
      <x:c r="O1754" s="26" t="n">
        <x:v>46.64</x:v>
      </x:c>
      <x:c r="P1754" s="26" t="n">
        <x:v>11.35</x:v>
      </x:c>
      <x:c r="Q1754" s="26" t="n">
        <x:v>21.43</x:v>
      </x:c>
      <x:c r="R1754" s="26" t="n">
        <x:v>26.47</x:v>
      </x:c>
      <x:c r="S1754" s="26" t="n">
        <x:v>265.73</x:v>
      </x:c>
    </x:row>
    <x:row r="1755">
      <x:c r="A1755" t="n">
        <x:v>501752</x:v>
      </x:c>
      <x:c r="B1755" s="24" t="n">
        <x:v>45983</x:v>
      </x:c>
      <x:c r="C1755" t="n">
        <x:v>1053</x:v>
      </x:c>
      <x:c r="D1755" t="str">
        <x:v>Seller 1053</x:v>
      </x:c>
      <x:c r="E1755" t="str">
        <x:v>Silver</x:v>
      </x:c>
      <x:c r="F1755" t="str">
        <x:v>Central</x:v>
      </x:c>
      <x:c r="G1755" t="str">
        <x:v>Beauty</x:v>
      </x:c>
      <x:c r="H1755" t="n">
        <x:v>1</x:v>
      </x:c>
      <x:c r="I1755" s="26" t="n">
        <x:v>2458.7999999999997</x:v>
      </x:c>
      <x:c r="J1755" s="26" t="n">
        <x:v>2831.4</x:v>
      </x:c>
      <x:c r="K1755" s="28" t="n">
        <x:v>0.1435</x:v>
      </x:c>
      <x:c r="L1755" s="26" t="n">
        <x:v>406.31</x:v>
      </x:c>
      <x:c r="M1755" t="n">
        <x:v>0</x:v>
      </x:c>
      <x:c r="N1755" s="26" t="n">
        <x:v>0</x:v>
      </x:c>
      <x:c r="O1755" s="26" t="n">
        <x:v>52.38</x:v>
      </x:c>
      <x:c r="P1755" s="26" t="n">
        <x:v>12.74</x:v>
      </x:c>
      <x:c r="Q1755" s="26" t="n">
        <x:v>24.07</x:v>
      </x:c>
      <x:c r="R1755" s="26" t="n">
        <x:v>29.73</x:v>
      </x:c>
      <x:c r="S1755" s="26" t="n">
        <x:v>287.39</x:v>
      </x:c>
    </x:row>
    <x:row r="1756">
      <x:c r="A1756" t="n">
        <x:v>501753</x:v>
      </x:c>
      <x:c r="B1756" s="24" t="n">
        <x:v>45974</x:v>
      </x:c>
      <x:c r="C1756" t="n">
        <x:v>1038</x:v>
      </x:c>
      <x:c r="D1756" t="str">
        <x:v>Seller 1038</x:v>
      </x:c>
      <x:c r="E1756" t="str">
        <x:v>Silver</x:v>
      </x:c>
      <x:c r="F1756" t="str">
        <x:v>South</x:v>
      </x:c>
      <x:c r="G1756" t="str">
        <x:v>Sports</x:v>
      </x:c>
      <x:c r="H1756" t="n">
        <x:v>2</x:v>
      </x:c>
      <x:c r="I1756" s="26" t="n">
        <x:v>1749.6</x:v>
      </x:c>
      <x:c r="J1756" s="26" t="n">
        <x:v>4029.6</x:v>
      </x:c>
      <x:c r="K1756" s="28" t="n">
        <x:v>0.1353</x:v>
      </x:c>
      <x:c r="L1756" s="26" t="n">
        <x:v>545.2</x:v>
      </x:c>
      <x:c r="M1756" t="n">
        <x:v>0</x:v>
      </x:c>
      <x:c r="N1756" s="26" t="n">
        <x:v>0</x:v>
      </x:c>
      <x:c r="O1756" s="26" t="n">
        <x:v>74.55</x:v>
      </x:c>
      <x:c r="P1756" s="26" t="n">
        <x:v>18.13</x:v>
      </x:c>
      <x:c r="Q1756" s="26" t="n">
        <x:v>34.25</x:v>
      </x:c>
      <x:c r="R1756" s="26" t="n">
        <x:v>42.31</x:v>
      </x:c>
      <x:c r="S1756" s="26" t="n">
        <x:v>375.96</x:v>
      </x:c>
    </x:row>
    <x:row r="1757">
      <x:c r="A1757" t="n">
        <x:v>501754</x:v>
      </x:c>
      <x:c r="B1757" s="24" t="n">
        <x:v>45968</x:v>
      </x:c>
      <x:c r="C1757" t="n">
        <x:v>1023</x:v>
      </x:c>
      <x:c r="D1757" t="str">
        <x:v>Seller 1023</x:v>
      </x:c>
      <x:c r="E1757" t="str">
        <x:v>Gold</x:v>
      </x:c>
      <x:c r="F1757" t="str">
        <x:v>Central</x:v>
      </x:c>
      <x:c r="G1757" t="str">
        <x:v>Home &amp; Kitchen</x:v>
      </x:c>
      <x:c r="H1757" t="n">
        <x:v>2</x:v>
      </x:c>
      <x:c r="I1757" s="26" t="n">
        <x:v>2137.8</x:v>
      </x:c>
      <x:c r="J1757" s="26" t="n">
        <x:v>6434.4</x:v>
      </x:c>
      <x:c r="K1757" s="28" t="n">
        <x:v>0.1349</x:v>
      </x:c>
      <x:c r="L1757" s="26" t="n">
        <x:v>868</x:v>
      </x:c>
      <x:c r="M1757" t="n">
        <x:v>0</x:v>
      </x:c>
      <x:c r="N1757" s="26" t="n">
        <x:v>0</x:v>
      </x:c>
      <x:c r="O1757" s="26" t="n">
        <x:v>119.04</x:v>
      </x:c>
      <x:c r="P1757" s="26" t="n">
        <x:v>28.95</x:v>
      </x:c>
      <x:c r="Q1757" s="26" t="n">
        <x:v>54.69</x:v>
      </x:c>
      <x:c r="R1757" s="26" t="n">
        <x:v>67.56</x:v>
      </x:c>
      <x:c r="S1757" s="26" t="n">
        <x:v>597.76</x:v>
      </x:c>
    </x:row>
    <x:row r="1758">
      <x:c r="A1758" t="n">
        <x:v>501755</x:v>
      </x:c>
      <x:c r="B1758" s="24" t="n">
        <x:v>45968</x:v>
      </x:c>
      <x:c r="C1758" t="n">
        <x:v>1024</x:v>
      </x:c>
      <x:c r="D1758" t="str">
        <x:v>Seller 1024</x:v>
      </x:c>
      <x:c r="E1758" t="str">
        <x:v>Gold</x:v>
      </x:c>
      <x:c r="F1758" t="str">
        <x:v>West</x:v>
      </x:c>
      <x:c r="G1758" t="str">
        <x:v>Apparel</x:v>
      </x:c>
      <x:c r="H1758" t="n">
        <x:v>1</x:v>
      </x:c>
      <x:c r="I1758" s="26" t="n">
        <x:v>4056.6</x:v>
      </x:c>
      <x:c r="J1758" s="26" t="n">
        <x:v>6104.4</x:v>
      </x:c>
      <x:c r="K1758" s="28" t="n">
        <x:v>0.1312</x:v>
      </x:c>
      <x:c r="L1758" s="26" t="n">
        <x:v>800.9</x:v>
      </x:c>
      <x:c r="M1758" t="n">
        <x:v>0</x:v>
      </x:c>
      <x:c r="N1758" s="26" t="n">
        <x:v>0</x:v>
      </x:c>
      <x:c r="O1758" s="26" t="n">
        <x:v>112.93</x:v>
      </x:c>
      <x:c r="P1758" s="26" t="n">
        <x:v>27.47</x:v>
      </x:c>
      <x:c r="Q1758" s="26" t="n">
        <x:v>51.89</x:v>
      </x:c>
      <x:c r="R1758" s="26" t="n">
        <x:v>64.1</x:v>
      </x:c>
      <x:c r="S1758" s="26" t="n">
        <x:v>544.51</x:v>
      </x:c>
    </x:row>
    <x:row r="1759">
      <x:c r="A1759" t="n">
        <x:v>501756</x:v>
      </x:c>
      <x:c r="B1759" s="24" t="n">
        <x:v>45960</x:v>
      </x:c>
      <x:c r="C1759" t="n">
        <x:v>1019</x:v>
      </x:c>
      <x:c r="D1759" t="str">
        <x:v>Seller 1019</x:v>
      </x:c>
      <x:c r="E1759" t="str">
        <x:v>Gold</x:v>
      </x:c>
      <x:c r="F1759" t="str">
        <x:v>East</x:v>
      </x:c>
      <x:c r="G1759" t="str">
        <x:v>Apparel</x:v>
      </x:c>
      <x:c r="H1759" t="n">
        <x:v>3</x:v>
      </x:c>
      <x:c r="I1759" s="26" t="n">
        <x:v>1349.3999999999999</x:v>
      </x:c>
      <x:c r="J1759" s="26" t="n">
        <x:v>6091.2</x:v>
      </x:c>
      <x:c r="K1759" s="28" t="n">
        <x:v>0.123</x:v>
      </x:c>
      <x:c r="L1759" s="26" t="n">
        <x:v>749.22</x:v>
      </x:c>
      <x:c r="M1759" t="n">
        <x:v>0</x:v>
      </x:c>
      <x:c r="N1759" s="26" t="n">
        <x:v>0</x:v>
      </x:c>
      <x:c r="O1759" s="26" t="n">
        <x:v>112.69</x:v>
      </x:c>
      <x:c r="P1759" s="26" t="n">
        <x:v>27.41</x:v>
      </x:c>
      <x:c r="Q1759" s="26" t="n">
        <x:v>51.78</x:v>
      </x:c>
      <x:c r="R1759" s="26" t="n">
        <x:v>63.96</x:v>
      </x:c>
      <x:c r="S1759" s="26" t="n">
        <x:v>493.39</x:v>
      </x:c>
    </x:row>
    <x:row r="1760">
      <x:c r="A1760" t="n">
        <x:v>501757</x:v>
      </x:c>
      <x:c r="B1760" s="24" t="n">
        <x:v>45976</x:v>
      </x:c>
      <x:c r="C1760" t="n">
        <x:v>1025</x:v>
      </x:c>
      <x:c r="D1760" t="str">
        <x:v>Seller 1025</x:v>
      </x:c>
      <x:c r="E1760" t="str">
        <x:v>Gold</x:v>
      </x:c>
      <x:c r="F1760" t="str">
        <x:v>Central</x:v>
      </x:c>
      <x:c r="G1760" t="str">
        <x:v>Beauty</x:v>
      </x:c>
      <x:c r="H1760" t="n">
        <x:v>3</x:v>
      </x:c>
      <x:c r="I1760" s="26" t="n">
        <x:v>778.2</x:v>
      </x:c>
      <x:c r="J1760" s="26" t="n">
        <x:v>3512.4</x:v>
      </x:c>
      <x:c r="K1760" s="28" t="n">
        <x:v>0.1628</x:v>
      </x:c>
      <x:c r="L1760" s="26" t="n">
        <x:v>571.82</x:v>
      </x:c>
      <x:c r="M1760" t="n">
        <x:v>0</x:v>
      </x:c>
      <x:c r="N1760" s="26" t="n">
        <x:v>0</x:v>
      </x:c>
      <x:c r="O1760" s="26" t="n">
        <x:v>64.98</x:v>
      </x:c>
      <x:c r="P1760" s="26" t="n">
        <x:v>15.81</x:v>
      </x:c>
      <x:c r="Q1760" s="26" t="n">
        <x:v>29.86</x:v>
      </x:c>
      <x:c r="R1760" s="26" t="n">
        <x:v>36.88</x:v>
      </x:c>
      <x:c r="S1760" s="26" t="n">
        <x:v>424.3</x:v>
      </x:c>
    </x:row>
    <x:row r="1761">
      <x:c r="A1761" t="n">
        <x:v>501758</x:v>
      </x:c>
      <x:c r="B1761" s="24" t="n">
        <x:v>45970</x:v>
      </x:c>
      <x:c r="C1761" t="n">
        <x:v>1054</x:v>
      </x:c>
      <x:c r="D1761" t="str">
        <x:v>Seller 1054</x:v>
      </x:c>
      <x:c r="E1761" t="str">
        <x:v>Silver</x:v>
      </x:c>
      <x:c r="F1761" t="str">
        <x:v>South</x:v>
      </x:c>
      <x:c r="G1761" t="str">
        <x:v>Home &amp; Kitchen</x:v>
      </x:c>
      <x:c r="H1761" t="n">
        <x:v>3</x:v>
      </x:c>
      <x:c r="I1761" s="26" t="n">
        <x:v>1771.2</x:v>
      </x:c>
      <x:c r="J1761" s="26" t="n">
        <x:v>6117.6</x:v>
      </x:c>
      <x:c r="K1761" s="28" t="n">
        <x:v>0.1526</x:v>
      </x:c>
      <x:c r="L1761" s="26" t="n">
        <x:v>933.55</x:v>
      </x:c>
      <x:c r="M1761" t="n">
        <x:v>0</x:v>
      </x:c>
      <x:c r="N1761" s="26" t="n">
        <x:v>0</x:v>
      </x:c>
      <x:c r="O1761" s="26" t="n">
        <x:v>113.18</x:v>
      </x:c>
      <x:c r="P1761" s="26" t="n">
        <x:v>27.53</x:v>
      </x:c>
      <x:c r="Q1761" s="26" t="n">
        <x:v>52</x:v>
      </x:c>
      <x:c r="R1761" s="26" t="n">
        <x:v>64.23</x:v>
      </x:c>
      <x:c r="S1761" s="26" t="n">
        <x:v>676.61</x:v>
      </x:c>
    </x:row>
    <x:row r="1762">
      <x:c r="A1762" t="n">
        <x:v>501759</x:v>
      </x:c>
      <x:c r="B1762" s="24" t="n">
        <x:v>45966</x:v>
      </x:c>
      <x:c r="C1762" t="n">
        <x:v>1041</x:v>
      </x:c>
      <x:c r="D1762" t="str">
        <x:v>Seller 1041</x:v>
      </x:c>
      <x:c r="E1762" t="str">
        <x:v>Silver</x:v>
      </x:c>
      <x:c r="F1762" t="str">
        <x:v>West</x:v>
      </x:c>
      <x:c r="G1762" t="str">
        <x:v>Apparel</x:v>
      </x:c>
      <x:c r="H1762" t="n">
        <x:v>2</x:v>
      </x:c>
      <x:c r="I1762" s="26" t="n">
        <x:v>2184</x:v>
      </x:c>
      <x:c r="J1762" s="26" t="n">
        <x:v>5029.8</x:v>
      </x:c>
      <x:c r="K1762" s="28" t="n">
        <x:v>0.1332</x:v>
      </x:c>
      <x:c r="L1762" s="26" t="n">
        <x:v>669.97</x:v>
      </x:c>
      <x:c r="M1762" t="n">
        <x:v>0</x:v>
      </x:c>
      <x:c r="N1762" s="26" t="n">
        <x:v>0</x:v>
      </x:c>
      <x:c r="O1762" s="26" t="n">
        <x:v>93.05</x:v>
      </x:c>
      <x:c r="P1762" s="26" t="n">
        <x:v>22.63</x:v>
      </x:c>
      <x:c r="Q1762" s="26" t="n">
        <x:v>42.75</x:v>
      </x:c>
      <x:c r="R1762" s="26" t="n">
        <x:v>52.81</x:v>
      </x:c>
      <x:c r="S1762" s="26" t="n">
        <x:v>458.72</x:v>
      </x:c>
    </x:row>
    <x:row r="1763">
      <x:c r="A1763" t="n">
        <x:v>501760</x:v>
      </x:c>
      <x:c r="B1763" s="24" t="n">
        <x:v>45986</x:v>
      </x:c>
      <x:c r="C1763" t="n">
        <x:v>1014</x:v>
      </x:c>
      <x:c r="D1763" t="str">
        <x:v>Seller 1014</x:v>
      </x:c>
      <x:c r="E1763" t="str">
        <x:v>Gold</x:v>
      </x:c>
      <x:c r="F1763" t="str">
        <x:v>East</x:v>
      </x:c>
      <x:c r="G1763" t="str">
        <x:v>Apparel</x:v>
      </x:c>
      <x:c r="H1763" t="n">
        <x:v>2</x:v>
      </x:c>
      <x:c r="I1763" s="26" t="n">
        <x:v>2454</x:v>
      </x:c>
      <x:c r="J1763" s="26" t="n">
        <x:v>7386</x:v>
      </x:c>
      <x:c r="K1763" s="28" t="n">
        <x:v>0.1362</x:v>
      </x:c>
      <x:c r="L1763" s="26" t="n">
        <x:v>1005.97</x:v>
      </x:c>
      <x:c r="M1763" t="n">
        <x:v>0</x:v>
      </x:c>
      <x:c r="N1763" s="26" t="n">
        <x:v>0</x:v>
      </x:c>
      <x:c r="O1763" s="26" t="n">
        <x:v>136.64</x:v>
      </x:c>
      <x:c r="P1763" s="26" t="n">
        <x:v>33.24</x:v>
      </x:c>
      <x:c r="Q1763" s="26" t="n">
        <x:v>62.78</x:v>
      </x:c>
      <x:c r="R1763" s="26" t="n">
        <x:v>77.55</x:v>
      </x:c>
      <x:c r="S1763" s="26" t="n">
        <x:v>695.76</x:v>
      </x:c>
    </x:row>
    <x:row r="1764">
      <x:c r="A1764" t="n">
        <x:v>501761</x:v>
      </x:c>
      <x:c r="B1764" s="24" t="n">
        <x:v>45965</x:v>
      </x:c>
      <x:c r="C1764" t="n">
        <x:v>1073</x:v>
      </x:c>
      <x:c r="D1764" t="str">
        <x:v>Seller 1073</x:v>
      </x:c>
      <x:c r="E1764" t="str">
        <x:v>Bronze</x:v>
      </x:c>
      <x:c r="F1764" t="str">
        <x:v>Central</x:v>
      </x:c>
      <x:c r="G1764" t="str">
        <x:v>Electronics</x:v>
      </x:c>
      <x:c r="H1764" t="n">
        <x:v>4</x:v>
      </x:c>
      <x:c r="I1764" s="26" t="n">
        <x:v>3405.6</x:v>
      </x:c>
      <x:c r="J1764" s="26" t="n">
        <x:v>11051.4</x:v>
      </x:c>
      <x:c r="K1764" s="28" t="n">
        <x:v>0.1363</x:v>
      </x:c>
      <x:c r="L1764" s="26" t="n">
        <x:v>1506.31</x:v>
      </x:c>
      <x:c r="M1764" t="n">
        <x:v>0</x:v>
      </x:c>
      <x:c r="N1764" s="26" t="n">
        <x:v>0</x:v>
      </x:c>
      <x:c r="O1764" s="26" t="n">
        <x:v>204.45</x:v>
      </x:c>
      <x:c r="P1764" s="26" t="n">
        <x:v>49.73</x:v>
      </x:c>
      <x:c r="Q1764" s="26" t="n">
        <x:v>93.94</x:v>
      </x:c>
      <x:c r="R1764" s="26" t="n">
        <x:v>116.04</x:v>
      </x:c>
      <x:c r="S1764" s="26" t="n">
        <x:v>1042.15</x:v>
      </x:c>
    </x:row>
    <x:row r="1765">
      <x:c r="A1765" t="n">
        <x:v>501762</x:v>
      </x:c>
      <x:c r="B1765" s="24" t="n">
        <x:v>45982</x:v>
      </x:c>
      <x:c r="C1765" t="n">
        <x:v>1080</x:v>
      </x:c>
      <x:c r="D1765" t="str">
        <x:v>Seller 1080</x:v>
      </x:c>
      <x:c r="E1765" t="str">
        <x:v>Bronze</x:v>
      </x:c>
      <x:c r="F1765" t="str">
        <x:v>South</x:v>
      </x:c>
      <x:c r="G1765" t="str">
        <x:v>Beauty</x:v>
      </x:c>
      <x:c r="H1765" t="n">
        <x:v>2</x:v>
      </x:c>
      <x:c r="I1765" s="26" t="n">
        <x:v>835.8</x:v>
      </x:c>
      <x:c r="J1765" s="26" t="n">
        <x:v>1356</x:v>
      </x:c>
      <x:c r="K1765" s="28" t="n">
        <x:v>0.1475</x:v>
      </x:c>
      <x:c r="L1765" s="26" t="n">
        <x:v>200.01</x:v>
      </x:c>
      <x:c r="M1765" t="n">
        <x:v>1</x:v>
      </x:c>
      <x:c r="N1765" s="26" t="n">
        <x:v>1102.2</x:v>
      </x:c>
      <x:c r="O1765" s="26" t="n">
        <x:v>25.09</x:v>
      </x:c>
      <x:c r="P1765" s="26" t="n">
        <x:v>6.1</x:v>
      </x:c>
      <x:c r="Q1765" s="26" t="n">
        <x:v>11.53</x:v>
      </x:c>
      <x:c r="R1765" s="26" t="n">
        <x:v>14.24</x:v>
      </x:c>
      <x:c r="S1765" s="26" t="n">
        <x:v>121.01</x:v>
      </x:c>
    </x:row>
    <x:row r="1766">
      <x:c r="A1766" t="n">
        <x:v>501763</x:v>
      </x:c>
      <x:c r="B1766" s="24" t="n">
        <x:v>45976</x:v>
      </x:c>
      <x:c r="C1766" t="n">
        <x:v>1029</x:v>
      </x:c>
      <x:c r="D1766" t="str">
        <x:v>Seller 1029</x:v>
      </x:c>
      <x:c r="E1766" t="str">
        <x:v>Gold</x:v>
      </x:c>
      <x:c r="F1766" t="str">
        <x:v>West</x:v>
      </x:c>
      <x:c r="G1766" t="str">
        <x:v>Home &amp; Kitchen</x:v>
      </x:c>
      <x:c r="H1766" t="n">
        <x:v>3</x:v>
      </x:c>
      <x:c r="I1766" s="26" t="n">
        <x:v>1558.8</x:v>
      </x:c>
      <x:c r="J1766" s="26" t="n">
        <x:v>7037.4</x:v>
      </x:c>
      <x:c r="K1766" s="28" t="n">
        <x:v>0.142</x:v>
      </x:c>
      <x:c r="L1766" s="26" t="n">
        <x:v>999.31</x:v>
      </x:c>
      <x:c r="M1766" t="n">
        <x:v>0</x:v>
      </x:c>
      <x:c r="N1766" s="26" t="n">
        <x:v>0</x:v>
      </x:c>
      <x:c r="O1766" s="26" t="n">
        <x:v>130.19</x:v>
      </x:c>
      <x:c r="P1766" s="26" t="n">
        <x:v>31.67</x:v>
      </x:c>
      <x:c r="Q1766" s="26" t="n">
        <x:v>59.82</x:v>
      </x:c>
      <x:c r="R1766" s="26" t="n">
        <x:v>73.89</x:v>
      </x:c>
      <x:c r="S1766" s="26" t="n">
        <x:v>703.74</x:v>
      </x:c>
    </x:row>
    <x:row r="1767">
      <x:c r="A1767" t="n">
        <x:v>501764</x:v>
      </x:c>
      <x:c r="B1767" s="24" t="n">
        <x:v>45977</x:v>
      </x:c>
      <x:c r="C1767" t="n">
        <x:v>1079</x:v>
      </x:c>
      <x:c r="D1767" t="str">
        <x:v>Seller 1079</x:v>
      </x:c>
      <x:c r="E1767" t="str">
        <x:v>Bronze</x:v>
      </x:c>
      <x:c r="F1767" t="str">
        <x:v>South</x:v>
      </x:c>
      <x:c r="G1767" t="str">
        <x:v>Beauty</x:v>
      </x:c>
      <x:c r="H1767" t="n">
        <x:v>2</x:v>
      </x:c>
      <x:c r="I1767" s="26" t="n">
        <x:v>1218.6</x:v>
      </x:c>
      <x:c r="J1767" s="26" t="n">
        <x:v>1977</x:v>
      </x:c>
      <x:c r="K1767" s="28" t="n">
        <x:v>0.1449</x:v>
      </x:c>
      <x:c r="L1767" s="26" t="n">
        <x:v>286.47</x:v>
      </x:c>
      <x:c r="M1767" t="n">
        <x:v>0</x:v>
      </x:c>
      <x:c r="N1767" s="26" t="n">
        <x:v>0</x:v>
      </x:c>
      <x:c r="O1767" s="26" t="n">
        <x:v>36.57</x:v>
      </x:c>
      <x:c r="P1767" s="26" t="n">
        <x:v>8.9</x:v>
      </x:c>
      <x:c r="Q1767" s="26" t="n">
        <x:v>16.8</x:v>
      </x:c>
      <x:c r="R1767" s="26" t="n">
        <x:v>20.76</x:v>
      </x:c>
      <x:c r="S1767" s="26" t="n">
        <x:v>203.43</x:v>
      </x:c>
    </x:row>
    <x:row r="1768">
      <x:c r="A1768" t="n">
        <x:v>501765</x:v>
      </x:c>
      <x:c r="B1768" s="24" t="n">
        <x:v>45985</x:v>
      </x:c>
      <x:c r="C1768" t="n">
        <x:v>1022</x:v>
      </x:c>
      <x:c r="D1768" t="str">
        <x:v>Seller 1022</x:v>
      </x:c>
      <x:c r="E1768" t="str">
        <x:v>Gold</x:v>
      </x:c>
      <x:c r="F1768" t="str">
        <x:v>East</x:v>
      </x:c>
      <x:c r="G1768" t="str">
        <x:v>Home &amp; Kitchen</x:v>
      </x:c>
      <x:c r="H1768" t="n">
        <x:v>2</x:v>
      </x:c>
      <x:c r="I1768" s="26" t="n">
        <x:v>2490.6</x:v>
      </x:c>
      <x:c r="J1768" s="26" t="n">
        <x:v>7496.4</x:v>
      </x:c>
      <x:c r="K1768" s="28" t="n">
        <x:v>0.1451</x:v>
      </x:c>
      <x:c r="L1768" s="26" t="n">
        <x:v>1087.73</x:v>
      </x:c>
      <x:c r="M1768" t="n">
        <x:v>0</x:v>
      </x:c>
      <x:c r="N1768" s="26" t="n">
        <x:v>0</x:v>
      </x:c>
      <x:c r="O1768" s="26" t="n">
        <x:v>138.68</x:v>
      </x:c>
      <x:c r="P1768" s="26" t="n">
        <x:v>33.73</x:v>
      </x:c>
      <x:c r="Q1768" s="26" t="n">
        <x:v>63.72</x:v>
      </x:c>
      <x:c r="R1768" s="26" t="n">
        <x:v>78.71</x:v>
      </x:c>
      <x:c r="S1768" s="26" t="n">
        <x:v>772.88</x:v>
      </x:c>
    </x:row>
    <x:row r="1769">
      <x:c r="A1769" t="n">
        <x:v>501766</x:v>
      </x:c>
      <x:c r="B1769" s="24" t="n">
        <x:v>45986</x:v>
      </x:c>
      <x:c r="C1769" t="n">
        <x:v>1050</x:v>
      </x:c>
      <x:c r="D1769" t="str">
        <x:v>Seller 1050</x:v>
      </x:c>
      <x:c r="E1769" t="str">
        <x:v>Silver</x:v>
      </x:c>
      <x:c r="F1769" t="str">
        <x:v>East</x:v>
      </x:c>
      <x:c r="G1769" t="str">
        <x:v>Electronics</x:v>
      </x:c>
      <x:c r="H1769" t="n">
        <x:v>2</x:v>
      </x:c>
      <x:c r="I1769" s="26" t="n">
        <x:v>5691</x:v>
      </x:c>
      <x:c r="J1769" s="26" t="n">
        <x:v>13105.8</x:v>
      </x:c>
      <x:c r="K1769" s="28" t="n">
        <x:v>0.1288</x:v>
      </x:c>
      <x:c r="L1769" s="26" t="n">
        <x:v>1688.03</x:v>
      </x:c>
      <x:c r="M1769" t="n">
        <x:v>0</x:v>
      </x:c>
      <x:c r="N1769" s="26" t="n">
        <x:v>0</x:v>
      </x:c>
      <x:c r="O1769" s="26" t="n">
        <x:v>242.46</x:v>
      </x:c>
      <x:c r="P1769" s="26" t="n">
        <x:v>58.98</x:v>
      </x:c>
      <x:c r="Q1769" s="26" t="n">
        <x:v>111.4</x:v>
      </x:c>
      <x:c r="R1769" s="26" t="n">
        <x:v>137.61</x:v>
      </x:c>
      <x:c r="S1769" s="26" t="n">
        <x:v>1137.58</x:v>
      </x:c>
    </x:row>
    <x:row r="1770">
      <x:c r="A1770" t="n">
        <x:v>501767</x:v>
      </x:c>
      <x:c r="B1770" s="24" t="n">
        <x:v>45986</x:v>
      </x:c>
      <x:c r="C1770" t="n">
        <x:v>1050</x:v>
      </x:c>
      <x:c r="D1770" t="str">
        <x:v>Seller 1050</x:v>
      </x:c>
      <x:c r="E1770" t="str">
        <x:v>Silver</x:v>
      </x:c>
      <x:c r="F1770" t="str">
        <x:v>East</x:v>
      </x:c>
      <x:c r="G1770" t="str">
        <x:v>Apparel</x:v>
      </x:c>
      <x:c r="H1770" t="n">
        <x:v>4</x:v>
      </x:c>
      <x:c r="I1770" s="26" t="n">
        <x:v>1035.6000000000001</x:v>
      </x:c>
      <x:c r="J1770" s="26" t="n">
        <x:v>4768.8</x:v>
      </x:c>
      <x:c r="K1770" s="28" t="n">
        <x:v>0.1189</x:v>
      </x:c>
      <x:c r="L1770" s="26" t="n">
        <x:v>567.01</x:v>
      </x:c>
      <x:c r="M1770" t="n">
        <x:v>0</x:v>
      </x:c>
      <x:c r="N1770" s="26" t="n">
        <x:v>0</x:v>
      </x:c>
      <x:c r="O1770" s="26" t="n">
        <x:v>88.22</x:v>
      </x:c>
      <x:c r="P1770" s="26" t="n">
        <x:v>21.46</x:v>
      </x:c>
      <x:c r="Q1770" s="26" t="n">
        <x:v>40.53</x:v>
      </x:c>
      <x:c r="R1770" s="26" t="n">
        <x:v>50.07</x:v>
      </x:c>
      <x:c r="S1770" s="26" t="n">
        <x:v>366.72</x:v>
      </x:c>
    </x:row>
    <x:row r="1771">
      <x:c r="A1771" t="n">
        <x:v>501768</x:v>
      </x:c>
      <x:c r="B1771" s="24" t="n">
        <x:v>45962</x:v>
      </x:c>
      <x:c r="C1771" t="n">
        <x:v>1068</x:v>
      </x:c>
      <x:c r="D1771" t="str">
        <x:v>Seller 1068</x:v>
      </x:c>
      <x:c r="E1771" t="str">
        <x:v>Bronze</x:v>
      </x:c>
      <x:c r="F1771" t="str">
        <x:v>South</x:v>
      </x:c>
      <x:c r="G1771" t="str">
        <x:v>Pet Supplies</x:v>
      </x:c>
      <x:c r="H1771" t="n">
        <x:v>3</x:v>
      </x:c>
      <x:c r="I1771" s="26" t="n">
        <x:v>1078.8</x:v>
      </x:c>
      <x:c r="J1771" s="26" t="n">
        <x:v>2625</x:v>
      </x:c>
      <x:c r="K1771" s="28" t="n">
        <x:v>0.1353</x:v>
      </x:c>
      <x:c r="L1771" s="26" t="n">
        <x:v>355.16</x:v>
      </x:c>
      <x:c r="M1771" t="n">
        <x:v>0</x:v>
      </x:c>
      <x:c r="N1771" s="26" t="n">
        <x:v>0</x:v>
      </x:c>
      <x:c r="O1771" s="26" t="n">
        <x:v>48.56</x:v>
      </x:c>
      <x:c r="P1771" s="26" t="n">
        <x:v>11.81</x:v>
      </x:c>
      <x:c r="Q1771" s="26" t="n">
        <x:v>22.31</x:v>
      </x:c>
      <x:c r="R1771" s="26" t="n">
        <x:v>27.56</x:v>
      </x:c>
      <x:c r="S1771" s="26" t="n">
        <x:v>244.91</x:v>
      </x:c>
    </x:row>
    <x:row r="1772">
      <x:c r="A1772" t="n">
        <x:v>501769</x:v>
      </x:c>
      <x:c r="B1772" s="24" t="n">
        <x:v>45970</x:v>
      </x:c>
      <x:c r="C1772" t="n">
        <x:v>1010</x:v>
      </x:c>
      <x:c r="D1772" t="str">
        <x:v>Seller 1010</x:v>
      </x:c>
      <x:c r="E1772" t="str">
        <x:v>Platinum</x:v>
      </x:c>
      <x:c r="F1772" t="str">
        <x:v>West</x:v>
      </x:c>
      <x:c r="G1772" t="str">
        <x:v>Home &amp; Kitchen</x:v>
      </x:c>
      <x:c r="H1772" t="n">
        <x:v>2</x:v>
      </x:c>
      <x:c r="I1772" s="26" t="n">
        <x:v>2096.3999999999996</x:v>
      </x:c>
      <x:c r="J1772" s="26" t="n">
        <x:v>8503.2</x:v>
      </x:c>
      <x:c r="K1772" s="28" t="n">
        <x:v>0.1479</x:v>
      </x:c>
      <x:c r="L1772" s="26" t="n">
        <x:v>1257.62</x:v>
      </x:c>
      <x:c r="M1772" t="n">
        <x:v>0</x:v>
      </x:c>
      <x:c r="N1772" s="26" t="n">
        <x:v>0</x:v>
      </x:c>
      <x:c r="O1772" s="26" t="n">
        <x:v>157.31</x:v>
      </x:c>
      <x:c r="P1772" s="26" t="n">
        <x:v>38.26</x:v>
      </x:c>
      <x:c r="Q1772" s="26" t="n">
        <x:v>72.28</x:v>
      </x:c>
      <x:c r="R1772" s="26" t="n">
        <x:v>89.28</x:v>
      </x:c>
      <x:c r="S1772" s="26" t="n">
        <x:v>900.49</x:v>
      </x:c>
    </x:row>
    <x:row r="1773">
      <x:c r="A1773" t="n">
        <x:v>501770</x:v>
      </x:c>
      <x:c r="B1773" s="24" t="n">
        <x:v>45965</x:v>
      </x:c>
      <x:c r="C1773" t="n">
        <x:v>1036</x:v>
      </x:c>
      <x:c r="D1773" t="str">
        <x:v>Seller 1036</x:v>
      </x:c>
      <x:c r="E1773" t="str">
        <x:v>Silver</x:v>
      </x:c>
      <x:c r="F1773" t="str">
        <x:v>Central</x:v>
      </x:c>
      <x:c r="G1773" t="str">
        <x:v>Pet Supplies</x:v>
      </x:c>
      <x:c r="H1773" t="n">
        <x:v>2</x:v>
      </x:c>
      <x:c r="I1773" s="26" t="n">
        <x:v>1735.2</x:v>
      </x:c>
      <x:c r="J1773" s="26" t="n">
        <x:v>3995.4</x:v>
      </x:c>
      <x:c r="K1773" s="28" t="n">
        <x:v>0.1404</x:v>
      </x:c>
      <x:c r="L1773" s="26" t="n">
        <x:v>560.95</x:v>
      </x:c>
      <x:c r="M1773" t="n">
        <x:v>1</x:v>
      </x:c>
      <x:c r="N1773" s="26" t="n">
        <x:v>3879</x:v>
      </x:c>
      <x:c r="O1773" s="26" t="n">
        <x:v>73.91</x:v>
      </x:c>
      <x:c r="P1773" s="26" t="n">
        <x:v>17.98</x:v>
      </x:c>
      <x:c r="Q1773" s="26" t="n">
        <x:v>33.96</x:v>
      </x:c>
      <x:c r="R1773" s="26" t="n">
        <x:v>41.95</x:v>
      </x:c>
      <x:c r="S1773" s="26" t="n">
        <x:v>315.57</x:v>
      </x:c>
    </x:row>
    <x:row r="1774">
      <x:c r="A1774" t="n">
        <x:v>501771</x:v>
      </x:c>
      <x:c r="B1774" s="24" t="n">
        <x:v>45981</x:v>
      </x:c>
      <x:c r="C1774" t="n">
        <x:v>1009</x:v>
      </x:c>
      <x:c r="D1774" t="str">
        <x:v>Seller 1009</x:v>
      </x:c>
      <x:c r="E1774" t="str">
        <x:v>Platinum</x:v>
      </x:c>
      <x:c r="F1774" t="str">
        <x:v>Central</x:v>
      </x:c>
      <x:c r="G1774" t="str">
        <x:v>Pet Supplies</x:v>
      </x:c>
      <x:c r="H1774" t="n">
        <x:v>2</x:v>
      </x:c>
      <x:c r="I1774" s="26" t="n">
        <x:v>1324.2</x:v>
      </x:c>
      <x:c r="J1774" s="26" t="n">
        <x:v>5372.4</x:v>
      </x:c>
      <x:c r="K1774" s="28" t="n">
        <x:v>0.1343</x:v>
      </x:c>
      <x:c r="L1774" s="26" t="n">
        <x:v>721.51</x:v>
      </x:c>
      <x:c r="M1774" t="n">
        <x:v>0</x:v>
      </x:c>
      <x:c r="N1774" s="26" t="n">
        <x:v>0</x:v>
      </x:c>
      <x:c r="O1774" s="26" t="n">
        <x:v>99.39</x:v>
      </x:c>
      <x:c r="P1774" s="26" t="n">
        <x:v>24.18</x:v>
      </x:c>
      <x:c r="Q1774" s="26" t="n">
        <x:v>45.67</x:v>
      </x:c>
      <x:c r="R1774" s="26" t="n">
        <x:v>56.41</x:v>
      </x:c>
      <x:c r="S1774" s="26" t="n">
        <x:v>495.87</x:v>
      </x:c>
    </x:row>
    <x:row r="1775">
      <x:c r="A1775" t="n">
        <x:v>501772</x:v>
      </x:c>
      <x:c r="B1775" s="24" t="n">
        <x:v>45963</x:v>
      </x:c>
      <x:c r="C1775" t="n">
        <x:v>1058</x:v>
      </x:c>
      <x:c r="D1775" t="str">
        <x:v>Seller 1058</x:v>
      </x:c>
      <x:c r="E1775" t="str">
        <x:v>Bronze</x:v>
      </x:c>
      <x:c r="F1775" t="str">
        <x:v>East</x:v>
      </x:c>
      <x:c r="G1775" t="str">
        <x:v>Electronics</x:v>
      </x:c>
      <x:c r="H1775" t="n">
        <x:v>1</x:v>
      </x:c>
      <x:c r="I1775" s="26" t="n">
        <x:v>8947.2</x:v>
      </x:c>
      <x:c r="J1775" s="26" t="n">
        <x:v>7258.2</x:v>
      </x:c>
      <x:c r="K1775" s="28" t="n">
        <x:v>0.1255</x:v>
      </x:c>
      <x:c r="L1775" s="26" t="n">
        <x:v>910.9</x:v>
      </x:c>
      <x:c r="M1775" t="n">
        <x:v>0</x:v>
      </x:c>
      <x:c r="N1775" s="26" t="n">
        <x:v>0</x:v>
      </x:c>
      <x:c r="O1775" s="26" t="n">
        <x:v>134.28</x:v>
      </x:c>
      <x:c r="P1775" s="26" t="n">
        <x:v>32.66</x:v>
      </x:c>
      <x:c r="Q1775" s="26" t="n">
        <x:v>61.69</x:v>
      </x:c>
      <x:c r="R1775" s="26" t="n">
        <x:v>76.21</x:v>
      </x:c>
      <x:c r="S1775" s="26" t="n">
        <x:v>606.06</x:v>
      </x:c>
    </x:row>
    <x:row r="1776">
      <x:c r="A1776" t="n">
        <x:v>501773</x:v>
      </x:c>
      <x:c r="B1776" s="24" t="n">
        <x:v>45970</x:v>
      </x:c>
      <x:c r="C1776" t="n">
        <x:v>1022</x:v>
      </x:c>
      <x:c r="D1776" t="str">
        <x:v>Seller 1022</x:v>
      </x:c>
      <x:c r="E1776" t="str">
        <x:v>Gold</x:v>
      </x:c>
      <x:c r="F1776" t="str">
        <x:v>East</x:v>
      </x:c>
      <x:c r="G1776" t="str">
        <x:v>Sports</x:v>
      </x:c>
      <x:c r="H1776" t="n">
        <x:v>1</x:v>
      </x:c>
      <x:c r="I1776" s="26" t="n">
        <x:v>4335</x:v>
      </x:c>
      <x:c r="J1776" s="26" t="n">
        <x:v>6522.6</x:v>
      </x:c>
      <x:c r="K1776" s="28" t="n">
        <x:v>0.1347</x:v>
      </x:c>
      <x:c r="L1776" s="26" t="n">
        <x:v>878.59</x:v>
      </x:c>
      <x:c r="M1776" t="n">
        <x:v>0</x:v>
      </x:c>
      <x:c r="N1776" s="26" t="n">
        <x:v>0</x:v>
      </x:c>
      <x:c r="O1776" s="26" t="n">
        <x:v>120.67</x:v>
      </x:c>
      <x:c r="P1776" s="26" t="n">
        <x:v>29.35</x:v>
      </x:c>
      <x:c r="Q1776" s="26" t="n">
        <x:v>55.44</x:v>
      </x:c>
      <x:c r="R1776" s="26" t="n">
        <x:v>68.49</x:v>
      </x:c>
      <x:c r="S1776" s="26" t="n">
        <x:v>604.65</x:v>
      </x:c>
    </x:row>
    <x:row r="1777">
      <x:c r="A1777" t="n">
        <x:v>501774</x:v>
      </x:c>
      <x:c r="B1777" s="24" t="n">
        <x:v>45966</x:v>
      </x:c>
      <x:c r="C1777" t="n">
        <x:v>1047</x:v>
      </x:c>
      <x:c r="D1777" t="str">
        <x:v>Seller 1047</x:v>
      </x:c>
      <x:c r="E1777" t="str">
        <x:v>Silver</x:v>
      </x:c>
      <x:c r="F1777" t="str">
        <x:v>East</x:v>
      </x:c>
      <x:c r="G1777" t="str">
        <x:v>Sports</x:v>
      </x:c>
      <x:c r="H1777" t="n">
        <x:v>2</x:v>
      </x:c>
      <x:c r="I1777" s="26" t="n">
        <x:v>2846.3999999999996</x:v>
      </x:c>
      <x:c r="J1777" s="26" t="n">
        <x:v>6555.6</x:v>
      </x:c>
      <x:c r="K1777" s="28" t="n">
        <x:v>0.1258</x:v>
      </x:c>
      <x:c r="L1777" s="26" t="n">
        <x:v>824.69</x:v>
      </x:c>
      <x:c r="M1777" t="n">
        <x:v>0</x:v>
      </x:c>
      <x:c r="N1777" s="26" t="n">
        <x:v>0</x:v>
      </x:c>
      <x:c r="O1777" s="26" t="n">
        <x:v>121.28</x:v>
      </x:c>
      <x:c r="P1777" s="26" t="n">
        <x:v>29.5</x:v>
      </x:c>
      <x:c r="Q1777" s="26" t="n">
        <x:v>55.72</x:v>
      </x:c>
      <x:c r="R1777" s="26" t="n">
        <x:v>68.83</x:v>
      </x:c>
      <x:c r="S1777" s="26" t="n">
        <x:v>549.36</x:v>
      </x:c>
    </x:row>
    <x:row r="1778">
      <x:c r="A1778" t="n">
        <x:v>501775</x:v>
      </x:c>
      <x:c r="B1778" s="24" t="n">
        <x:v>45963</x:v>
      </x:c>
      <x:c r="C1778" t="n">
        <x:v>1011</x:v>
      </x:c>
      <x:c r="D1778" t="str">
        <x:v>Seller 1011</x:v>
      </x:c>
      <x:c r="E1778" t="str">
        <x:v>Platinum</x:v>
      </x:c>
      <x:c r="F1778" t="str">
        <x:v>West</x:v>
      </x:c>
      <x:c r="G1778" t="str">
        <x:v>Electronics</x:v>
      </x:c>
      <x:c r="H1778" t="n">
        <x:v>2</x:v>
      </x:c>
      <x:c r="I1778" s="26" t="n">
        <x:v>4745.400000000001</x:v>
      </x:c>
      <x:c r="J1778" s="26" t="n">
        <x:v>19248</x:v>
      </x:c>
      <x:c r="K1778" s="28" t="n">
        <x:v>0.1224</x:v>
      </x:c>
      <x:c r="L1778" s="26" t="n">
        <x:v>2355.96</x:v>
      </x:c>
      <x:c r="M1778" t="n">
        <x:v>0</x:v>
      </x:c>
      <x:c r="N1778" s="26" t="n">
        <x:v>0</x:v>
      </x:c>
      <x:c r="O1778" s="26" t="n">
        <x:v>356.09</x:v>
      </x:c>
      <x:c r="P1778" s="26" t="n">
        <x:v>86.62</x:v>
      </x:c>
      <x:c r="Q1778" s="26" t="n">
        <x:v>163.61</x:v>
      </x:c>
      <x:c r="R1778" s="26" t="n">
        <x:v>202.1</x:v>
      </x:c>
      <x:c r="S1778" s="26" t="n">
        <x:v>1547.54</x:v>
      </x:c>
    </x:row>
    <x:row r="1779">
      <x:c r="A1779" t="n">
        <x:v>501776</x:v>
      </x:c>
      <x:c r="B1779" s="24" t="n">
        <x:v>46013</x:v>
      </x:c>
      <x:c r="C1779" t="n">
        <x:v>1030</x:v>
      </x:c>
      <x:c r="D1779" t="str">
        <x:v>Seller 1030</x:v>
      </x:c>
      <x:c r="E1779" t="str">
        <x:v>Gold</x:v>
      </x:c>
      <x:c r="F1779" t="str">
        <x:v>South</x:v>
      </x:c>
      <x:c r="G1779" t="str">
        <x:v>Pet Supplies</x:v>
      </x:c>
      <x:c r="H1779" t="n">
        <x:v>2</x:v>
      </x:c>
      <x:c r="I1779" s="26" t="n">
        <x:v>1640.4</x:v>
      </x:c>
      <x:c r="J1779" s="26" t="n">
        <x:v>4650</x:v>
      </x:c>
      <x:c r="K1779" s="28" t="n">
        <x:v>0.1469</x:v>
      </x:c>
      <x:c r="L1779" s="26" t="n">
        <x:v>683.09</x:v>
      </x:c>
      <x:c r="M1779" t="n">
        <x:v>0</x:v>
      </x:c>
      <x:c r="N1779" s="26" t="n">
        <x:v>0</x:v>
      </x:c>
      <x:c r="O1779" s="26" t="n">
        <x:v>86.02</x:v>
      </x:c>
      <x:c r="P1779" s="26" t="n">
        <x:v>20.92</x:v>
      </x:c>
      <x:c r="Q1779" s="26" t="n">
        <x:v>39.53</x:v>
      </x:c>
      <x:c r="R1779" s="26" t="n">
        <x:v>48.83</x:v>
      </x:c>
      <x:c r="S1779" s="26" t="n">
        <x:v>487.79</x:v>
      </x:c>
    </x:row>
    <x:row r="1780">
      <x:c r="A1780" t="n">
        <x:v>501777</x:v>
      </x:c>
      <x:c r="B1780" s="24" t="n">
        <x:v>46007</x:v>
      </x:c>
      <x:c r="C1780" t="n">
        <x:v>1023</x:v>
      </x:c>
      <x:c r="D1780" t="str">
        <x:v>Seller 1023</x:v>
      </x:c>
      <x:c r="E1780" t="str">
        <x:v>Gold</x:v>
      </x:c>
      <x:c r="F1780" t="str">
        <x:v>Central</x:v>
      </x:c>
      <x:c r="G1780" t="str">
        <x:v>Home &amp; Kitchen</x:v>
      </x:c>
      <x:c r="H1780" t="n">
        <x:v>1</x:v>
      </x:c>
      <x:c r="I1780" s="26" t="n">
        <x:v>4996.8</x:v>
      </x:c>
      <x:c r="J1780" s="26" t="n">
        <x:v>7082.4</x:v>
      </x:c>
      <x:c r="K1780" s="28" t="n">
        <x:v>0.133</x:v>
      </x:c>
      <x:c r="L1780" s="26" t="n">
        <x:v>941.96</x:v>
      </x:c>
      <x:c r="M1780" t="n">
        <x:v>0</x:v>
      </x:c>
      <x:c r="N1780" s="26" t="n">
        <x:v>0</x:v>
      </x:c>
      <x:c r="O1780" s="26" t="n">
        <x:v>131.02</x:v>
      </x:c>
      <x:c r="P1780" s="26" t="n">
        <x:v>31.87</x:v>
      </x:c>
      <x:c r="Q1780" s="26" t="n">
        <x:v>60.2</x:v>
      </x:c>
      <x:c r="R1780" s="26" t="n">
        <x:v>74.37</x:v>
      </x:c>
      <x:c r="S1780" s="26" t="n">
        <x:v>644.5</x:v>
      </x:c>
    </x:row>
    <x:row r="1781">
      <x:c r="A1781" t="n">
        <x:v>501778</x:v>
      </x:c>
      <x:c r="B1781" s="24" t="n">
        <x:v>46012</x:v>
      </x:c>
      <x:c r="C1781" t="n">
        <x:v>1010</x:v>
      </x:c>
      <x:c r="D1781" t="str">
        <x:v>Seller 1010</x:v>
      </x:c>
      <x:c r="E1781" t="str">
        <x:v>Platinum</x:v>
      </x:c>
      <x:c r="F1781" t="str">
        <x:v>West</x:v>
      </x:c>
      <x:c r="G1781" t="str">
        <x:v>Home &amp; Kitchen</x:v>
      </x:c>
      <x:c r="H1781" t="n">
        <x:v>3</x:v>
      </x:c>
      <x:c r="I1781" s="26" t="n">
        <x:v>2072.4</x:v>
      </x:c>
      <x:c r="J1781" s="26" t="n">
        <x:v>11876.4</x:v>
      </x:c>
      <x:c r="K1781" s="28" t="n">
        <x:v>0.1333</x:v>
      </x:c>
      <x:c r="L1781" s="26" t="n">
        <x:v>1583.12</x:v>
      </x:c>
      <x:c r="M1781" t="n">
        <x:v>0</x:v>
      </x:c>
      <x:c r="N1781" s="26" t="n">
        <x:v>0</x:v>
      </x:c>
      <x:c r="O1781" s="26" t="n">
        <x:v>219.71</x:v>
      </x:c>
      <x:c r="P1781" s="26" t="n">
        <x:v>53.44</x:v>
      </x:c>
      <x:c r="Q1781" s="26" t="n">
        <x:v>100.95</x:v>
      </x:c>
      <x:c r="R1781" s="26" t="n">
        <x:v>124.7</x:v>
      </x:c>
      <x:c r="S1781" s="26" t="n">
        <x:v>1084.32</x:v>
      </x:c>
    </x:row>
    <x:row r="1782">
      <x:c r="A1782" t="n">
        <x:v>501779</x:v>
      </x:c>
      <x:c r="B1782" s="24" t="n">
        <x:v>46012</x:v>
      </x:c>
      <x:c r="C1782" t="n">
        <x:v>1048</x:v>
      </x:c>
      <x:c r="D1782" t="str">
        <x:v>Seller 1048</x:v>
      </x:c>
      <x:c r="E1782" t="str">
        <x:v>Silver</x:v>
      </x:c>
      <x:c r="F1782" t="str">
        <x:v>East</x:v>
      </x:c>
      <x:c r="G1782" t="str">
        <x:v>Electronics</x:v>
      </x:c>
      <x:c r="H1782" t="n">
        <x:v>3</x:v>
      </x:c>
      <x:c r="I1782" s="26" t="n">
        <x:v>4222.200000000001</x:v>
      </x:c>
      <x:c r="J1782" s="26" t="n">
        <x:v>13738.8</x:v>
      </x:c>
      <x:c r="K1782" s="28" t="n">
        <x:v>0.1249</x:v>
      </x:c>
      <x:c r="L1782" s="26" t="n">
        <x:v>1715.98</x:v>
      </x:c>
      <x:c r="M1782" t="n">
        <x:v>0</x:v>
      </x:c>
      <x:c r="N1782" s="26" t="n">
        <x:v>0</x:v>
      </x:c>
      <x:c r="O1782" s="26" t="n">
        <x:v>254.17</x:v>
      </x:c>
      <x:c r="P1782" s="26" t="n">
        <x:v>61.82</x:v>
      </x:c>
      <x:c r="Q1782" s="26" t="n">
        <x:v>116.78</x:v>
      </x:c>
      <x:c r="R1782" s="26" t="n">
        <x:v>144.26</x:v>
      </x:c>
      <x:c r="S1782" s="26" t="n">
        <x:v>1138.95</x:v>
      </x:c>
    </x:row>
    <x:row r="1783">
      <x:c r="A1783" t="n">
        <x:v>501780</x:v>
      </x:c>
      <x:c r="B1783" s="24" t="n">
        <x:v>45992</x:v>
      </x:c>
      <x:c r="C1783" t="n">
        <x:v>1035</x:v>
      </x:c>
      <x:c r="D1783" t="str">
        <x:v>Seller 1035</x:v>
      </x:c>
      <x:c r="E1783" t="str">
        <x:v>Silver</x:v>
      </x:c>
      <x:c r="F1783" t="str">
        <x:v>East</x:v>
      </x:c>
      <x:c r="G1783" t="str">
        <x:v>Electronics</x:v>
      </x:c>
      <x:c r="H1783" t="n">
        <x:v>3</x:v>
      </x:c>
      <x:c r="I1783" s="26" t="n">
        <x:v>3007.2</x:v>
      </x:c>
      <x:c r="J1783" s="26" t="n">
        <x:v>9784.8</x:v>
      </x:c>
      <x:c r="K1783" s="28" t="n">
        <x:v>0.1204</x:v>
      </x:c>
      <x:c r="L1783" s="26" t="n">
        <x:v>1178.09</x:v>
      </x:c>
      <x:c r="M1783" t="n">
        <x:v>1</x:v>
      </x:c>
      <x:c r="N1783" s="26" t="n">
        <x:v>6068.4</x:v>
      </x:c>
      <x:c r="O1783" s="26" t="n">
        <x:v>181.02</x:v>
      </x:c>
      <x:c r="P1783" s="26" t="n">
        <x:v>44.03</x:v>
      </x:c>
      <x:c r="Q1783" s="26" t="n">
        <x:v>83.17</x:v>
      </x:c>
      <x:c r="R1783" s="26" t="n">
        <x:v>102.74</x:v>
      </x:c>
      <x:c r="S1783" s="26" t="n">
        <x:v>645.76</x:v>
      </x:c>
    </x:row>
    <x:row r="1784">
      <x:c r="A1784" t="n">
        <x:v>501781</x:v>
      </x:c>
      <x:c r="B1784" s="24" t="n">
        <x:v>45995</x:v>
      </x:c>
      <x:c r="C1784" t="n">
        <x:v>1031</x:v>
      </x:c>
      <x:c r="D1784" t="str">
        <x:v>Seller 1031</x:v>
      </x:c>
      <x:c r="E1784" t="str">
        <x:v>Silver</x:v>
      </x:c>
      <x:c r="F1784" t="str">
        <x:v>West</x:v>
      </x:c>
      <x:c r="G1784" t="str">
        <x:v>Beauty</x:v>
      </x:c>
      <x:c r="H1784" t="n">
        <x:v>1</x:v>
      </x:c>
      <x:c r="I1784" s="26" t="n">
        <x:v>2563.2</x:v>
      </x:c>
      <x:c r="J1784" s="26" t="n">
        <x:v>2780.4</x:v>
      </x:c>
      <x:c r="K1784" s="28" t="n">
        <x:v>0.1449</x:v>
      </x:c>
      <x:c r="L1784" s="26" t="n">
        <x:v>402.88</x:v>
      </x:c>
      <x:c r="M1784" t="n">
        <x:v>0</x:v>
      </x:c>
      <x:c r="N1784" s="26" t="n">
        <x:v>0</x:v>
      </x:c>
      <x:c r="O1784" s="26" t="n">
        <x:v>51.44</x:v>
      </x:c>
      <x:c r="P1784" s="26" t="n">
        <x:v>12.51</x:v>
      </x:c>
      <x:c r="Q1784" s="26" t="n">
        <x:v>23.63</x:v>
      </x:c>
      <x:c r="R1784" s="26" t="n">
        <x:v>29.19</x:v>
      </x:c>
      <x:c r="S1784" s="26" t="n">
        <x:v>286.1</x:v>
      </x:c>
    </x:row>
    <x:row r="1785">
      <x:c r="A1785" t="n">
        <x:v>501782</x:v>
      </x:c>
      <x:c r="B1785" s="24" t="n">
        <x:v>46013</x:v>
      </x:c>
      <x:c r="C1785" t="n">
        <x:v>1021</x:v>
      </x:c>
      <x:c r="D1785" t="str">
        <x:v>Seller 1021</x:v>
      </x:c>
      <x:c r="E1785" t="str">
        <x:v>Gold</x:v>
      </x:c>
      <x:c r="F1785" t="str">
        <x:v>Central</x:v>
      </x:c>
      <x:c r="G1785" t="str">
        <x:v>Pet Supplies</x:v>
      </x:c>
      <x:c r="H1785" t="n">
        <x:v>2</x:v>
      </x:c>
      <x:c r="I1785" s="26" t="n">
        <x:v>1467</x:v>
      </x:c>
      <x:c r="J1785" s="26" t="n">
        <x:v>4158.6</x:v>
      </x:c>
      <x:c r="K1785" s="28" t="n">
        <x:v>0.1351</x:v>
      </x:c>
      <x:c r="L1785" s="26" t="n">
        <x:v>561.83</x:v>
      </x:c>
      <x:c r="M1785" t="n">
        <x:v>0</x:v>
      </x:c>
      <x:c r="N1785" s="26" t="n">
        <x:v>0</x:v>
      </x:c>
      <x:c r="O1785" s="26" t="n">
        <x:v>76.93</x:v>
      </x:c>
      <x:c r="P1785" s="26" t="n">
        <x:v>18.71</x:v>
      </x:c>
      <x:c r="Q1785" s="26" t="n">
        <x:v>35.35</x:v>
      </x:c>
      <x:c r="R1785" s="26" t="n">
        <x:v>43.67</x:v>
      </x:c>
      <x:c r="S1785" s="26" t="n">
        <x:v>387.17</x:v>
      </x:c>
    </x:row>
    <x:row r="1786">
      <x:c r="A1786" t="n">
        <x:v>501783</x:v>
      </x:c>
      <x:c r="B1786" s="24" t="n">
        <x:v>46004</x:v>
      </x:c>
      <x:c r="C1786" t="n">
        <x:v>1063</x:v>
      </x:c>
      <x:c r="D1786" t="str">
        <x:v>Seller 1063</x:v>
      </x:c>
      <x:c r="E1786" t="str">
        <x:v>Bronze</x:v>
      </x:c>
      <x:c r="F1786" t="str">
        <x:v>West</x:v>
      </x:c>
      <x:c r="G1786" t="str">
        <x:v>Pet Supplies</x:v>
      </x:c>
      <x:c r="H1786" t="n">
        <x:v>1</x:v>
      </x:c>
      <x:c r="I1786" s="26" t="n">
        <x:v>3310.8</x:v>
      </x:c>
      <x:c r="J1786" s="26" t="n">
        <x:v>2530.2</x:v>
      </x:c>
      <x:c r="K1786" s="28" t="n">
        <x:v>0.1357</x:v>
      </x:c>
      <x:c r="L1786" s="26" t="n">
        <x:v>343.35</x:v>
      </x:c>
      <x:c r="M1786" t="n">
        <x:v>0</x:v>
      </x:c>
      <x:c r="N1786" s="26" t="n">
        <x:v>0</x:v>
      </x:c>
      <x:c r="O1786" s="26" t="n">
        <x:v>46.81</x:v>
      </x:c>
      <x:c r="P1786" s="26" t="n">
        <x:v>11.39</x:v>
      </x:c>
      <x:c r="Q1786" s="26" t="n">
        <x:v>21.51</x:v>
      </x:c>
      <x:c r="R1786" s="26" t="n">
        <x:v>26.57</x:v>
      </x:c>
      <x:c r="S1786" s="26" t="n">
        <x:v>237.08</x:v>
      </x:c>
    </x:row>
    <x:row r="1787">
      <x:c r="A1787" t="n">
        <x:v>501784</x:v>
      </x:c>
      <x:c r="B1787" s="24" t="n">
        <x:v>46004</x:v>
      </x:c>
      <x:c r="C1787" t="n">
        <x:v>1046</x:v>
      </x:c>
      <x:c r="D1787" t="str">
        <x:v>Seller 1046</x:v>
      </x:c>
      <x:c r="E1787" t="str">
        <x:v>Silver</x:v>
      </x:c>
      <x:c r="F1787" t="str">
        <x:v>Central</x:v>
      </x:c>
      <x:c r="G1787" t="str">
        <x:v>Sports</x:v>
      </x:c>
      <x:c r="H1787" t="n">
        <x:v>2</x:v>
      </x:c>
      <x:c r="I1787" s="26" t="n">
        <x:v>1684.8</x:v>
      </x:c>
      <x:c r="J1787" s="26" t="n">
        <x:v>3655.8</x:v>
      </x:c>
      <x:c r="K1787" s="28" t="n">
        <x:v>0.14</x:v>
      </x:c>
      <x:c r="L1787" s="26" t="n">
        <x:v>511.81</x:v>
      </x:c>
      <x:c r="M1787" t="n">
        <x:v>0</x:v>
      </x:c>
      <x:c r="N1787" s="26" t="n">
        <x:v>0</x:v>
      </x:c>
      <x:c r="O1787" s="26" t="n">
        <x:v>67.63</x:v>
      </x:c>
      <x:c r="P1787" s="26" t="n">
        <x:v>16.45</x:v>
      </x:c>
      <x:c r="Q1787" s="26" t="n">
        <x:v>31.07</x:v>
      </x:c>
      <x:c r="R1787" s="26" t="n">
        <x:v>38.39</x:v>
      </x:c>
      <x:c r="S1787" s="26" t="n">
        <x:v>358.27</x:v>
      </x:c>
    </x:row>
    <x:row r="1788">
      <x:c r="A1788" t="n">
        <x:v>501785</x:v>
      </x:c>
      <x:c r="B1788" s="24" t="n">
        <x:v>46016</x:v>
      </x:c>
      <x:c r="C1788" t="n">
        <x:v>1064</x:v>
      </x:c>
      <x:c r="D1788" t="str">
        <x:v>Seller 1064</x:v>
      </x:c>
      <x:c r="E1788" t="str">
        <x:v>Bronze</x:v>
      </x:c>
      <x:c r="F1788" t="str">
        <x:v>Central</x:v>
      </x:c>
      <x:c r="G1788" t="str">
        <x:v>Pet Supplies</x:v>
      </x:c>
      <x:c r="H1788" t="n">
        <x:v>2</x:v>
      </x:c>
      <x:c r="I1788" s="26" t="n">
        <x:v>1582.2</x:v>
      </x:c>
      <x:c r="J1788" s="26" t="n">
        <x:v>2418</x:v>
      </x:c>
      <x:c r="K1788" s="28" t="n">
        <x:v>0.1499</x:v>
      </x:c>
      <x:c r="L1788" s="26" t="n">
        <x:v>362.46</x:v>
      </x:c>
      <x:c r="M1788" t="n">
        <x:v>0</x:v>
      </x:c>
      <x:c r="N1788" s="26" t="n">
        <x:v>0</x:v>
      </x:c>
      <x:c r="O1788" s="26" t="n">
        <x:v>44.73</x:v>
      </x:c>
      <x:c r="P1788" s="26" t="n">
        <x:v>10.88</x:v>
      </x:c>
      <x:c r="Q1788" s="26" t="n">
        <x:v>20.55</x:v>
      </x:c>
      <x:c r="R1788" s="26" t="n">
        <x:v>25.39</x:v>
      </x:c>
      <x:c r="S1788" s="26" t="n">
        <x:v>260.9</x:v>
      </x:c>
    </x:row>
    <x:row r="1789">
      <x:c r="A1789" t="n">
        <x:v>501786</x:v>
      </x:c>
      <x:c r="B1789" s="24" t="n">
        <x:v>46012</x:v>
      </x:c>
      <x:c r="C1789" t="n">
        <x:v>1053</x:v>
      </x:c>
      <x:c r="D1789" t="str">
        <x:v>Seller 1053</x:v>
      </x:c>
      <x:c r="E1789" t="str">
        <x:v>Silver</x:v>
      </x:c>
      <x:c r="F1789" t="str">
        <x:v>Central</x:v>
      </x:c>
      <x:c r="G1789" t="str">
        <x:v>Beauty</x:v>
      </x:c>
      <x:c r="H1789" t="n">
        <x:v>2</x:v>
      </x:c>
      <x:c r="I1789" s="26" t="n">
        <x:v>1364.3999999999999</x:v>
      </x:c>
      <x:c r="J1789" s="26" t="n">
        <x:v>2959.2</x:v>
      </x:c>
      <x:c r="K1789" s="28" t="n">
        <x:v>0.1507</x:v>
      </x:c>
      <x:c r="L1789" s="26" t="n">
        <x:v>445.95</x:v>
      </x:c>
      <x:c r="M1789" t="n">
        <x:v>0</x:v>
      </x:c>
      <x:c r="N1789" s="26" t="n">
        <x:v>0</x:v>
      </x:c>
      <x:c r="O1789" s="26" t="n">
        <x:v>54.75</x:v>
      </x:c>
      <x:c r="P1789" s="26" t="n">
        <x:v>13.32</x:v>
      </x:c>
      <x:c r="Q1789" s="26" t="n">
        <x:v>25.15</x:v>
      </x:c>
      <x:c r="R1789" s="26" t="n">
        <x:v>31.07</x:v>
      </x:c>
      <x:c r="S1789" s="26" t="n">
        <x:v>321.67</x:v>
      </x:c>
    </x:row>
    <x:row r="1790">
      <x:c r="A1790" t="n">
        <x:v>501787</x:v>
      </x:c>
      <x:c r="B1790" s="24" t="n">
        <x:v>45992</x:v>
      </x:c>
      <x:c r="C1790" t="n">
        <x:v>1019</x:v>
      </x:c>
      <x:c r="D1790" t="str">
        <x:v>Seller 1019</x:v>
      </x:c>
      <x:c r="E1790" t="str">
        <x:v>Gold</x:v>
      </x:c>
      <x:c r="F1790" t="str">
        <x:v>East</x:v>
      </x:c>
      <x:c r="G1790" t="str">
        <x:v>Apparel</x:v>
      </x:c>
      <x:c r="H1790" t="n">
        <x:v>1</x:v>
      </x:c>
      <x:c r="I1790" s="26" t="n">
        <x:v>3561</x:v>
      </x:c>
      <x:c r="J1790" s="26" t="n">
        <x:v>5047.8</x:v>
      </x:c>
      <x:c r="K1790" s="28" t="n">
        <x:v>0.1174</x:v>
      </x:c>
      <x:c r="L1790" s="26" t="n">
        <x:v>592.61</x:v>
      </x:c>
      <x:c r="M1790" t="n">
        <x:v>0</x:v>
      </x:c>
      <x:c r="N1790" s="26" t="n">
        <x:v>0</x:v>
      </x:c>
      <x:c r="O1790" s="26" t="n">
        <x:v>93.38</x:v>
      </x:c>
      <x:c r="P1790" s="26" t="n">
        <x:v>22.72</x:v>
      </x:c>
      <x:c r="Q1790" s="26" t="n">
        <x:v>42.91</x:v>
      </x:c>
      <x:c r="R1790" s="26" t="n">
        <x:v>53</x:v>
      </x:c>
      <x:c r="S1790" s="26" t="n">
        <x:v>380.6</x:v>
      </x:c>
    </x:row>
    <x:row r="1791">
      <x:c r="A1791" t="n">
        <x:v>501788</x:v>
      </x:c>
      <x:c r="B1791" s="24" t="n">
        <x:v>45992</x:v>
      </x:c>
      <x:c r="C1791" t="n">
        <x:v>1003</x:v>
      </x:c>
      <x:c r="D1791" t="str">
        <x:v>Seller 1003</x:v>
      </x:c>
      <x:c r="E1791" t="str">
        <x:v>Platinum</x:v>
      </x:c>
      <x:c r="F1791" t="str">
        <x:v>East</x:v>
      </x:c>
      <x:c r="G1791" t="str">
        <x:v>Apparel</x:v>
      </x:c>
      <x:c r="H1791" t="n">
        <x:v>2</x:v>
      </x:c>
      <x:c r="I1791" s="26" t="n">
        <x:v>2230.2000000000003</x:v>
      </x:c>
      <x:c r="J1791" s="26" t="n">
        <x:v>8521.2</x:v>
      </x:c>
      <x:c r="K1791" s="28" t="n">
        <x:v>0.1311</x:v>
      </x:c>
      <x:c r="L1791" s="26" t="n">
        <x:v>1117.13</x:v>
      </x:c>
      <x:c r="M1791" t="n">
        <x:v>0</x:v>
      </x:c>
      <x:c r="N1791" s="26" t="n">
        <x:v>0</x:v>
      </x:c>
      <x:c r="O1791" s="26" t="n">
        <x:v>157.64</x:v>
      </x:c>
      <x:c r="P1791" s="26" t="n">
        <x:v>38.35</x:v>
      </x:c>
      <x:c r="Q1791" s="26" t="n">
        <x:v>72.43</x:v>
      </x:c>
      <x:c r="R1791" s="26" t="n">
        <x:v>89.47</x:v>
      </x:c>
      <x:c r="S1791" s="26" t="n">
        <x:v>759.24</x:v>
      </x:c>
    </x:row>
    <x:row r="1792">
      <x:c r="A1792" t="n">
        <x:v>501789</x:v>
      </x:c>
      <x:c r="B1792" s="24" t="n">
        <x:v>46002</x:v>
      </x:c>
      <x:c r="C1792" t="n">
        <x:v>1054</x:v>
      </x:c>
      <x:c r="D1792" t="str">
        <x:v>Seller 1054</x:v>
      </x:c>
      <x:c r="E1792" t="str">
        <x:v>Silver</x:v>
      </x:c>
      <x:c r="F1792" t="str">
        <x:v>South</x:v>
      </x:c>
      <x:c r="G1792" t="str">
        <x:v>Home &amp; Kitchen</x:v>
      </x:c>
      <x:c r="H1792" t="n">
        <x:v>4</x:v>
      </x:c>
      <x:c r="I1792" s="26" t="n">
        <x:v>959.4</x:v>
      </x:c>
      <x:c r="J1792" s="26" t="n">
        <x:v>4162.2</x:v>
      </x:c>
      <x:c r="K1792" s="28" t="n">
        <x:v>0.1511</x:v>
      </x:c>
      <x:c r="L1792" s="26" t="n">
        <x:v>628.91</x:v>
      </x:c>
      <x:c r="M1792" t="n">
        <x:v>0</x:v>
      </x:c>
      <x:c r="N1792" s="26" t="n">
        <x:v>0</x:v>
      </x:c>
      <x:c r="O1792" s="26" t="n">
        <x:v>77</x:v>
      </x:c>
      <x:c r="P1792" s="26" t="n">
        <x:v>18.73</x:v>
      </x:c>
      <x:c r="Q1792" s="26" t="n">
        <x:v>35.38</x:v>
      </x:c>
      <x:c r="R1792" s="26" t="n">
        <x:v>43.7</x:v>
      </x:c>
      <x:c r="S1792" s="26" t="n">
        <x:v>454.1</x:v>
      </x:c>
    </x:row>
    <x:row r="1793">
      <x:c r="A1793" t="n">
        <x:v>501790</x:v>
      </x:c>
      <x:c r="B1793" s="24" t="n">
        <x:v>46015</x:v>
      </x:c>
      <x:c r="C1793" t="n">
        <x:v>1050</x:v>
      </x:c>
      <x:c r="D1793" t="str">
        <x:v>Seller 1050</x:v>
      </x:c>
      <x:c r="E1793" t="str">
        <x:v>Silver</x:v>
      </x:c>
      <x:c r="F1793" t="str">
        <x:v>East</x:v>
      </x:c>
      <x:c r="G1793" t="str">
        <x:v>Apparel</x:v>
      </x:c>
      <x:c r="H1793" t="n">
        <x:v>3</x:v>
      </x:c>
      <x:c r="I1793" s="26" t="n">
        <x:v>1401</x:v>
      </x:c>
      <x:c r="J1793" s="26" t="n">
        <x:v>4558.2</x:v>
      </x:c>
      <x:c r="K1793" s="28" t="n">
        <x:v>0.1337</x:v>
      </x:c>
      <x:c r="L1793" s="26" t="n">
        <x:v>609.43</x:v>
      </x:c>
      <x:c r="M1793" t="n">
        <x:v>1</x:v>
      </x:c>
      <x:c r="N1793" s="26" t="n">
        <x:v>4519.8</x:v>
      </x:c>
      <x:c r="O1793" s="26" t="n">
        <x:v>84.33</x:v>
      </x:c>
      <x:c r="P1793" s="26" t="n">
        <x:v>20.51</x:v>
      </x:c>
      <x:c r="Q1793" s="26" t="n">
        <x:v>38.74</x:v>
      </x:c>
      <x:c r="R1793" s="26" t="n">
        <x:v>47.86</x:v>
      </x:c>
      <x:c r="S1793" s="26" t="n">
        <x:v>327.59</x:v>
      </x:c>
    </x:row>
    <x:row r="1794">
      <x:c r="A1794" t="n">
        <x:v>501791</x:v>
      </x:c>
      <x:c r="B1794" s="24" t="n">
        <x:v>46011</x:v>
      </x:c>
      <x:c r="C1794" t="n">
        <x:v>1062</x:v>
      </x:c>
      <x:c r="D1794" t="str">
        <x:v>Seller 1062</x:v>
      </x:c>
      <x:c r="E1794" t="str">
        <x:v>Bronze</x:v>
      </x:c>
      <x:c r="F1794" t="str">
        <x:v>West</x:v>
      </x:c>
      <x:c r="G1794" t="str">
        <x:v>Electronics</x:v>
      </x:c>
      <x:c r="H1794" t="n">
        <x:v>2</x:v>
      </x:c>
      <x:c r="I1794" s="26" t="n">
        <x:v>4873.2</x:v>
      </x:c>
      <x:c r="J1794" s="26" t="n">
        <x:v>7447.8</x:v>
      </x:c>
      <x:c r="K1794" s="28" t="n">
        <x:v>0.1312</x:v>
      </x:c>
      <x:c r="L1794" s="26" t="n">
        <x:v>977.15</x:v>
      </x:c>
      <x:c r="M1794" t="n">
        <x:v>0</x:v>
      </x:c>
      <x:c r="N1794" s="26" t="n">
        <x:v>0</x:v>
      </x:c>
      <x:c r="O1794" s="26" t="n">
        <x:v>137.78</x:v>
      </x:c>
      <x:c r="P1794" s="26" t="n">
        <x:v>33.52</x:v>
      </x:c>
      <x:c r="Q1794" s="26" t="n">
        <x:v>63.31</x:v>
      </x:c>
      <x:c r="R1794" s="26" t="n">
        <x:v>78.2</x:v>
      </x:c>
      <x:c r="S1794" s="26" t="n">
        <x:v>664.34</x:v>
      </x:c>
    </x:row>
    <x:row r="1795">
      <x:c r="A1795" t="n">
        <x:v>501792</x:v>
      </x:c>
      <x:c r="B1795" s="24" t="n">
        <x:v>46013</x:v>
      </x:c>
      <x:c r="C1795" t="n">
        <x:v>1072</x:v>
      </x:c>
      <x:c r="D1795" t="str">
        <x:v>Seller 1072</x:v>
      </x:c>
      <x:c r="E1795" t="str">
        <x:v>Bronze</x:v>
      </x:c>
      <x:c r="F1795" t="str">
        <x:v>South</x:v>
      </x:c>
      <x:c r="G1795" t="str">
        <x:v>Home &amp; Kitchen</x:v>
      </x:c>
      <x:c r="H1795" t="n">
        <x:v>3</x:v>
      </x:c>
      <x:c r="I1795" s="26" t="n">
        <x:v>1683</x:v>
      </x:c>
      <x:c r="J1795" s="26" t="n">
        <x:v>3858</x:v>
      </x:c>
      <x:c r="K1795" s="28" t="n">
        <x:v>0.1415</x:v>
      </x:c>
      <x:c r="L1795" s="26" t="n">
        <x:v>545.91</x:v>
      </x:c>
      <x:c r="M1795" t="n">
        <x:v>0</x:v>
      </x:c>
      <x:c r="N1795" s="26" t="n">
        <x:v>0</x:v>
      </x:c>
      <x:c r="O1795" s="26" t="n">
        <x:v>71.37</x:v>
      </x:c>
      <x:c r="P1795" s="26" t="n">
        <x:v>17.36</x:v>
      </x:c>
      <x:c r="Q1795" s="26" t="n">
        <x:v>32.79</x:v>
      </x:c>
      <x:c r="R1795" s="26" t="n">
        <x:v>40.51</x:v>
      </x:c>
      <x:c r="S1795" s="26" t="n">
        <x:v>383.87</x:v>
      </x:c>
    </x:row>
    <x:row r="1796">
      <x:c r="A1796" t="n">
        <x:v>501793</x:v>
      </x:c>
      <x:c r="B1796" s="24" t="n">
        <x:v>46002</x:v>
      </x:c>
      <x:c r="C1796" t="n">
        <x:v>1079</x:v>
      </x:c>
      <x:c r="D1796" t="str">
        <x:v>Seller 1079</x:v>
      </x:c>
      <x:c r="E1796" t="str">
        <x:v>Bronze</x:v>
      </x:c>
      <x:c r="F1796" t="str">
        <x:v>South</x:v>
      </x:c>
      <x:c r="G1796" t="str">
        <x:v>Beauty</x:v>
      </x:c>
      <x:c r="H1796" t="n">
        <x:v>2</x:v>
      </x:c>
      <x:c r="I1796" s="26" t="n">
        <x:v>1200</x:v>
      </x:c>
      <x:c r="J1796" s="26" t="n">
        <x:v>1834.2</x:v>
      </x:c>
      <x:c r="K1796" s="28" t="n">
        <x:v>0.1402</x:v>
      </x:c>
      <x:c r="L1796" s="26" t="n">
        <x:v>257.15</x:v>
      </x:c>
      <x:c r="M1796" t="n">
        <x:v>0</x:v>
      </x:c>
      <x:c r="N1796" s="26" t="n">
        <x:v>0</x:v>
      </x:c>
      <x:c r="O1796" s="26" t="n">
        <x:v>33.93</x:v>
      </x:c>
      <x:c r="P1796" s="26" t="n">
        <x:v>8.25</x:v>
      </x:c>
      <x:c r="Q1796" s="26" t="n">
        <x:v>15.59</x:v>
      </x:c>
      <x:c r="R1796" s="26" t="n">
        <x:v>19.26</x:v>
      </x:c>
      <x:c r="S1796" s="26" t="n">
        <x:v>180.12</x:v>
      </x:c>
    </x:row>
    <x:row r="1797">
      <x:c r="A1797" t="n">
        <x:v>501794</x:v>
      </x:c>
      <x:c r="B1797" s="24" t="n">
        <x:v>45992</x:v>
      </x:c>
      <x:c r="C1797" t="n">
        <x:v>1063</x:v>
      </x:c>
      <x:c r="D1797" t="str">
        <x:v>Seller 1063</x:v>
      </x:c>
      <x:c r="E1797" t="str">
        <x:v>Bronze</x:v>
      </x:c>
      <x:c r="F1797" t="str">
        <x:v>West</x:v>
      </x:c>
      <x:c r="G1797" t="str">
        <x:v>Pet Supplies</x:v>
      </x:c>
      <x:c r="H1797" t="n">
        <x:v>1</x:v>
      </x:c>
      <x:c r="I1797" s="26" t="n">
        <x:v>3087.6</x:v>
      </x:c>
      <x:c r="J1797" s="26" t="n">
        <x:v>2359.8</x:v>
      </x:c>
      <x:c r="K1797" s="28" t="n">
        <x:v>0.1392</x:v>
      </x:c>
      <x:c r="L1797" s="26" t="n">
        <x:v>328.48</x:v>
      </x:c>
      <x:c r="M1797" t="n">
        <x:v>0</x:v>
      </x:c>
      <x:c r="N1797" s="26" t="n">
        <x:v>0</x:v>
      </x:c>
      <x:c r="O1797" s="26" t="n">
        <x:v>43.66</x:v>
      </x:c>
      <x:c r="P1797" s="26" t="n">
        <x:v>10.62</x:v>
      </x:c>
      <x:c r="Q1797" s="26" t="n">
        <x:v>20.06</x:v>
      </x:c>
      <x:c r="R1797" s="26" t="n">
        <x:v>24.78</x:v>
      </x:c>
      <x:c r="S1797" s="26" t="n">
        <x:v>229.37</x:v>
      </x:c>
    </x:row>
    <x:row r="1798">
      <x:c r="A1798" t="n">
        <x:v>501795</x:v>
      </x:c>
      <x:c r="B1798" s="24" t="n">
        <x:v>45994</x:v>
      </x:c>
      <x:c r="C1798" t="n">
        <x:v>1049</x:v>
      </x:c>
      <x:c r="D1798" t="str">
        <x:v>Seller 1049</x:v>
      </x:c>
      <x:c r="E1798" t="str">
        <x:v>Silver</x:v>
      </x:c>
      <x:c r="F1798" t="str">
        <x:v>West</x:v>
      </x:c>
      <x:c r="G1798" t="str">
        <x:v>Home &amp; Kitchen</x:v>
      </x:c>
      <x:c r="H1798" t="n">
        <x:v>2</x:v>
      </x:c>
      <x:c r="I1798" s="26" t="n">
        <x:v>1837.8</x:v>
      </x:c>
      <x:c r="J1798" s="26" t="n">
        <x:v>3987</x:v>
      </x:c>
      <x:c r="K1798" s="28" t="n">
        <x:v>0.1442</x:v>
      </x:c>
      <x:c r="L1798" s="26" t="n">
        <x:v>574.93</x:v>
      </x:c>
      <x:c r="M1798" t="n">
        <x:v>0</x:v>
      </x:c>
      <x:c r="N1798" s="26" t="n">
        <x:v>0</x:v>
      </x:c>
      <x:c r="O1798" s="26" t="n">
        <x:v>73.76</x:v>
      </x:c>
      <x:c r="P1798" s="26" t="n">
        <x:v>17.94</x:v>
      </x:c>
      <x:c r="Q1798" s="26" t="n">
        <x:v>33.89</x:v>
      </x:c>
      <x:c r="R1798" s="26" t="n">
        <x:v>41.86</x:v>
      </x:c>
      <x:c r="S1798" s="26" t="n">
        <x:v>407.47</x:v>
      </x:c>
    </x:row>
    <x:row r="1799">
      <x:c r="A1799" t="n">
        <x:v>501796</x:v>
      </x:c>
      <x:c r="B1799" s="24" t="n">
        <x:v>46001</x:v>
      </x:c>
      <x:c r="C1799" t="n">
        <x:v>1012</x:v>
      </x:c>
      <x:c r="D1799" t="str">
        <x:v>Seller 1012</x:v>
      </x:c>
      <x:c r="E1799" t="str">
        <x:v>Platinum</x:v>
      </x:c>
      <x:c r="F1799" t="str">
        <x:v>East</x:v>
      </x:c>
      <x:c r="G1799" t="str">
        <x:v>Beauty</x:v>
      </x:c>
      <x:c r="H1799" t="n">
        <x:v>2</x:v>
      </x:c>
      <x:c r="I1799" s="26" t="n">
        <x:v>1467</x:v>
      </x:c>
      <x:c r="J1799" s="26" t="n">
        <x:v>5605.2</x:v>
      </x:c>
      <x:c r="K1799" s="28" t="n">
        <x:v>0.1401</x:v>
      </x:c>
      <x:c r="L1799" s="26" t="n">
        <x:v>785.29</x:v>
      </x:c>
      <x:c r="M1799" t="n">
        <x:v>0</x:v>
      </x:c>
      <x:c r="N1799" s="26" t="n">
        <x:v>0</x:v>
      </x:c>
      <x:c r="O1799" s="26" t="n">
        <x:v>103.7</x:v>
      </x:c>
      <x:c r="P1799" s="26" t="n">
        <x:v>25.22</x:v>
      </x:c>
      <x:c r="Q1799" s="26" t="n">
        <x:v>47.64</x:v>
      </x:c>
      <x:c r="R1799" s="26" t="n">
        <x:v>58.85</x:v>
      </x:c>
      <x:c r="S1799" s="26" t="n">
        <x:v>549.87</x:v>
      </x:c>
    </x:row>
    <x:row r="1800">
      <x:c r="A1800" t="n">
        <x:v>501797</x:v>
      </x:c>
      <x:c r="B1800" s="24" t="n">
        <x:v>45994</x:v>
      </x:c>
      <x:c r="C1800" t="n">
        <x:v>1073</x:v>
      </x:c>
      <x:c r="D1800" t="str">
        <x:v>Seller 1073</x:v>
      </x:c>
      <x:c r="E1800" t="str">
        <x:v>Bronze</x:v>
      </x:c>
      <x:c r="F1800" t="str">
        <x:v>Central</x:v>
      </x:c>
      <x:c r="G1800" t="str">
        <x:v>Electronics</x:v>
      </x:c>
      <x:c r="H1800" t="n">
        <x:v>3</x:v>
      </x:c>
      <x:c r="I1800" s="26" t="n">
        <x:v>1527</x:v>
      </x:c>
      <x:c r="J1800" s="26" t="n">
        <x:v>3500.4</x:v>
      </x:c>
      <x:c r="K1800" s="28" t="n">
        <x:v>0.1292</x:v>
      </x:c>
      <x:c r="L1800" s="26" t="n">
        <x:v>452.25</x:v>
      </x:c>
      <x:c r="M1800" t="n">
        <x:v>0</x:v>
      </x:c>
      <x:c r="N1800" s="26" t="n">
        <x:v>0</x:v>
      </x:c>
      <x:c r="O1800" s="26" t="n">
        <x:v>64.76</x:v>
      </x:c>
      <x:c r="P1800" s="26" t="n">
        <x:v>15.75</x:v>
      </x:c>
      <x:c r="Q1800" s="26" t="n">
        <x:v>29.75</x:v>
      </x:c>
      <x:c r="R1800" s="26" t="n">
        <x:v>36.75</x:v>
      </x:c>
      <x:c r="S1800" s="26" t="n">
        <x:v>305.23</x:v>
      </x:c>
    </x:row>
    <x:row r="1801">
      <x:c r="A1801" t="n">
        <x:v>501798</x:v>
      </x:c>
      <x:c r="B1801" s="24" t="n">
        <x:v>45993</x:v>
      </x:c>
      <x:c r="C1801" t="n">
        <x:v>1001</x:v>
      </x:c>
      <x:c r="D1801" t="str">
        <x:v>Seller 1001</x:v>
      </x:c>
      <x:c r="E1801" t="str">
        <x:v>Platinum</x:v>
      </x:c>
      <x:c r="F1801" t="str">
        <x:v>East</x:v>
      </x:c>
      <x:c r="G1801" t="str">
        <x:v>Home &amp; Kitchen</x:v>
      </x:c>
      <x:c r="H1801" t="n">
        <x:v>3</x:v>
      </x:c>
      <x:c r="I1801" s="26" t="n">
        <x:v>1400.4</x:v>
      </x:c>
      <x:c r="J1801" s="26" t="n">
        <x:v>8025.6</x:v>
      </x:c>
      <x:c r="K1801" s="28" t="n">
        <x:v>0.1406</x:v>
      </x:c>
      <x:c r="L1801" s="26" t="n">
        <x:v>1128.4</x:v>
      </x:c>
      <x:c r="M1801" t="n">
        <x:v>0</x:v>
      </x:c>
      <x:c r="N1801" s="26" t="n">
        <x:v>0</x:v>
      </x:c>
      <x:c r="O1801" s="26" t="n">
        <x:v>148.47</x:v>
      </x:c>
      <x:c r="P1801" s="26" t="n">
        <x:v>36.12</x:v>
      </x:c>
      <x:c r="Q1801" s="26" t="n">
        <x:v>68.22</x:v>
      </x:c>
      <x:c r="R1801" s="26" t="n">
        <x:v>84.27</x:v>
      </x:c>
      <x:c r="S1801" s="26" t="n">
        <x:v>791.32</x:v>
      </x:c>
    </x:row>
    <x:row r="1802">
      <x:c r="A1802" t="n">
        <x:v>501799</x:v>
      </x:c>
      <x:c r="B1802" s="24" t="n">
        <x:v>46003</x:v>
      </x:c>
      <x:c r="C1802" t="n">
        <x:v>1064</x:v>
      </x:c>
      <x:c r="D1802" t="str">
        <x:v>Seller 1064</x:v>
      </x:c>
      <x:c r="E1802" t="str">
        <x:v>Bronze</x:v>
      </x:c>
      <x:c r="F1802" t="str">
        <x:v>Central</x:v>
      </x:c>
      <x:c r="G1802" t="str">
        <x:v>Pet Supplies</x:v>
      </x:c>
      <x:c r="H1802" t="n">
        <x:v>1</x:v>
      </x:c>
      <x:c r="I1802" s="26" t="n">
        <x:v>2721</x:v>
      </x:c>
      <x:c r="J1802" s="26" t="n">
        <x:v>2079.6</x:v>
      </x:c>
      <x:c r="K1802" s="28" t="n">
        <x:v>0.1342</x:v>
      </x:c>
      <x:c r="L1802" s="26" t="n">
        <x:v>279.08</x:v>
      </x:c>
      <x:c r="M1802" t="n">
        <x:v>0</x:v>
      </x:c>
      <x:c r="N1802" s="26" t="n">
        <x:v>0</x:v>
      </x:c>
      <x:c r="O1802" s="26" t="n">
        <x:v>38.47</x:v>
      </x:c>
      <x:c r="P1802" s="26" t="n">
        <x:v>9.36</x:v>
      </x:c>
      <x:c r="Q1802" s="26" t="n">
        <x:v>17.68</x:v>
      </x:c>
      <x:c r="R1802" s="26" t="n">
        <x:v>21.84</x:v>
      </x:c>
      <x:c r="S1802" s="26" t="n">
        <x:v>191.74</x:v>
      </x:c>
    </x:row>
    <x:row r="1803">
      <x:c r="A1803" t="n">
        <x:v>501800</x:v>
      </x:c>
      <x:c r="B1803" s="24" t="n">
        <x:v>45992</x:v>
      </x:c>
      <x:c r="C1803" t="n">
        <x:v>1034</x:v>
      </x:c>
      <x:c r="D1803" t="str">
        <x:v>Seller 1034</x:v>
      </x:c>
      <x:c r="E1803" t="str">
        <x:v>Silver</x:v>
      </x:c>
      <x:c r="F1803" t="str">
        <x:v>Central</x:v>
      </x:c>
      <x:c r="G1803" t="str">
        <x:v>Sports</x:v>
      </x:c>
      <x:c r="H1803" t="n">
        <x:v>1</x:v>
      </x:c>
      <x:c r="I1803" s="26" t="n">
        <x:v>4327.200000000001</x:v>
      </x:c>
      <x:c r="J1803" s="26" t="n">
        <x:v>4693.2</x:v>
      </x:c>
      <x:c r="K1803" s="28" t="n">
        <x:v>0.1398</x:v>
      </x:c>
      <x:c r="L1803" s="26" t="n">
        <x:v>656.11</x:v>
      </x:c>
      <x:c r="M1803" t="n">
        <x:v>0</x:v>
      </x:c>
      <x:c r="N1803" s="26" t="n">
        <x:v>0</x:v>
      </x:c>
      <x:c r="O1803" s="26" t="n">
        <x:v>86.82</x:v>
      </x:c>
      <x:c r="P1803" s="26" t="n">
        <x:v>21.12</x:v>
      </x:c>
      <x:c r="Q1803" s="26" t="n">
        <x:v>39.89</x:v>
      </x:c>
      <x:c r="R1803" s="26" t="n">
        <x:v>49.28</x:v>
      </x:c>
      <x:c r="S1803" s="26" t="n">
        <x:v>458.99</x:v>
      </x:c>
    </x:row>
    <x:row r="1804">
      <x:c r="A1804" t="n">
        <x:v>501801</x:v>
      </x:c>
      <x:c r="B1804" s="24" t="n">
        <x:v>45998</x:v>
      </x:c>
      <x:c r="C1804" t="n">
        <x:v>1076</x:v>
      </x:c>
      <x:c r="D1804" t="str">
        <x:v>Seller 1076</x:v>
      </x:c>
      <x:c r="E1804" t="str">
        <x:v>Bronze</x:v>
      </x:c>
      <x:c r="F1804" t="str">
        <x:v>Central</x:v>
      </x:c>
      <x:c r="G1804" t="str">
        <x:v>Home &amp; Kitchen</x:v>
      </x:c>
      <x:c r="H1804" t="n">
        <x:v>2</x:v>
      </x:c>
      <x:c r="I1804" s="26" t="n">
        <x:v>2979.6</x:v>
      </x:c>
      <x:c r="J1804" s="26" t="n">
        <x:v>4554</x:v>
      </x:c>
      <x:c r="K1804" s="28" t="n">
        <x:v>0.1505</x:v>
      </x:c>
      <x:c r="L1804" s="26" t="n">
        <x:v>685.38</x:v>
      </x:c>
      <x:c r="M1804" t="n">
        <x:v>1</x:v>
      </x:c>
      <x:c r="N1804" s="26" t="n">
        <x:v>3495.6</x:v>
      </x:c>
      <x:c r="O1804" s="26" t="n">
        <x:v>84.25</x:v>
      </x:c>
      <x:c r="P1804" s="26" t="n">
        <x:v>20.49</x:v>
      </x:c>
      <x:c r="Q1804" s="26" t="n">
        <x:v>38.71</x:v>
      </x:c>
      <x:c r="R1804" s="26" t="n">
        <x:v>47.82</x:v>
      </x:c>
      <x:c r="S1804" s="26" t="n">
        <x:v>424.2</x:v>
      </x:c>
    </x:row>
    <x:row r="1805">
      <x:c r="A1805" t="n">
        <x:v>501802</x:v>
      </x:c>
      <x:c r="B1805" s="24" t="n">
        <x:v>45996</x:v>
      </x:c>
      <x:c r="C1805" t="n">
        <x:v>1066</x:v>
      </x:c>
      <x:c r="D1805" t="str">
        <x:v>Seller 1066</x:v>
      </x:c>
      <x:c r="E1805" t="str">
        <x:v>Bronze</x:v>
      </x:c>
      <x:c r="F1805" t="str">
        <x:v>South</x:v>
      </x:c>
      <x:c r="G1805" t="str">
        <x:v>Home &amp; Kitchen</x:v>
      </x:c>
      <x:c r="H1805" t="n">
        <x:v>5</x:v>
      </x:c>
      <x:c r="I1805" s="26" t="n">
        <x:v>777.6</x:v>
      </x:c>
      <x:c r="J1805" s="26" t="n">
        <x:v>2970.6</x:v>
      </x:c>
      <x:c r="K1805" s="28" t="n">
        <x:v>0.1302</x:v>
      </x:c>
      <x:c r="L1805" s="26" t="n">
        <x:v>386.77</x:v>
      </x:c>
      <x:c r="M1805" t="n">
        <x:v>0</x:v>
      </x:c>
      <x:c r="N1805" s="26" t="n">
        <x:v>0</x:v>
      </x:c>
      <x:c r="O1805" s="26" t="n">
        <x:v>54.96</x:v>
      </x:c>
      <x:c r="P1805" s="26" t="n">
        <x:v>13.37</x:v>
      </x:c>
      <x:c r="Q1805" s="26" t="n">
        <x:v>25.25</x:v>
      </x:c>
      <x:c r="R1805" s="26" t="n">
        <x:v>31.19</x:v>
      </x:c>
      <x:c r="S1805" s="26" t="n">
        <x:v>262.01</x:v>
      </x:c>
    </x:row>
    <x:row r="1806">
      <x:c r="A1806" t="n">
        <x:v>501803</x:v>
      </x:c>
      <x:c r="B1806" s="24" t="n">
        <x:v>46017</x:v>
      </x:c>
      <x:c r="C1806" t="n">
        <x:v>1014</x:v>
      </x:c>
      <x:c r="D1806" t="str">
        <x:v>Seller 1014</x:v>
      </x:c>
      <x:c r="E1806" t="str">
        <x:v>Gold</x:v>
      </x:c>
      <x:c r="F1806" t="str">
        <x:v>East</x:v>
      </x:c>
      <x:c r="G1806" t="str">
        <x:v>Sports</x:v>
      </x:c>
      <x:c r="H1806" t="n">
        <x:v>2</x:v>
      </x:c>
      <x:c r="I1806" s="26" t="n">
        <x:v>2909.4</x:v>
      </x:c>
      <x:c r="J1806" s="26" t="n">
        <x:v>8247.6</x:v>
      </x:c>
      <x:c r="K1806" s="28" t="n">
        <x:v>0.1431</x:v>
      </x:c>
      <x:c r="L1806" s="26" t="n">
        <x:v>1180.23</x:v>
      </x:c>
      <x:c r="M1806" t="n">
        <x:v>0</x:v>
      </x:c>
      <x:c r="N1806" s="26" t="n">
        <x:v>0</x:v>
      </x:c>
      <x:c r="O1806" s="26" t="n">
        <x:v>152.58</x:v>
      </x:c>
      <x:c r="P1806" s="26" t="n">
        <x:v>37.11</x:v>
      </x:c>
      <x:c r="Q1806" s="26" t="n">
        <x:v>70.1</x:v>
      </x:c>
      <x:c r="R1806" s="26" t="n">
        <x:v>86.6</x:v>
      </x:c>
      <x:c r="S1806" s="26" t="n">
        <x:v>833.83</x:v>
      </x:c>
    </x:row>
    <x:row r="1807">
      <x:c r="A1807" t="n">
        <x:v>501804</x:v>
      </x:c>
      <x:c r="B1807" s="24" t="n">
        <x:v>45995</x:v>
      </x:c>
      <x:c r="C1807" t="n">
        <x:v>1013</x:v>
      </x:c>
      <x:c r="D1807" t="str">
        <x:v>Seller 1013</x:v>
      </x:c>
      <x:c r="E1807" t="str">
        <x:v>Gold</x:v>
      </x:c>
      <x:c r="F1807" t="str">
        <x:v>West</x:v>
      </x:c>
      <x:c r="G1807" t="str">
        <x:v>Electronics</x:v>
      </x:c>
      <x:c r="H1807" t="n">
        <x:v>1</x:v>
      </x:c>
      <x:c r="I1807" s="26" t="n">
        <x:v>8673.6</x:v>
      </x:c>
      <x:c r="J1807" s="26" t="n">
        <x:v>12294.6</x:v>
      </x:c>
      <x:c r="K1807" s="28" t="n">
        <x:v>0.1286</x:v>
      </x:c>
      <x:c r="L1807" s="26" t="n">
        <x:v>1581.09</x:v>
      </x:c>
      <x:c r="M1807" t="n">
        <x:v>0</x:v>
      </x:c>
      <x:c r="N1807" s="26" t="n">
        <x:v>0</x:v>
      </x:c>
      <x:c r="O1807" s="26" t="n">
        <x:v>227.45</x:v>
      </x:c>
      <x:c r="P1807" s="26" t="n">
        <x:v>55.33</x:v>
      </x:c>
      <x:c r="Q1807" s="26" t="n">
        <x:v>104.5</x:v>
      </x:c>
      <x:c r="R1807" s="26" t="n">
        <x:v>129.09</x:v>
      </x:c>
      <x:c r="S1807" s="26" t="n">
        <x:v>1064.71</x:v>
      </x:c>
    </x:row>
    <x:row r="1808">
      <x:c r="A1808" t="n">
        <x:v>501805</x:v>
      </x:c>
      <x:c r="B1808" s="24" t="n">
        <x:v>46000</x:v>
      </x:c>
      <x:c r="C1808" t="n">
        <x:v>1021</x:v>
      </x:c>
      <x:c r="D1808" t="str">
        <x:v>Seller 1021</x:v>
      </x:c>
      <x:c r="E1808" t="str">
        <x:v>Gold</x:v>
      </x:c>
      <x:c r="F1808" t="str">
        <x:v>Central</x:v>
      </x:c>
      <x:c r="G1808" t="str">
        <x:v>Pet Supplies</x:v>
      </x:c>
      <x:c r="H1808" t="n">
        <x:v>3</x:v>
      </x:c>
      <x:c r="I1808" s="26" t="n">
        <x:v>922.8000000000001</x:v>
      </x:c>
      <x:c r="J1808" s="26" t="n">
        <x:v>3924.6</x:v>
      </x:c>
      <x:c r="K1808" s="28" t="n">
        <x:v>0.1446</x:v>
      </x:c>
      <x:c r="L1808" s="26" t="n">
        <x:v>567.5</x:v>
      </x:c>
      <x:c r="M1808" t="n">
        <x:v>0</x:v>
      </x:c>
      <x:c r="N1808" s="26" t="n">
        <x:v>0</x:v>
      </x:c>
      <x:c r="O1808" s="26" t="n">
        <x:v>72.61</x:v>
      </x:c>
      <x:c r="P1808" s="26" t="n">
        <x:v>17.66</x:v>
      </x:c>
      <x:c r="Q1808" s="26" t="n">
        <x:v>33.36</x:v>
      </x:c>
      <x:c r="R1808" s="26" t="n">
        <x:v>41.21</x:v>
      </x:c>
      <x:c r="S1808" s="26" t="n">
        <x:v>402.66</x:v>
      </x:c>
    </x:row>
    <x:row r="1809">
      <x:c r="A1809" t="n">
        <x:v>501806</x:v>
      </x:c>
      <x:c r="B1809" s="24" t="n">
        <x:v>46016</x:v>
      </x:c>
      <x:c r="C1809" t="n">
        <x:v>1056</x:v>
      </x:c>
      <x:c r="D1809" t="str">
        <x:v>Seller 1056</x:v>
      </x:c>
      <x:c r="E1809" t="str">
        <x:v>Bronze</x:v>
      </x:c>
      <x:c r="F1809" t="str">
        <x:v>West</x:v>
      </x:c>
      <x:c r="G1809" t="str">
        <x:v>Apparel</x:v>
      </x:c>
      <x:c r="H1809" t="n">
        <x:v>2</x:v>
      </x:c>
      <x:c r="I1809" s="26" t="n">
        <x:v>1932.6000000000001</x:v>
      </x:c>
      <x:c r="J1809" s="26" t="n">
        <x:v>2954.4</x:v>
      </x:c>
      <x:c r="K1809" s="28" t="n">
        <x:v>0.1365</x:v>
      </x:c>
      <x:c r="L1809" s="26" t="n">
        <x:v>403.28</x:v>
      </x:c>
      <x:c r="M1809" t="n">
        <x:v>0</x:v>
      </x:c>
      <x:c r="N1809" s="26" t="n">
        <x:v>0</x:v>
      </x:c>
      <x:c r="O1809" s="26" t="n">
        <x:v>54.66</x:v>
      </x:c>
      <x:c r="P1809" s="26" t="n">
        <x:v>13.29</x:v>
      </x:c>
      <x:c r="Q1809" s="26" t="n">
        <x:v>25.11</x:v>
      </x:c>
      <x:c r="R1809" s="26" t="n">
        <x:v>31.02</x:v>
      </x:c>
      <x:c r="S1809" s="26" t="n">
        <x:v>279.19</x:v>
      </x:c>
    </x:row>
    <x:row r="1810">
      <x:c r="A1810" t="n">
        <x:v>501807</x:v>
      </x:c>
      <x:c r="B1810" s="24" t="n">
        <x:v>45993</x:v>
      </x:c>
      <x:c r="C1810" t="n">
        <x:v>1063</x:v>
      </x:c>
      <x:c r="D1810" t="str">
        <x:v>Seller 1063</x:v>
      </x:c>
      <x:c r="E1810" t="str">
        <x:v>Bronze</x:v>
      </x:c>
      <x:c r="F1810" t="str">
        <x:v>West</x:v>
      </x:c>
      <x:c r="G1810" t="str">
        <x:v>Apparel</x:v>
      </x:c>
      <x:c r="H1810" t="n">
        <x:v>1</x:v>
      </x:c>
      <x:c r="I1810" s="26" t="n">
        <x:v>3675</x:v>
      </x:c>
      <x:c r="J1810" s="26" t="n">
        <x:v>2808</x:v>
      </x:c>
      <x:c r="K1810" s="28" t="n">
        <x:v>0.1344</x:v>
      </x:c>
      <x:c r="L1810" s="26" t="n">
        <x:v>377.4</x:v>
      </x:c>
      <x:c r="M1810" t="n">
        <x:v>0</x:v>
      </x:c>
      <x:c r="N1810" s="26" t="n">
        <x:v>0</x:v>
      </x:c>
      <x:c r="O1810" s="26" t="n">
        <x:v>51.95</x:v>
      </x:c>
      <x:c r="P1810" s="26" t="n">
        <x:v>12.64</x:v>
      </x:c>
      <x:c r="Q1810" s="26" t="n">
        <x:v>23.87</x:v>
      </x:c>
      <x:c r="R1810" s="26" t="n">
        <x:v>29.48</x:v>
      </x:c>
      <x:c r="S1810" s="26" t="n">
        <x:v>259.46</x:v>
      </x:c>
    </x:row>
    <x:row r="1811">
      <x:c r="A1811" t="n">
        <x:v>501808</x:v>
      </x:c>
      <x:c r="B1811" s="24" t="n">
        <x:v>45988</x:v>
      </x:c>
      <x:c r="C1811" t="n">
        <x:v>1044</x:v>
      </x:c>
      <x:c r="D1811" t="str">
        <x:v>Seller 1044</x:v>
      </x:c>
      <x:c r="E1811" t="str">
        <x:v>Silver</x:v>
      </x:c>
      <x:c r="F1811" t="str">
        <x:v>East</x:v>
      </x:c>
      <x:c r="G1811" t="str">
        <x:v>Pet Supplies</x:v>
      </x:c>
      <x:c r="H1811" t="n">
        <x:v>2</x:v>
      </x:c>
      <x:c r="I1811" s="26" t="n">
        <x:v>1774.8</x:v>
      </x:c>
      <x:c r="J1811" s="26" t="n">
        <x:v>3850.2</x:v>
      </x:c>
      <x:c r="K1811" s="28" t="n">
        <x:v>0.128</x:v>
      </x:c>
      <x:c r="L1811" s="26" t="n">
        <x:v>492.83</x:v>
      </x:c>
      <x:c r="M1811" t="n">
        <x:v>0</x:v>
      </x:c>
      <x:c r="N1811" s="26" t="n">
        <x:v>0</x:v>
      </x:c>
      <x:c r="O1811" s="26" t="n">
        <x:v>71.23</x:v>
      </x:c>
      <x:c r="P1811" s="26" t="n">
        <x:v>17.33</x:v>
      </x:c>
      <x:c r="Q1811" s="26" t="n">
        <x:v>32.73</x:v>
      </x:c>
      <x:c r="R1811" s="26" t="n">
        <x:v>40.43</x:v>
      </x:c>
      <x:c r="S1811" s="26" t="n">
        <x:v>331.12</x:v>
      </x:c>
    </x:row>
    <x:row r="1812">
      <x:c r="A1812" t="n">
        <x:v>501809</x:v>
      </x:c>
      <x:c r="B1812" s="24" t="n">
        <x:v>45989</x:v>
      </x:c>
      <x:c r="C1812" t="n">
        <x:v>1020</x:v>
      </x:c>
      <x:c r="D1812" t="str">
        <x:v>Seller 1020</x:v>
      </x:c>
      <x:c r="E1812" t="str">
        <x:v>Gold</x:v>
      </x:c>
      <x:c r="F1812" t="str">
        <x:v>West</x:v>
      </x:c>
      <x:c r="G1812" t="str">
        <x:v>Home &amp; Kitchen</x:v>
      </x:c>
      <x:c r="H1812" t="n">
        <x:v>2</x:v>
      </x:c>
      <x:c r="I1812" s="26" t="n">
        <x:v>2467.8</x:v>
      </x:c>
      <x:c r="J1812" s="26" t="n">
        <x:v>6996.6</x:v>
      </x:c>
      <x:c r="K1812" s="28" t="n">
        <x:v>0.1523</x:v>
      </x:c>
      <x:c r="L1812" s="26" t="n">
        <x:v>1065.58</x:v>
      </x:c>
      <x:c r="M1812" t="n">
        <x:v>0</x:v>
      </x:c>
      <x:c r="N1812" s="26" t="n">
        <x:v>0</x:v>
      </x:c>
      <x:c r="O1812" s="26" t="n">
        <x:v>129.44</x:v>
      </x:c>
      <x:c r="P1812" s="26" t="n">
        <x:v>31.48</x:v>
      </x:c>
      <x:c r="Q1812" s="26" t="n">
        <x:v>59.47</x:v>
      </x:c>
      <x:c r="R1812" s="26" t="n">
        <x:v>73.46</x:v>
      </x:c>
      <x:c r="S1812" s="26" t="n">
        <x:v>771.72</x:v>
      </x:c>
    </x:row>
    <x:row r="1813">
      <x:c r="A1813" t="n">
        <x:v>501810</x:v>
      </x:c>
      <x:c r="B1813" s="24" t="n">
        <x:v>46010</x:v>
      </x:c>
      <x:c r="C1813" t="n">
        <x:v>1001</x:v>
      </x:c>
      <x:c r="D1813" t="str">
        <x:v>Seller 1001</x:v>
      </x:c>
      <x:c r="E1813" t="str">
        <x:v>Platinum</x:v>
      </x:c>
      <x:c r="F1813" t="str">
        <x:v>East</x:v>
      </x:c>
      <x:c r="G1813" t="str">
        <x:v>Electronics</x:v>
      </x:c>
      <x:c r="H1813" t="n">
        <x:v>3</x:v>
      </x:c>
      <x:c r="I1813" s="26" t="n">
        <x:v>3018</x:v>
      </x:c>
      <x:c r="J1813" s="26" t="n">
        <x:v>17296.2</x:v>
      </x:c>
      <x:c r="K1813" s="28" t="n">
        <x:v>0.1392</x:v>
      </x:c>
      <x:c r="L1813" s="26" t="n">
        <x:v>2407.63</x:v>
      </x:c>
      <x:c r="M1813" t="n">
        <x:v>0</x:v>
      </x:c>
      <x:c r="N1813" s="26" t="n">
        <x:v>0</x:v>
      </x:c>
      <x:c r="O1813" s="26" t="n">
        <x:v>319.98</x:v>
      </x:c>
      <x:c r="P1813" s="26" t="n">
        <x:v>77.83</x:v>
      </x:c>
      <x:c r="Q1813" s="26" t="n">
        <x:v>147.02</x:v>
      </x:c>
      <x:c r="R1813" s="26" t="n">
        <x:v>181.61</x:v>
      </x:c>
      <x:c r="S1813" s="26" t="n">
        <x:v>1681.19</x:v>
      </x:c>
    </x:row>
    <x:row r="1814">
      <x:c r="A1814" t="n">
        <x:v>501811</x:v>
      </x:c>
      <x:c r="B1814" s="24" t="n">
        <x:v>45990</x:v>
      </x:c>
      <x:c r="C1814" t="n">
        <x:v>1046</x:v>
      </x:c>
      <x:c r="D1814" t="str">
        <x:v>Seller 1046</x:v>
      </x:c>
      <x:c r="E1814" t="str">
        <x:v>Silver</x:v>
      </x:c>
      <x:c r="F1814" t="str">
        <x:v>Central</x:v>
      </x:c>
      <x:c r="G1814" t="str">
        <x:v>Sports</x:v>
      </x:c>
      <x:c r="H1814" t="n">
        <x:v>3</x:v>
      </x:c>
      <x:c r="I1814" s="26" t="n">
        <x:v>1634.3999999999999</x:v>
      </x:c>
      <x:c r="J1814" s="26" t="n">
        <x:v>5319</x:v>
      </x:c>
      <x:c r="K1814" s="28" t="n">
        <x:v>0.1294</x:v>
      </x:c>
      <x:c r="L1814" s="26" t="n">
        <x:v>688.28</x:v>
      </x:c>
      <x:c r="M1814" t="n">
        <x:v>0</x:v>
      </x:c>
      <x:c r="N1814" s="26" t="n">
        <x:v>0</x:v>
      </x:c>
      <x:c r="O1814" s="26" t="n">
        <x:v>98.4</x:v>
      </x:c>
      <x:c r="P1814" s="26" t="n">
        <x:v>23.94</x:v>
      </x:c>
      <x:c r="Q1814" s="26" t="n">
        <x:v>45.21</x:v>
      </x:c>
      <x:c r="R1814" s="26" t="n">
        <x:v>55.85</x:v>
      </x:c>
      <x:c r="S1814" s="26" t="n">
        <x:v>464.88</x:v>
      </x:c>
    </x:row>
    <x:row r="1815">
      <x:c r="A1815" t="n">
        <x:v>501812</x:v>
      </x:c>
      <x:c r="B1815" s="24" t="n">
        <x:v>45991</x:v>
      </x:c>
      <x:c r="C1815" t="n">
        <x:v>1006</x:v>
      </x:c>
      <x:c r="D1815" t="str">
        <x:v>Seller 1006</x:v>
      </x:c>
      <x:c r="E1815" t="str">
        <x:v>Platinum</x:v>
      </x:c>
      <x:c r="F1815" t="str">
        <x:v>East</x:v>
      </x:c>
      <x:c r="G1815" t="str">
        <x:v>Sports</x:v>
      </x:c>
      <x:c r="H1815" t="n">
        <x:v>2</x:v>
      </x:c>
      <x:c r="I1815" s="26" t="n">
        <x:v>2065.2000000000003</x:v>
      </x:c>
      <x:c r="J1815" s="26" t="n">
        <x:v>7891.2</x:v>
      </x:c>
      <x:c r="K1815" s="28" t="n">
        <x:v>0.1261</x:v>
      </x:c>
      <x:c r="L1815" s="26" t="n">
        <x:v>995.08</x:v>
      </x:c>
      <x:c r="M1815" t="n">
        <x:v>0</x:v>
      </x:c>
      <x:c r="N1815" s="26" t="n">
        <x:v>0</x:v>
      </x:c>
      <x:c r="O1815" s="26" t="n">
        <x:v>145.99</x:v>
      </x:c>
      <x:c r="P1815" s="26" t="n">
        <x:v>35.51</x:v>
      </x:c>
      <x:c r="Q1815" s="26" t="n">
        <x:v>67.08</x:v>
      </x:c>
      <x:c r="R1815" s="26" t="n">
        <x:v>82.86</x:v>
      </x:c>
      <x:c r="S1815" s="26" t="n">
        <x:v>663.65</x:v>
      </x:c>
    </x:row>
    <x:row r="1816">
      <x:c r="A1816" t="n">
        <x:v>501813</x:v>
      </x:c>
      <x:c r="B1816" s="24" t="n">
        <x:v>45996</x:v>
      </x:c>
      <x:c r="C1816" t="n">
        <x:v>1035</x:v>
      </x:c>
      <x:c r="D1816" t="str">
        <x:v>Seller 1035</x:v>
      </x:c>
      <x:c r="E1816" t="str">
        <x:v>Silver</x:v>
      </x:c>
      <x:c r="F1816" t="str">
        <x:v>East</x:v>
      </x:c>
      <x:c r="G1816" t="str">
        <x:v>Electronics</x:v>
      </x:c>
      <x:c r="H1816" t="n">
        <x:v>1</x:v>
      </x:c>
      <x:c r="I1816" s="26" t="n">
        <x:v>8136</x:v>
      </x:c>
      <x:c r="J1816" s="26" t="n">
        <x:v>8824.8</x:v>
      </x:c>
      <x:c r="K1816" s="28" t="n">
        <x:v>0.139</x:v>
      </x:c>
      <x:c r="L1816" s="26" t="n">
        <x:v>1226.65</x:v>
      </x:c>
      <x:c r="M1816" t="n">
        <x:v>1</x:v>
      </x:c>
      <x:c r="N1816" s="26" t="n">
        <x:v>7260.6</x:v>
      </x:c>
      <x:c r="O1816" s="26" t="n">
        <x:v>163.26</x:v>
      </x:c>
      <x:c r="P1816" s="26" t="n">
        <x:v>39.71</x:v>
      </x:c>
      <x:c r="Q1816" s="26" t="n">
        <x:v>75.01</x:v>
      </x:c>
      <x:c r="R1816" s="26" t="n">
        <x:v>92.66</x:v>
      </x:c>
      <x:c r="S1816" s="26" t="n">
        <x:v>710.79</x:v>
      </x:c>
    </x:row>
    <x:row r="1817">
      <x:c r="A1817" t="n">
        <x:v>501814</x:v>
      </x:c>
      <x:c r="B1817" s="24" t="n">
        <x:v>46015</x:v>
      </x:c>
      <x:c r="C1817" t="n">
        <x:v>1021</x:v>
      </x:c>
      <x:c r="D1817" t="str">
        <x:v>Seller 1021</x:v>
      </x:c>
      <x:c r="E1817" t="str">
        <x:v>Gold</x:v>
      </x:c>
      <x:c r="F1817" t="str">
        <x:v>Central</x:v>
      </x:c>
      <x:c r="G1817" t="str">
        <x:v>Pet Supplies</x:v>
      </x:c>
      <x:c r="H1817" t="n">
        <x:v>2</x:v>
      </x:c>
      <x:c r="I1817" s="26" t="n">
        <x:v>1453.1999999999998</x:v>
      </x:c>
      <x:c r="J1817" s="26" t="n">
        <x:v>4120.2</x:v>
      </x:c>
      <x:c r="K1817" s="28" t="n">
        <x:v>0.1406</x:v>
      </x:c>
      <x:c r="L1817" s="26" t="n">
        <x:v>579.3</x:v>
      </x:c>
      <x:c r="M1817" t="n">
        <x:v>0</x:v>
      </x:c>
      <x:c r="N1817" s="26" t="n">
        <x:v>0</x:v>
      </x:c>
      <x:c r="O1817" s="26" t="n">
        <x:v>76.22</x:v>
      </x:c>
      <x:c r="P1817" s="26" t="n">
        <x:v>18.54</x:v>
      </x:c>
      <x:c r="Q1817" s="26" t="n">
        <x:v>35.02</x:v>
      </x:c>
      <x:c r="R1817" s="26" t="n">
        <x:v>43.26</x:v>
      </x:c>
      <x:c r="S1817" s="26" t="n">
        <x:v>406.25</x:v>
      </x:c>
    </x:row>
    <x:row r="1818">
      <x:c r="A1818" t="n">
        <x:v>501815</x:v>
      </x:c>
      <x:c r="B1818" s="24" t="n">
        <x:v>46010</x:v>
      </x:c>
      <x:c r="C1818" t="n">
        <x:v>1044</x:v>
      </x:c>
      <x:c r="D1818" t="str">
        <x:v>Seller 1044</x:v>
      </x:c>
      <x:c r="E1818" t="str">
        <x:v>Silver</x:v>
      </x:c>
      <x:c r="F1818" t="str">
        <x:v>East</x:v>
      </x:c>
      <x:c r="G1818" t="str">
        <x:v>Pet Supplies</x:v>
      </x:c>
      <x:c r="H1818" t="n">
        <x:v>2</x:v>
      </x:c>
      <x:c r="I1818" s="26" t="n">
        <x:v>1132.2</x:v>
      </x:c>
      <x:c r="J1818" s="26" t="n">
        <x:v>2455.2</x:v>
      </x:c>
      <x:c r="K1818" s="28" t="n">
        <x:v>0.1346</x:v>
      </x:c>
      <x:c r="L1818" s="26" t="n">
        <x:v>330.47</x:v>
      </x:c>
      <x:c r="M1818" t="n">
        <x:v>0</x:v>
      </x:c>
      <x:c r="N1818" s="26" t="n">
        <x:v>0</x:v>
      </x:c>
      <x:c r="O1818" s="26" t="n">
        <x:v>45.42</x:v>
      </x:c>
      <x:c r="P1818" s="26" t="n">
        <x:v>11.05</x:v>
      </x:c>
      <x:c r="Q1818" s="26" t="n">
        <x:v>20.87</x:v>
      </x:c>
      <x:c r="R1818" s="26" t="n">
        <x:v>25.78</x:v>
      </x:c>
      <x:c r="S1818" s="26" t="n">
        <x:v>227.35</x:v>
      </x:c>
    </x:row>
    <x:row r="1819">
      <x:c r="A1819" t="n">
        <x:v>501816</x:v>
      </x:c>
      <x:c r="B1819" s="24" t="n">
        <x:v>46002</x:v>
      </x:c>
      <x:c r="C1819" t="n">
        <x:v>1052</x:v>
      </x:c>
      <x:c r="D1819" t="str">
        <x:v>Seller 1052</x:v>
      </x:c>
      <x:c r="E1819" t="str">
        <x:v>Silver</x:v>
      </x:c>
      <x:c r="F1819" t="str">
        <x:v>Central</x:v>
      </x:c>
      <x:c r="G1819" t="str">
        <x:v>Pet Supplies</x:v>
      </x:c>
      <x:c r="H1819" t="n">
        <x:v>4</x:v>
      </x:c>
      <x:c r="I1819" s="26" t="n">
        <x:v>592.1999999999999</x:v>
      </x:c>
      <x:c r="J1819" s="26" t="n">
        <x:v>2569.8</x:v>
      </x:c>
      <x:c r="K1819" s="28" t="n">
        <x:v>0.1463</x:v>
      </x:c>
      <x:c r="L1819" s="26" t="n">
        <x:v>375.96</x:v>
      </x:c>
      <x:c r="M1819" t="n">
        <x:v>0</x:v>
      </x:c>
      <x:c r="N1819" s="26" t="n">
        <x:v>0</x:v>
      </x:c>
      <x:c r="O1819" s="26" t="n">
        <x:v>47.54</x:v>
      </x:c>
      <x:c r="P1819" s="26" t="n">
        <x:v>11.56</x:v>
      </x:c>
      <x:c r="Q1819" s="26" t="n">
        <x:v>21.84</x:v>
      </x:c>
      <x:c r="R1819" s="26" t="n">
        <x:v>26.98</x:v>
      </x:c>
      <x:c r="S1819" s="26" t="n">
        <x:v>268.03</x:v>
      </x:c>
    </x:row>
    <x:row r="1820">
      <x:c r="A1820" t="n">
        <x:v>501817</x:v>
      </x:c>
      <x:c r="B1820" s="24" t="n">
        <x:v>45992</x:v>
      </x:c>
      <x:c r="C1820" t="n">
        <x:v>1020</x:v>
      </x:c>
      <x:c r="D1820" t="str">
        <x:v>Seller 1020</x:v>
      </x:c>
      <x:c r="E1820" t="str">
        <x:v>Gold</x:v>
      </x:c>
      <x:c r="F1820" t="str">
        <x:v>West</x:v>
      </x:c>
      <x:c r="G1820" t="str">
        <x:v>Home &amp; Kitchen</x:v>
      </x:c>
      <x:c r="H1820" t="n">
        <x:v>2</x:v>
      </x:c>
      <x:c r="I1820" s="26" t="n">
        <x:v>2491.2000000000003</x:v>
      </x:c>
      <x:c r="J1820" s="26" t="n">
        <x:v>7062.6</x:v>
      </x:c>
      <x:c r="K1820" s="28" t="n">
        <x:v>0.15</x:v>
      </x:c>
      <x:c r="L1820" s="26" t="n">
        <x:v>1059.39</x:v>
      </x:c>
      <x:c r="M1820" t="n">
        <x:v>0</x:v>
      </x:c>
      <x:c r="N1820" s="26" t="n">
        <x:v>0</x:v>
      </x:c>
      <x:c r="O1820" s="26" t="n">
        <x:v>130.66</x:v>
      </x:c>
      <x:c r="P1820" s="26" t="n">
        <x:v>31.78</x:v>
      </x:c>
      <x:c r="Q1820" s="26" t="n">
        <x:v>60.03</x:v>
      </x:c>
      <x:c r="R1820" s="26" t="n">
        <x:v>74.16</x:v>
      </x:c>
      <x:c r="S1820" s="26" t="n">
        <x:v>762.76</x:v>
      </x:c>
    </x:row>
    <x:row r="1821">
      <x:c r="A1821" t="n">
        <x:v>501818</x:v>
      </x:c>
      <x:c r="B1821" s="24" t="n">
        <x:v>46001</x:v>
      </x:c>
      <x:c r="C1821" t="n">
        <x:v>1020</x:v>
      </x:c>
      <x:c r="D1821" t="str">
        <x:v>Seller 1020</x:v>
      </x:c>
      <x:c r="E1821" t="str">
        <x:v>Gold</x:v>
      </x:c>
      <x:c r="F1821" t="str">
        <x:v>West</x:v>
      </x:c>
      <x:c r="G1821" t="str">
        <x:v>Home &amp; Kitchen</x:v>
      </x:c>
      <x:c r="H1821" t="n">
        <x:v>2</x:v>
      </x:c>
      <x:c r="I1821" s="26" t="n">
        <x:v>2806.8</x:v>
      </x:c>
      <x:c r="J1821" s="26" t="n">
        <x:v>7956.6</x:v>
      </x:c>
      <x:c r="K1821" s="28" t="n">
        <x:v>0.1367</x:v>
      </x:c>
      <x:c r="L1821" s="26" t="n">
        <x:v>1087.67</x:v>
      </x:c>
      <x:c r="M1821" t="n">
        <x:v>0</x:v>
      </x:c>
      <x:c r="N1821" s="26" t="n">
        <x:v>0</x:v>
      </x:c>
      <x:c r="O1821" s="26" t="n">
        <x:v>147.2</x:v>
      </x:c>
      <x:c r="P1821" s="26" t="n">
        <x:v>35.8</x:v>
      </x:c>
      <x:c r="Q1821" s="26" t="n">
        <x:v>67.63</x:v>
      </x:c>
      <x:c r="R1821" s="26" t="n">
        <x:v>83.54</x:v>
      </x:c>
      <x:c r="S1821" s="26" t="n">
        <x:v>753.49</x:v>
      </x:c>
    </x:row>
    <x:row r="1822">
      <x:c r="A1822" t="n">
        <x:v>501819</x:v>
      </x:c>
      <x:c r="B1822" s="24" t="n">
        <x:v>46003</x:v>
      </x:c>
      <x:c r="C1822" t="n">
        <x:v>1016</x:v>
      </x:c>
      <x:c r="D1822" t="str">
        <x:v>Seller 1016</x:v>
      </x:c>
      <x:c r="E1822" t="str">
        <x:v>Gold</x:v>
      </x:c>
      <x:c r="F1822" t="str">
        <x:v>West</x:v>
      </x:c>
      <x:c r="G1822" t="str">
        <x:v>Pet Supplies</x:v>
      </x:c>
      <x:c r="H1822" t="n">
        <x:v>3</x:v>
      </x:c>
      <x:c r="I1822" s="26" t="n">
        <x:v>928.2</x:v>
      </x:c>
      <x:c r="J1822" s="26" t="n">
        <x:v>3947.4</x:v>
      </x:c>
      <x:c r="K1822" s="28" t="n">
        <x:v>0.1401</x:v>
      </x:c>
      <x:c r="L1822" s="26" t="n">
        <x:v>553.03</x:v>
      </x:c>
      <x:c r="M1822" t="n">
        <x:v>0</x:v>
      </x:c>
      <x:c r="N1822" s="26" t="n">
        <x:v>0</x:v>
      </x:c>
      <x:c r="O1822" s="26" t="n">
        <x:v>73.03</x:v>
      </x:c>
      <x:c r="P1822" s="26" t="n">
        <x:v>17.76</x:v>
      </x:c>
      <x:c r="Q1822" s="26" t="n">
        <x:v>33.55</x:v>
      </x:c>
      <x:c r="R1822" s="26" t="n">
        <x:v>41.45</x:v>
      </x:c>
      <x:c r="S1822" s="26" t="n">
        <x:v>387.24</x:v>
      </x:c>
    </x:row>
    <x:row r="1823">
      <x:c r="A1823" t="n">
        <x:v>501820</x:v>
      </x:c>
      <x:c r="B1823" s="24" t="n">
        <x:v>46000</x:v>
      </x:c>
      <x:c r="C1823" t="n">
        <x:v>1005</x:v>
      </x:c>
      <x:c r="D1823" t="str">
        <x:v>Seller 1005</x:v>
      </x:c>
      <x:c r="E1823" t="str">
        <x:v>Platinum</x:v>
      </x:c>
      <x:c r="F1823" t="str">
        <x:v>East</x:v>
      </x:c>
      <x:c r="G1823" t="str">
        <x:v>Electronics</x:v>
      </x:c>
      <x:c r="H1823" t="n">
        <x:v>1</x:v>
      </x:c>
      <x:c r="I1823" s="26" t="n">
        <x:v>9105.599999999999</x:v>
      </x:c>
      <x:c r="J1823" s="26" t="n">
        <x:v>17396.4</x:v>
      </x:c>
      <x:c r="K1823" s="28" t="n">
        <x:v>0.1202</x:v>
      </x:c>
      <x:c r="L1823" s="26" t="n">
        <x:v>2091.05</x:v>
      </x:c>
      <x:c r="M1823" t="n">
        <x:v>0</x:v>
      </x:c>
      <x:c r="N1823" s="26" t="n">
        <x:v>0</x:v>
      </x:c>
      <x:c r="O1823" s="26" t="n">
        <x:v>321.83</x:v>
      </x:c>
      <x:c r="P1823" s="26" t="n">
        <x:v>78.28</x:v>
      </x:c>
      <x:c r="Q1823" s="26" t="n">
        <x:v>147.87</x:v>
      </x:c>
      <x:c r="R1823" s="26" t="n">
        <x:v>182.66</x:v>
      </x:c>
      <x:c r="S1823" s="26" t="n">
        <x:v>1360.4</x:v>
      </x:c>
    </x:row>
    <x:row r="1824">
      <x:c r="A1824" t="n">
        <x:v>501821</x:v>
      </x:c>
      <x:c r="B1824" s="24" t="n">
        <x:v>45998</x:v>
      </x:c>
      <x:c r="C1824" t="n">
        <x:v>1024</x:v>
      </x:c>
      <x:c r="D1824" t="str">
        <x:v>Seller 1024</x:v>
      </x:c>
      <x:c r="E1824" t="str">
        <x:v>Gold</x:v>
      </x:c>
      <x:c r="F1824" t="str">
        <x:v>West</x:v>
      </x:c>
      <x:c r="G1824" t="str">
        <x:v>Apparel</x:v>
      </x:c>
      <x:c r="H1824" t="n">
        <x:v>2</x:v>
      </x:c>
      <x:c r="I1824" s="26" t="n">
        <x:v>1660.8</x:v>
      </x:c>
      <x:c r="J1824" s="26" t="n">
        <x:v>4707.6</x:v>
      </x:c>
      <x:c r="K1824" s="28" t="n">
        <x:v>0.131</x:v>
      </x:c>
      <x:c r="L1824" s="26" t="n">
        <x:v>616.7</x:v>
      </x:c>
      <x:c r="M1824" t="n">
        <x:v>0</x:v>
      </x:c>
      <x:c r="N1824" s="26" t="n">
        <x:v>0</x:v>
      </x:c>
      <x:c r="O1824" s="26" t="n">
        <x:v>87.09</x:v>
      </x:c>
      <x:c r="P1824" s="26" t="n">
        <x:v>21.18</x:v>
      </x:c>
      <x:c r="Q1824" s="26" t="n">
        <x:v>40.01</x:v>
      </x:c>
      <x:c r="R1824" s="26" t="n">
        <x:v>49.43</x:v>
      </x:c>
      <x:c r="S1824" s="26" t="n">
        <x:v>418.98</x:v>
      </x:c>
    </x:row>
    <x:row r="1825">
      <x:c r="A1825" t="n">
        <x:v>501822</x:v>
      </x:c>
      <x:c r="B1825" s="24" t="n">
        <x:v>45993</x:v>
      </x:c>
      <x:c r="C1825" t="n">
        <x:v>1055</x:v>
      </x:c>
      <x:c r="D1825" t="str">
        <x:v>Seller 1055</x:v>
      </x:c>
      <x:c r="E1825" t="str">
        <x:v>Bronze</x:v>
      </x:c>
      <x:c r="F1825" t="str">
        <x:v>Central</x:v>
      </x:c>
      <x:c r="G1825" t="str">
        <x:v>Pet Supplies</x:v>
      </x:c>
      <x:c r="H1825" t="n">
        <x:v>4</x:v>
      </x:c>
      <x:c r="I1825" s="26" t="n">
        <x:v>671.4</x:v>
      </x:c>
      <x:c r="J1825" s="26" t="n">
        <x:v>2052.6</x:v>
      </x:c>
      <x:c r="K1825" s="28" t="n">
        <x:v>0.1468</x:v>
      </x:c>
      <x:c r="L1825" s="26" t="n">
        <x:v>301.32</x:v>
      </x:c>
      <x:c r="M1825" t="n">
        <x:v>0</x:v>
      </x:c>
      <x:c r="N1825" s="26" t="n">
        <x:v>0</x:v>
      </x:c>
      <x:c r="O1825" s="26" t="n">
        <x:v>37.97</x:v>
      </x:c>
      <x:c r="P1825" s="26" t="n">
        <x:v>9.24</x:v>
      </x:c>
      <x:c r="Q1825" s="26" t="n">
        <x:v>17.45</x:v>
      </x:c>
      <x:c r="R1825" s="26" t="n">
        <x:v>21.55</x:v>
      </x:c>
      <x:c r="S1825" s="26" t="n">
        <x:v>215.11</x:v>
      </x:c>
    </x:row>
    <x:row r="1826">
      <x:c r="A1826" t="n">
        <x:v>501823</x:v>
      </x:c>
      <x:c r="B1826" s="24" t="n">
        <x:v>46007</x:v>
      </x:c>
      <x:c r="C1826" t="n">
        <x:v>1033</x:v>
      </x:c>
      <x:c r="D1826" t="str">
        <x:v>Seller 1033</x:v>
      </x:c>
      <x:c r="E1826" t="str">
        <x:v>Silver</x:v>
      </x:c>
      <x:c r="F1826" t="str">
        <x:v>South</x:v>
      </x:c>
      <x:c r="G1826" t="str">
        <x:v>Beauty</x:v>
      </x:c>
      <x:c r="H1826" t="n">
        <x:v>1</x:v>
      </x:c>
      <x:c r="I1826" s="26" t="n">
        <x:v>2691.6</x:v>
      </x:c>
      <x:c r="J1826" s="26" t="n">
        <x:v>2919.6</x:v>
      </x:c>
      <x:c r="K1826" s="28" t="n">
        <x:v>0.1426</x:v>
      </x:c>
      <x:c r="L1826" s="26" t="n">
        <x:v>416.33</x:v>
      </x:c>
      <x:c r="M1826" t="n">
        <x:v>0</x:v>
      </x:c>
      <x:c r="N1826" s="26" t="n">
        <x:v>0</x:v>
      </x:c>
      <x:c r="O1826" s="26" t="n">
        <x:v>54.01</x:v>
      </x:c>
      <x:c r="P1826" s="26" t="n">
        <x:v>13.14</x:v>
      </x:c>
      <x:c r="Q1826" s="26" t="n">
        <x:v>24.82</x:v>
      </x:c>
      <x:c r="R1826" s="26" t="n">
        <x:v>30.66</x:v>
      </x:c>
      <x:c r="S1826" s="26" t="n">
        <x:v>293.71</x:v>
      </x:c>
    </x:row>
    <x:row r="1827">
      <x:c r="A1827" t="n">
        <x:v>501824</x:v>
      </x:c>
      <x:c r="B1827" s="24" t="n">
        <x:v>46013</x:v>
      </x:c>
      <x:c r="C1827" t="n">
        <x:v>1064</x:v>
      </x:c>
      <x:c r="D1827" t="str">
        <x:v>Seller 1064</x:v>
      </x:c>
      <x:c r="E1827" t="str">
        <x:v>Bronze</x:v>
      </x:c>
      <x:c r="F1827" t="str">
        <x:v>Central</x:v>
      </x:c>
      <x:c r="G1827" t="str">
        <x:v>Home &amp; Kitchen</x:v>
      </x:c>
      <x:c r="H1827" t="n">
        <x:v>2</x:v>
      </x:c>
      <x:c r="I1827" s="26" t="n">
        <x:v>2057.4</x:v>
      </x:c>
      <x:c r="J1827" s="26" t="n">
        <x:v>3144.6</x:v>
      </x:c>
      <x:c r="K1827" s="28" t="n">
        <x:v>0.1475</x:v>
      </x:c>
      <x:c r="L1827" s="26" t="n">
        <x:v>463.83</x:v>
      </x:c>
      <x:c r="M1827" t="n">
        <x:v>0</x:v>
      </x:c>
      <x:c r="N1827" s="26" t="n">
        <x:v>0</x:v>
      </x:c>
      <x:c r="O1827" s="26" t="n">
        <x:v>58.18</x:v>
      </x:c>
      <x:c r="P1827" s="26" t="n">
        <x:v>14.15</x:v>
      </x:c>
      <x:c r="Q1827" s="26" t="n">
        <x:v>26.73</x:v>
      </x:c>
      <x:c r="R1827" s="26" t="n">
        <x:v>33.02</x:v>
      </x:c>
      <x:c r="S1827" s="26" t="n">
        <x:v>331.76</x:v>
      </x:c>
    </x:row>
    <x:row r="1828">
      <x:c r="A1828" t="n">
        <x:v>501825</x:v>
      </x:c>
      <x:c r="B1828" s="24" t="n">
        <x:v>45998</x:v>
      </x:c>
      <x:c r="C1828" t="n">
        <x:v>1079</x:v>
      </x:c>
      <x:c r="D1828" t="str">
        <x:v>Seller 1079</x:v>
      </x:c>
      <x:c r="E1828" t="str">
        <x:v>Bronze</x:v>
      </x:c>
      <x:c r="F1828" t="str">
        <x:v>South</x:v>
      </x:c>
      <x:c r="G1828" t="str">
        <x:v>Beauty</x:v>
      </x:c>
      <x:c r="H1828" t="n">
        <x:v>3</x:v>
      </x:c>
      <x:c r="I1828" s="26" t="n">
        <x:v>884.4</x:v>
      </x:c>
      <x:c r="J1828" s="26" t="n">
        <x:v>2026.8</x:v>
      </x:c>
      <x:c r="K1828" s="28" t="n">
        <x:v>0.1588</x:v>
      </x:c>
      <x:c r="L1828" s="26" t="n">
        <x:v>321.86</x:v>
      </x:c>
      <x:c r="M1828" t="n">
        <x:v>0</x:v>
      </x:c>
      <x:c r="N1828" s="26" t="n">
        <x:v>0</x:v>
      </x:c>
      <x:c r="O1828" s="26" t="n">
        <x:v>37.5</x:v>
      </x:c>
      <x:c r="P1828" s="26" t="n">
        <x:v>9.12</x:v>
      </x:c>
      <x:c r="Q1828" s="26" t="n">
        <x:v>17.23</x:v>
      </x:c>
      <x:c r="R1828" s="26" t="n">
        <x:v>21.28</x:v>
      </x:c>
      <x:c r="S1828" s="26" t="n">
        <x:v>236.73</x:v>
      </x:c>
    </x:row>
    <x:row r="1829">
      <x:c r="A1829" t="n">
        <x:v>501826</x:v>
      </x:c>
      <x:c r="B1829" s="24" t="n">
        <x:v>46012</x:v>
      </x:c>
      <x:c r="C1829" t="n">
        <x:v>1065</x:v>
      </x:c>
      <x:c r="D1829" t="str">
        <x:v>Seller 1065</x:v>
      </x:c>
      <x:c r="E1829" t="str">
        <x:v>Bronze</x:v>
      </x:c>
      <x:c r="F1829" t="str">
        <x:v>South</x:v>
      </x:c>
      <x:c r="G1829" t="str">
        <x:v>Home &amp; Kitchen</x:v>
      </x:c>
      <x:c r="H1829" t="n">
        <x:v>1</x:v>
      </x:c>
      <x:c r="I1829" s="26" t="n">
        <x:v>5226</x:v>
      </x:c>
      <x:c r="J1829" s="26" t="n">
        <x:v>3993.6</x:v>
      </x:c>
      <x:c r="K1829" s="28" t="n">
        <x:v>0.1432</x:v>
      </x:c>
      <x:c r="L1829" s="26" t="n">
        <x:v>571.88</x:v>
      </x:c>
      <x:c r="M1829" t="n">
        <x:v>0</x:v>
      </x:c>
      <x:c r="N1829" s="26" t="n">
        <x:v>0</x:v>
      </x:c>
      <x:c r="O1829" s="26" t="n">
        <x:v>73.88</x:v>
      </x:c>
      <x:c r="P1829" s="26" t="n">
        <x:v>17.97</x:v>
      </x:c>
      <x:c r="Q1829" s="26" t="n">
        <x:v>33.95</x:v>
      </x:c>
      <x:c r="R1829" s="26" t="n">
        <x:v>41.93</x:v>
      </x:c>
      <x:c r="S1829" s="26" t="n">
        <x:v>404.15</x:v>
      </x:c>
    </x:row>
    <x:row r="1830">
      <x:c r="A1830" t="n">
        <x:v>501827</x:v>
      </x:c>
      <x:c r="B1830" s="24" t="n">
        <x:v>45998</x:v>
      </x:c>
      <x:c r="C1830" t="n">
        <x:v>1006</x:v>
      </x:c>
      <x:c r="D1830" t="str">
        <x:v>Seller 1006</x:v>
      </x:c>
      <x:c r="E1830" t="str">
        <x:v>Platinum</x:v>
      </x:c>
      <x:c r="F1830" t="str">
        <x:v>East</x:v>
      </x:c>
      <x:c r="G1830" t="str">
        <x:v>Sports</x:v>
      </x:c>
      <x:c r="H1830" t="n">
        <x:v>2</x:v>
      </x:c>
      <x:c r="I1830" s="26" t="n">
        <x:v>1829.3999999999999</x:v>
      </x:c>
      <x:c r="J1830" s="26" t="n">
        <x:v>6990</x:v>
      </x:c>
      <x:c r="K1830" s="28" t="n">
        <x:v>0.1349</x:v>
      </x:c>
      <x:c r="L1830" s="26" t="n">
        <x:v>942.95</x:v>
      </x:c>
      <x:c r="M1830" t="n">
        <x:v>0</x:v>
      </x:c>
      <x:c r="N1830" s="26" t="n">
        <x:v>0</x:v>
      </x:c>
      <x:c r="O1830" s="26" t="n">
        <x:v>129.31</x:v>
      </x:c>
      <x:c r="P1830" s="26" t="n">
        <x:v>31.45</x:v>
      </x:c>
      <x:c r="Q1830" s="26" t="n">
        <x:v>59.42</x:v>
      </x:c>
      <x:c r="R1830" s="26" t="n">
        <x:v>73.4</x:v>
      </x:c>
      <x:c r="S1830" s="26" t="n">
        <x:v>649.37</x:v>
      </x:c>
    </x:row>
    <x:row r="1831">
      <x:c r="A1831" t="n">
        <x:v>501828</x:v>
      </x:c>
      <x:c r="B1831" s="24" t="n">
        <x:v>46017</x:v>
      </x:c>
      <x:c r="C1831" t="n">
        <x:v>1003</x:v>
      </x:c>
      <x:c r="D1831" t="str">
        <x:v>Seller 1003</x:v>
      </x:c>
      <x:c r="E1831" t="str">
        <x:v>Platinum</x:v>
      </x:c>
      <x:c r="F1831" t="str">
        <x:v>East</x:v>
      </x:c>
      <x:c r="G1831" t="str">
        <x:v>Pet Supplies</x:v>
      </x:c>
      <x:c r="H1831" t="n">
        <x:v>1</x:v>
      </x:c>
      <x:c r="I1831" s="26" t="n">
        <x:v>2803.2</x:v>
      </x:c>
      <x:c r="J1831" s="26" t="n">
        <x:v>5355.6</x:v>
      </x:c>
      <x:c r="K1831" s="28" t="n">
        <x:v>0.1374</x:v>
      </x:c>
      <x:c r="L1831" s="26" t="n">
        <x:v>735.86</x:v>
      </x:c>
      <x:c r="M1831" t="n">
        <x:v>0</x:v>
      </x:c>
      <x:c r="N1831" s="26" t="n">
        <x:v>0</x:v>
      </x:c>
      <x:c r="O1831" s="26" t="n">
        <x:v>99.08</x:v>
      </x:c>
      <x:c r="P1831" s="26" t="n">
        <x:v>24.1</x:v>
      </x:c>
      <x:c r="Q1831" s="26" t="n">
        <x:v>45.52</x:v>
      </x:c>
      <x:c r="R1831" s="26" t="n">
        <x:v>56.23</x:v>
      </x:c>
      <x:c r="S1831" s="26" t="n">
        <x:v>510.92</x:v>
      </x:c>
    </x:row>
    <x:row r="1832">
      <x:c r="A1832" t="n">
        <x:v>501829</x:v>
      </x:c>
      <x:c r="B1832" s="24" t="n">
        <x:v>46015</x:v>
      </x:c>
      <x:c r="C1832" t="n">
        <x:v>1078</x:v>
      </x:c>
      <x:c r="D1832" t="str">
        <x:v>Seller 1078</x:v>
      </x:c>
      <x:c r="E1832" t="str">
        <x:v>Bronze</x:v>
      </x:c>
      <x:c r="F1832" t="str">
        <x:v>East</x:v>
      </x:c>
      <x:c r="G1832" t="str">
        <x:v>Home &amp; Kitchen</x:v>
      </x:c>
      <x:c r="H1832" t="n">
        <x:v>4</x:v>
      </x:c>
      <x:c r="I1832" s="26" t="n">
        <x:v>883.2</x:v>
      </x:c>
      <x:c r="J1832" s="26" t="n">
        <x:v>2698.8</x:v>
      </x:c>
      <x:c r="K1832" s="28" t="n">
        <x:v>0.1343</x:v>
      </x:c>
      <x:c r="L1832" s="26" t="n">
        <x:v>362.45</x:v>
      </x:c>
      <x:c r="M1832" t="n">
        <x:v>0</x:v>
      </x:c>
      <x:c r="N1832" s="26" t="n">
        <x:v>0</x:v>
      </x:c>
      <x:c r="O1832" s="26" t="n">
        <x:v>49.93</x:v>
      </x:c>
      <x:c r="P1832" s="26" t="n">
        <x:v>12.14</x:v>
      </x:c>
      <x:c r="Q1832" s="26" t="n">
        <x:v>22.94</x:v>
      </x:c>
      <x:c r="R1832" s="26" t="n">
        <x:v>28.34</x:v>
      </x:c>
      <x:c r="S1832" s="26" t="n">
        <x:v>249.1</x:v>
      </x:c>
    </x:row>
    <x:row r="1833">
      <x:c r="A1833" t="n">
        <x:v>501830</x:v>
      </x:c>
      <x:c r="B1833" s="24" t="n">
        <x:v>46014</x:v>
      </x:c>
      <x:c r="C1833" t="n">
        <x:v>1005</x:v>
      </x:c>
      <x:c r="D1833" t="str">
        <x:v>Seller 1005</x:v>
      </x:c>
      <x:c r="E1833" t="str">
        <x:v>Platinum</x:v>
      </x:c>
      <x:c r="F1833" t="str">
        <x:v>East</x:v>
      </x:c>
      <x:c r="G1833" t="str">
        <x:v>Pet Supplies</x:v>
      </x:c>
      <x:c r="H1833" t="n">
        <x:v>3</x:v>
      </x:c>
      <x:c r="I1833" s="26" t="n">
        <x:v>931.8</x:v>
      </x:c>
      <x:c r="J1833" s="26" t="n">
        <x:v>5341.2</x:v>
      </x:c>
      <x:c r="K1833" s="28" t="n">
        <x:v>0.1324</x:v>
      </x:c>
      <x:c r="L1833" s="26" t="n">
        <x:v>707.17</x:v>
      </x:c>
      <x:c r="M1833" t="n">
        <x:v>0</x:v>
      </x:c>
      <x:c r="N1833" s="26" t="n">
        <x:v>0</x:v>
      </x:c>
      <x:c r="O1833" s="26" t="n">
        <x:v>98.81</x:v>
      </x:c>
      <x:c r="P1833" s="26" t="n">
        <x:v>24.04</x:v>
      </x:c>
      <x:c r="Q1833" s="26" t="n">
        <x:v>45.4</x:v>
      </x:c>
      <x:c r="R1833" s="26" t="n">
        <x:v>56.08</x:v>
      </x:c>
      <x:c r="S1833" s="26" t="n">
        <x:v>482.84</x:v>
      </x:c>
    </x:row>
    <x:row r="1834">
      <x:c r="A1834" t="n">
        <x:v>501831</x:v>
      </x:c>
      <x:c r="B1834" s="24" t="n">
        <x:v>46016</x:v>
      </x:c>
      <x:c r="C1834" t="n">
        <x:v>1058</x:v>
      </x:c>
      <x:c r="D1834" t="str">
        <x:v>Seller 1058</x:v>
      </x:c>
      <x:c r="E1834" t="str">
        <x:v>Bronze</x:v>
      </x:c>
      <x:c r="F1834" t="str">
        <x:v>East</x:v>
      </x:c>
      <x:c r="G1834" t="str">
        <x:v>Beauty</x:v>
      </x:c>
      <x:c r="H1834" t="n">
        <x:v>2</x:v>
      </x:c>
      <x:c r="I1834" s="26" t="n">
        <x:v>1321.2</x:v>
      </x:c>
      <x:c r="J1834" s="26" t="n">
        <x:v>2019</x:v>
      </x:c>
      <x:c r="K1834" s="28" t="n">
        <x:v>0.1408</x:v>
      </x:c>
      <x:c r="L1834" s="26" t="n">
        <x:v>284.28</x:v>
      </x:c>
      <x:c r="M1834" t="n">
        <x:v>0</x:v>
      </x:c>
      <x:c r="N1834" s="26" t="n">
        <x:v>0</x:v>
      </x:c>
      <x:c r="O1834" s="26" t="n">
        <x:v>37.35</x:v>
      </x:c>
      <x:c r="P1834" s="26" t="n">
        <x:v>9.09</x:v>
      </x:c>
      <x:c r="Q1834" s="26" t="n">
        <x:v>17.16</x:v>
      </x:c>
      <x:c r="R1834" s="26" t="n">
        <x:v>21.2</x:v>
      </x:c>
      <x:c r="S1834" s="26" t="n">
        <x:v>199.48</x:v>
      </x:c>
    </x:row>
    <x:row r="1835">
      <x:c r="A1835" t="n">
        <x:v>501832</x:v>
      </x:c>
      <x:c r="B1835" s="24" t="n">
        <x:v>46007</x:v>
      </x:c>
      <x:c r="C1835" t="n">
        <x:v>1070</x:v>
      </x:c>
      <x:c r="D1835" t="str">
        <x:v>Seller 1070</x:v>
      </x:c>
      <x:c r="E1835" t="str">
        <x:v>Bronze</x:v>
      </x:c>
      <x:c r="F1835" t="str">
        <x:v>West</x:v>
      </x:c>
      <x:c r="G1835" t="str">
        <x:v>Electronics</x:v>
      </x:c>
      <x:c r="H1835" t="n">
        <x:v>1</x:v>
      </x:c>
      <x:c r="I1835" s="26" t="n">
        <x:v>8680.800000000001</x:v>
      </x:c>
      <x:c r="J1835" s="26" t="n">
        <x:v>6634.2</x:v>
      </x:c>
      <x:c r="K1835" s="28" t="n">
        <x:v>0.1381</x:v>
      </x:c>
      <x:c r="L1835" s="26" t="n">
        <x:v>916.18</x:v>
      </x:c>
      <x:c r="M1835" t="n">
        <x:v>0</x:v>
      </x:c>
      <x:c r="N1835" s="26" t="n">
        <x:v>0</x:v>
      </x:c>
      <x:c r="O1835" s="26" t="n">
        <x:v>122.73</x:v>
      </x:c>
      <x:c r="P1835" s="26" t="n">
        <x:v>29.85</x:v>
      </x:c>
      <x:c r="Q1835" s="26" t="n">
        <x:v>56.39</x:v>
      </x:c>
      <x:c r="R1835" s="26" t="n">
        <x:v>69.66</x:v>
      </x:c>
      <x:c r="S1835" s="26" t="n">
        <x:v>637.55</x:v>
      </x:c>
    </x:row>
    <x:row r="1836">
      <x:c r="A1836" t="n">
        <x:v>501833</x:v>
      </x:c>
      <x:c r="B1836" s="24" t="n">
        <x:v>46017</x:v>
      </x:c>
      <x:c r="C1836" t="n">
        <x:v>1007</x:v>
      </x:c>
      <x:c r="D1836" t="str">
        <x:v>Seller 1007</x:v>
      </x:c>
      <x:c r="E1836" t="str">
        <x:v>Platinum</x:v>
      </x:c>
      <x:c r="F1836" t="str">
        <x:v>South</x:v>
      </x:c>
      <x:c r="G1836" t="str">
        <x:v>Home &amp; Kitchen</x:v>
      </x:c>
      <x:c r="H1836" t="n">
        <x:v>1</x:v>
      </x:c>
      <x:c r="I1836" s="26" t="n">
        <x:v>4685.400000000001</x:v>
      </x:c>
      <x:c r="J1836" s="26" t="n">
        <x:v>8950.8</x:v>
      </x:c>
      <x:c r="K1836" s="28" t="n">
        <x:v>0.1423</x:v>
      </x:c>
      <x:c r="L1836" s="26" t="n">
        <x:v>1273.7</x:v>
      </x:c>
      <x:c r="M1836" t="n">
        <x:v>0</x:v>
      </x:c>
      <x:c r="N1836" s="26" t="n">
        <x:v>0</x:v>
      </x:c>
      <x:c r="O1836" s="26" t="n">
        <x:v>165.59</x:v>
      </x:c>
      <x:c r="P1836" s="26" t="n">
        <x:v>40.28</x:v>
      </x:c>
      <x:c r="Q1836" s="26" t="n">
        <x:v>76.08</x:v>
      </x:c>
      <x:c r="R1836" s="26" t="n">
        <x:v>93.98</x:v>
      </x:c>
      <x:c r="S1836" s="26" t="n">
        <x:v>897.77</x:v>
      </x:c>
    </x:row>
    <x:row r="1837">
      <x:c r="A1837" t="n">
        <x:v>501834</x:v>
      </x:c>
      <x:c r="B1837" s="24" t="n">
        <x:v>46008</x:v>
      </x:c>
      <x:c r="C1837" t="n">
        <x:v>1050</x:v>
      </x:c>
      <x:c r="D1837" t="str">
        <x:v>Seller 1050</x:v>
      </x:c>
      <x:c r="E1837" t="str">
        <x:v>Silver</x:v>
      </x:c>
      <x:c r="F1837" t="str">
        <x:v>East</x:v>
      </x:c>
      <x:c r="G1837" t="str">
        <x:v>Electronics</x:v>
      </x:c>
      <x:c r="H1837" t="n">
        <x:v>2</x:v>
      </x:c>
      <x:c r="I1837" s="26" t="n">
        <x:v>5119.2</x:v>
      </x:c>
      <x:c r="J1837" s="26" t="n">
        <x:v>11105.4</x:v>
      </x:c>
      <x:c r="K1837" s="28" t="n">
        <x:v>0.1238</x:v>
      </x:c>
      <x:c r="L1837" s="26" t="n">
        <x:v>1374.85</x:v>
      </x:c>
      <x:c r="M1837" t="n">
        <x:v>0</x:v>
      </x:c>
      <x:c r="N1837" s="26" t="n">
        <x:v>0</x:v>
      </x:c>
      <x:c r="O1837" s="26" t="n">
        <x:v>205.45</x:v>
      </x:c>
      <x:c r="P1837" s="26" t="n">
        <x:v>49.97</x:v>
      </x:c>
      <x:c r="Q1837" s="26" t="n">
        <x:v>94.4</x:v>
      </x:c>
      <x:c r="R1837" s="26" t="n">
        <x:v>116.61</x:v>
      </x:c>
      <x:c r="S1837" s="26" t="n">
        <x:v>908.42</x:v>
      </x:c>
    </x:row>
    <x:row r="1838">
      <x:c r="A1838" t="n">
        <x:v>501835</x:v>
      </x:c>
      <x:c r="B1838" s="24" t="n">
        <x:v>45996</x:v>
      </x:c>
      <x:c r="C1838" t="n">
        <x:v>1032</x:v>
      </x:c>
      <x:c r="D1838" t="str">
        <x:v>Seller 1032</x:v>
      </x:c>
      <x:c r="E1838" t="str">
        <x:v>Silver</x:v>
      </x:c>
      <x:c r="F1838" t="str">
        <x:v>West</x:v>
      </x:c>
      <x:c r="G1838" t="str">
        <x:v>Electronics</x:v>
      </x:c>
      <x:c r="H1838" t="n">
        <x:v>4</x:v>
      </x:c>
      <x:c r="I1838" s="26" t="n">
        <x:v>3117</x:v>
      </x:c>
      <x:c r="J1838" s="26" t="n">
        <x:v>13522.8</x:v>
      </x:c>
      <x:c r="K1838" s="28" t="n">
        <x:v>0.1365</x:v>
      </x:c>
      <x:c r="L1838" s="26" t="n">
        <x:v>1845.86</x:v>
      </x:c>
      <x:c r="M1838" t="n">
        <x:v>0</x:v>
      </x:c>
      <x:c r="N1838" s="26" t="n">
        <x:v>0</x:v>
      </x:c>
      <x:c r="O1838" s="26" t="n">
        <x:v>250.17</x:v>
      </x:c>
      <x:c r="P1838" s="26" t="n">
        <x:v>60.85</x:v>
      </x:c>
      <x:c r="Q1838" s="26" t="n">
        <x:v>114.94</x:v>
      </x:c>
      <x:c r="R1838" s="26" t="n">
        <x:v>141.99</x:v>
      </x:c>
      <x:c r="S1838" s="26" t="n">
        <x:v>1277.9</x:v>
      </x:c>
    </x:row>
    <x:row r="1839">
      <x:c r="A1839" t="n">
        <x:v>501836</x:v>
      </x:c>
      <x:c r="B1839" s="24" t="n">
        <x:v>46005</x:v>
      </x:c>
      <x:c r="C1839" t="n">
        <x:v>1054</x:v>
      </x:c>
      <x:c r="D1839" t="str">
        <x:v>Seller 1054</x:v>
      </x:c>
      <x:c r="E1839" t="str">
        <x:v>Silver</x:v>
      </x:c>
      <x:c r="F1839" t="str">
        <x:v>South</x:v>
      </x:c>
      <x:c r="G1839" t="str">
        <x:v>Home &amp; Kitchen</x:v>
      </x:c>
      <x:c r="H1839" t="n">
        <x:v>1</x:v>
      </x:c>
      <x:c r="I1839" s="26" t="n">
        <x:v>5203.8</x:v>
      </x:c>
      <x:c r="J1839" s="26" t="n">
        <x:v>5644.2</x:v>
      </x:c>
      <x:c r="K1839" s="28" t="n">
        <x:v>0.1377</x:v>
      </x:c>
      <x:c r="L1839" s="26" t="n">
        <x:v>777.21</x:v>
      </x:c>
      <x:c r="M1839" t="n">
        <x:v>0</x:v>
      </x:c>
      <x:c r="N1839" s="26" t="n">
        <x:v>0</x:v>
      </x:c>
      <x:c r="O1839" s="26" t="n">
        <x:v>104.42</x:v>
      </x:c>
      <x:c r="P1839" s="26" t="n">
        <x:v>25.4</x:v>
      </x:c>
      <x:c r="Q1839" s="26" t="n">
        <x:v>47.98</x:v>
      </x:c>
      <x:c r="R1839" s="26" t="n">
        <x:v>59.26</x:v>
      </x:c>
      <x:c r="S1839" s="26" t="n">
        <x:v>540.15</x:v>
      </x:c>
    </x:row>
    <x:row r="1840">
      <x:c r="A1840" t="n">
        <x:v>501837</x:v>
      </x:c>
      <x:c r="B1840" s="24" t="n">
        <x:v>45990</x:v>
      </x:c>
      <x:c r="C1840" t="n">
        <x:v>1071</x:v>
      </x:c>
      <x:c r="D1840" t="str">
        <x:v>Seller 1071</x:v>
      </x:c>
      <x:c r="E1840" t="str">
        <x:v>Bronze</x:v>
      </x:c>
      <x:c r="F1840" t="str">
        <x:v>Central</x:v>
      </x:c>
      <x:c r="G1840" t="str">
        <x:v>Sports</x:v>
      </x:c>
      <x:c r="H1840" t="n">
        <x:v>3</x:v>
      </x:c>
      <x:c r="I1840" s="26" t="n">
        <x:v>1617.6000000000001</x:v>
      </x:c>
      <x:c r="J1840" s="26" t="n">
        <x:v>3708.6</x:v>
      </x:c>
      <x:c r="K1840" s="28" t="n">
        <x:v>0.1249</x:v>
      </x:c>
      <x:c r="L1840" s="26" t="n">
        <x:v>463.2</x:v>
      </x:c>
      <x:c r="M1840" t="n">
        <x:v>0</x:v>
      </x:c>
      <x:c r="N1840" s="26" t="n">
        <x:v>0</x:v>
      </x:c>
      <x:c r="O1840" s="26" t="n">
        <x:v>68.61</x:v>
      </x:c>
      <x:c r="P1840" s="26" t="n">
        <x:v>16.69</x:v>
      </x:c>
      <x:c r="Q1840" s="26" t="n">
        <x:v>31.52</x:v>
      </x:c>
      <x:c r="R1840" s="26" t="n">
        <x:v>38.94</x:v>
      </x:c>
      <x:c r="S1840" s="26" t="n">
        <x:v>307.44</x:v>
      </x:c>
    </x:row>
    <x:row r="1841">
      <x:c r="A1841" t="n">
        <x:v>501838</x:v>
      </x:c>
      <x:c r="B1841" s="24" t="n">
        <x:v>46004</x:v>
      </x:c>
      <x:c r="C1841" t="n">
        <x:v>1035</x:v>
      </x:c>
      <x:c r="D1841" t="str">
        <x:v>Seller 1035</x:v>
      </x:c>
      <x:c r="E1841" t="str">
        <x:v>Silver</x:v>
      </x:c>
      <x:c r="F1841" t="str">
        <x:v>East</x:v>
      </x:c>
      <x:c r="G1841" t="str">
        <x:v>Electronics</x:v>
      </x:c>
      <x:c r="H1841" t="n">
        <x:v>2</x:v>
      </x:c>
      <x:c r="I1841" s="26" t="n">
        <x:v>3721.2000000000003</x:v>
      </x:c>
      <x:c r="J1841" s="26" t="n">
        <x:v>8072.4</x:v>
      </x:c>
      <x:c r="K1841" s="28" t="n">
        <x:v>0.131</x:v>
      </x:c>
      <x:c r="L1841" s="26" t="n">
        <x:v>1057.48</x:v>
      </x:c>
      <x:c r="M1841" t="n">
        <x:v>0</x:v>
      </x:c>
      <x:c r="N1841" s="26" t="n">
        <x:v>0</x:v>
      </x:c>
      <x:c r="O1841" s="26" t="n">
        <x:v>149.34</x:v>
      </x:c>
      <x:c r="P1841" s="26" t="n">
        <x:v>36.33</x:v>
      </x:c>
      <x:c r="Q1841" s="26" t="n">
        <x:v>68.62</x:v>
      </x:c>
      <x:c r="R1841" s="26" t="n">
        <x:v>84.76</x:v>
      </x:c>
      <x:c r="S1841" s="26" t="n">
        <x:v>718.44</x:v>
      </x:c>
    </x:row>
    <x:row r="1842">
      <x:c r="A1842" t="n">
        <x:v>501839</x:v>
      </x:c>
      <x:c r="B1842" s="24" t="n">
        <x:v>46013</x:v>
      </x:c>
      <x:c r="C1842" t="n">
        <x:v>1016</x:v>
      </x:c>
      <x:c r="D1842" t="str">
        <x:v>Seller 1016</x:v>
      </x:c>
      <x:c r="E1842" t="str">
        <x:v>Gold</x:v>
      </x:c>
      <x:c r="F1842" t="str">
        <x:v>West</x:v>
      </x:c>
      <x:c r="G1842" t="str">
        <x:v>Sports</x:v>
      </x:c>
      <x:c r="H1842" t="n">
        <x:v>1</x:v>
      </x:c>
      <x:c r="I1842" s="26" t="n">
        <x:v>4138.8</x:v>
      </x:c>
      <x:c r="J1842" s="26" t="n">
        <x:v>5866.2</x:v>
      </x:c>
      <x:c r="K1842" s="28" t="n">
        <x:v>0.1306</x:v>
      </x:c>
      <x:c r="L1842" s="26" t="n">
        <x:v>766.13</x:v>
      </x:c>
      <x:c r="M1842" t="n">
        <x:v>0</x:v>
      </x:c>
      <x:c r="N1842" s="26" t="n">
        <x:v>0</x:v>
      </x:c>
      <x:c r="O1842" s="26" t="n">
        <x:v>108.52</x:v>
      </x:c>
      <x:c r="P1842" s="26" t="n">
        <x:v>26.4</x:v>
      </x:c>
      <x:c r="Q1842" s="26" t="n">
        <x:v>49.86</x:v>
      </x:c>
      <x:c r="R1842" s="26" t="n">
        <x:v>61.6</x:v>
      </x:c>
      <x:c r="S1842" s="26" t="n">
        <x:v>519.75</x:v>
      </x:c>
    </x:row>
    <x:row r="1843">
      <x:c r="A1843" t="n">
        <x:v>501840</x:v>
      </x:c>
      <x:c r="B1843" s="24" t="n">
        <x:v>45990</x:v>
      </x:c>
      <x:c r="C1843" t="n">
        <x:v>1025</x:v>
      </x:c>
      <x:c r="D1843" t="str">
        <x:v>Seller 1025</x:v>
      </x:c>
      <x:c r="E1843" t="str">
        <x:v>Gold</x:v>
      </x:c>
      <x:c r="F1843" t="str">
        <x:v>Central</x:v>
      </x:c>
      <x:c r="G1843" t="str">
        <x:v>Pet Supplies</x:v>
      </x:c>
      <x:c r="H1843" t="n">
        <x:v>2</x:v>
      </x:c>
      <x:c r="I1843" s="26" t="n">
        <x:v>1608</x:v>
      </x:c>
      <x:c r="J1843" s="26" t="n">
        <x:v>4558.2</x:v>
      </x:c>
      <x:c r="K1843" s="28" t="n">
        <x:v>0.1479</x:v>
      </x:c>
      <x:c r="L1843" s="26" t="n">
        <x:v>674.16</x:v>
      </x:c>
      <x:c r="M1843" t="n">
        <x:v>0</x:v>
      </x:c>
      <x:c r="N1843" s="26" t="n">
        <x:v>0</x:v>
      </x:c>
      <x:c r="O1843" s="26" t="n">
        <x:v>84.33</x:v>
      </x:c>
      <x:c r="P1843" s="26" t="n">
        <x:v>20.51</x:v>
      </x:c>
      <x:c r="Q1843" s="26" t="n">
        <x:v>38.74</x:v>
      </x:c>
      <x:c r="R1843" s="26" t="n">
        <x:v>47.86</x:v>
      </x:c>
      <x:c r="S1843" s="26" t="n">
        <x:v>482.71</x:v>
      </x:c>
    </x:row>
    <x:row r="1844">
      <x:c r="A1844" t="n">
        <x:v>501841</x:v>
      </x:c>
      <x:c r="B1844" s="24" t="n">
        <x:v>46012</x:v>
      </x:c>
      <x:c r="C1844" t="n">
        <x:v>1009</x:v>
      </x:c>
      <x:c r="D1844" t="str">
        <x:v>Seller 1009</x:v>
      </x:c>
      <x:c r="E1844" t="str">
        <x:v>Platinum</x:v>
      </x:c>
      <x:c r="F1844" t="str">
        <x:v>Central</x:v>
      </x:c>
      <x:c r="G1844" t="str">
        <x:v>Pet Supplies</x:v>
      </x:c>
      <x:c r="H1844" t="n">
        <x:v>2</x:v>
      </x:c>
      <x:c r="I1844" s="26" t="n">
        <x:v>1813.8</x:v>
      </x:c>
      <x:c r="J1844" s="26" t="n">
        <x:v>6931.2</x:v>
      </x:c>
      <x:c r="K1844" s="28" t="n">
        <x:v>0.1425</x:v>
      </x:c>
      <x:c r="L1844" s="26" t="n">
        <x:v>987.7</x:v>
      </x:c>
      <x:c r="M1844" t="n">
        <x:v>0</x:v>
      </x:c>
      <x:c r="N1844" s="26" t="n">
        <x:v>0</x:v>
      </x:c>
      <x:c r="O1844" s="26" t="n">
        <x:v>128.23</x:v>
      </x:c>
      <x:c r="P1844" s="26" t="n">
        <x:v>31.19</x:v>
      </x:c>
      <x:c r="Q1844" s="26" t="n">
        <x:v>58.92</x:v>
      </x:c>
      <x:c r="R1844" s="26" t="n">
        <x:v>72.78</x:v>
      </x:c>
      <x:c r="S1844" s="26" t="n">
        <x:v>696.59</x:v>
      </x:c>
    </x:row>
    <x:row r="1845">
      <x:c r="A1845" t="n">
        <x:v>501842</x:v>
      </x:c>
      <x:c r="B1845" s="24" t="n">
        <x:v>46000</x:v>
      </x:c>
      <x:c r="C1845" t="n">
        <x:v>1045</x:v>
      </x:c>
      <x:c r="D1845" t="str">
        <x:v>Seller 1045</x:v>
      </x:c>
      <x:c r="E1845" t="str">
        <x:v>Silver</x:v>
      </x:c>
      <x:c r="F1845" t="str">
        <x:v>Central</x:v>
      </x:c>
      <x:c r="G1845" t="str">
        <x:v>Home &amp; Kitchen</x:v>
      </x:c>
      <x:c r="H1845" t="n">
        <x:v>3</x:v>
      </x:c>
      <x:c r="I1845" s="26" t="n">
        <x:v>1084.2</x:v>
      </x:c>
      <x:c r="J1845" s="26" t="n">
        <x:v>3528.6</x:v>
      </x:c>
      <x:c r="K1845" s="28" t="n">
        <x:v>0.1394</x:v>
      </x:c>
      <x:c r="L1845" s="26" t="n">
        <x:v>491.89</x:v>
      </x:c>
      <x:c r="M1845" t="n">
        <x:v>0</x:v>
      </x:c>
      <x:c r="N1845" s="26" t="n">
        <x:v>0</x:v>
      </x:c>
      <x:c r="O1845" s="26" t="n">
        <x:v>65.28</x:v>
      </x:c>
      <x:c r="P1845" s="26" t="n">
        <x:v>15.88</x:v>
      </x:c>
      <x:c r="Q1845" s="26" t="n">
        <x:v>29.99</x:v>
      </x:c>
      <x:c r="R1845" s="26" t="n">
        <x:v>37.05</x:v>
      </x:c>
      <x:c r="S1845" s="26" t="n">
        <x:v>343.69</x:v>
      </x:c>
    </x:row>
    <x:row r="1846">
      <x:c r="A1846" t="n">
        <x:v>501843</x:v>
      </x:c>
      <x:c r="B1846" s="24" t="n">
        <x:v>46011</x:v>
      </x:c>
      <x:c r="C1846" t="n">
        <x:v>1028</x:v>
      </x:c>
      <x:c r="D1846" t="str">
        <x:v>Seller 1028</x:v>
      </x:c>
      <x:c r="E1846" t="str">
        <x:v>Gold</x:v>
      </x:c>
      <x:c r="F1846" t="str">
        <x:v>Central</x:v>
      </x:c>
      <x:c r="G1846" t="str">
        <x:v>Sports</x:v>
      </x:c>
      <x:c r="H1846" t="n">
        <x:v>1</x:v>
      </x:c>
      <x:c r="I1846" s="26" t="n">
        <x:v>4270.8</x:v>
      </x:c>
      <x:c r="J1846" s="26" t="n">
        <x:v>6054</x:v>
      </x:c>
      <x:c r="K1846" s="28" t="n">
        <x:v>0.1361</x:v>
      </x:c>
      <x:c r="L1846" s="26" t="n">
        <x:v>823.95</x:v>
      </x:c>
      <x:c r="M1846" t="n">
        <x:v>0</x:v>
      </x:c>
      <x:c r="N1846" s="26" t="n">
        <x:v>0</x:v>
      </x:c>
      <x:c r="O1846" s="26" t="n">
        <x:v>112</x:v>
      </x:c>
      <x:c r="P1846" s="26" t="n">
        <x:v>27.24</x:v>
      </x:c>
      <x:c r="Q1846" s="26" t="n">
        <x:v>51.46</x:v>
      </x:c>
      <x:c r="R1846" s="26" t="n">
        <x:v>63.57</x:v>
      </x:c>
      <x:c r="S1846" s="26" t="n">
        <x:v>569.68</x:v>
      </x:c>
    </x:row>
    <x:row r="1847">
      <x:c r="A1847" t="n">
        <x:v>501844</x:v>
      </x:c>
      <x:c r="B1847" s="24" t="n">
        <x:v>45989</x:v>
      </x:c>
      <x:c r="C1847" t="n">
        <x:v>1030</x:v>
      </x:c>
      <x:c r="D1847" t="str">
        <x:v>Seller 1030</x:v>
      </x:c>
      <x:c r="E1847" t="str">
        <x:v>Gold</x:v>
      </x:c>
      <x:c r="F1847" t="str">
        <x:v>South</x:v>
      </x:c>
      <x:c r="G1847" t="str">
        <x:v>Apparel</x:v>
      </x:c>
      <x:c r="H1847" t="n">
        <x:v>1</x:v>
      </x:c>
      <x:c r="I1847" s="26" t="n">
        <x:v>3720</x:v>
      </x:c>
      <x:c r="J1847" s="26" t="n">
        <x:v>5272.8</x:v>
      </x:c>
      <x:c r="K1847" s="28" t="n">
        <x:v>0.1217</x:v>
      </x:c>
      <x:c r="L1847" s="26" t="n">
        <x:v>641.7</x:v>
      </x:c>
      <x:c r="M1847" t="n">
        <x:v>0</x:v>
      </x:c>
      <x:c r="N1847" s="26" t="n">
        <x:v>0</x:v>
      </x:c>
      <x:c r="O1847" s="26" t="n">
        <x:v>97.55</x:v>
      </x:c>
      <x:c r="P1847" s="26" t="n">
        <x:v>23.73</x:v>
      </x:c>
      <x:c r="Q1847" s="26" t="n">
        <x:v>44.82</x:v>
      </x:c>
      <x:c r="R1847" s="26" t="n">
        <x:v>55.36</x:v>
      </x:c>
      <x:c r="S1847" s="26" t="n">
        <x:v>420.24</x:v>
      </x:c>
    </x:row>
    <x:row r="1848">
      <x:c r="A1848" t="n">
        <x:v>501845</x:v>
      </x:c>
      <x:c r="B1848" s="24" t="n">
        <x:v>46011</x:v>
      </x:c>
      <x:c r="C1848" t="n">
        <x:v>1058</x:v>
      </x:c>
      <x:c r="D1848" t="str">
        <x:v>Seller 1058</x:v>
      </x:c>
      <x:c r="E1848" t="str">
        <x:v>Bronze</x:v>
      </x:c>
      <x:c r="F1848" t="str">
        <x:v>East</x:v>
      </x:c>
      <x:c r="G1848" t="str">
        <x:v>Beauty</x:v>
      </x:c>
      <x:c r="H1848" t="n">
        <x:v>2</x:v>
      </x:c>
      <x:c r="I1848" s="26" t="n">
        <x:v>1303.1999999999998</x:v>
      </x:c>
      <x:c r="J1848" s="26" t="n">
        <x:v>1991.4</x:v>
      </x:c>
      <x:c r="K1848" s="28" t="n">
        <x:v>0.1549</x:v>
      </x:c>
      <x:c r="L1848" s="26" t="n">
        <x:v>308.47</x:v>
      </x:c>
      <x:c r="M1848" t="n">
        <x:v>0</x:v>
      </x:c>
      <x:c r="N1848" s="26" t="n">
        <x:v>0</x:v>
      </x:c>
      <x:c r="O1848" s="26" t="n">
        <x:v>36.84</x:v>
      </x:c>
      <x:c r="P1848" s="26" t="n">
        <x:v>8.96</x:v>
      </x:c>
      <x:c r="Q1848" s="26" t="n">
        <x:v>16.93</x:v>
      </x:c>
      <x:c r="R1848" s="26" t="n">
        <x:v>20.91</x:v>
      </x:c>
      <x:c r="S1848" s="26" t="n">
        <x:v>224.83</x:v>
      </x:c>
    </x:row>
    <x:row r="1849">
      <x:c r="A1849" t="n">
        <x:v>501846</x:v>
      </x:c>
      <x:c r="B1849" s="24" t="n">
        <x:v>45992</x:v>
      </x:c>
      <x:c r="C1849" t="n">
        <x:v>1001</x:v>
      </x:c>
      <x:c r="D1849" t="str">
        <x:v>Seller 1001</x:v>
      </x:c>
      <x:c r="E1849" t="str">
        <x:v>Platinum</x:v>
      </x:c>
      <x:c r="F1849" t="str">
        <x:v>East</x:v>
      </x:c>
      <x:c r="G1849" t="str">
        <x:v>Apparel</x:v>
      </x:c>
      <x:c r="H1849" t="n">
        <x:v>4</x:v>
      </x:c>
      <x:c r="I1849" s="26" t="n">
        <x:v>1261.8000000000002</x:v>
      </x:c>
      <x:c r="J1849" s="26" t="n">
        <x:v>9641.4</x:v>
      </x:c>
      <x:c r="K1849" s="28" t="n">
        <x:v>0.1283</x:v>
      </x:c>
      <x:c r="L1849" s="26" t="n">
        <x:v>1236.99</x:v>
      </x:c>
      <x:c r="M1849" t="n">
        <x:v>0</x:v>
      </x:c>
      <x:c r="N1849" s="26" t="n">
        <x:v>0</x:v>
      </x:c>
      <x:c r="O1849" s="26" t="n">
        <x:v>178.37</x:v>
      </x:c>
      <x:c r="P1849" s="26" t="n">
        <x:v>43.39</x:v>
      </x:c>
      <x:c r="Q1849" s="26" t="n">
        <x:v>81.95</x:v>
      </x:c>
      <x:c r="R1849" s="26" t="n">
        <x:v>101.23</x:v>
      </x:c>
      <x:c r="S1849" s="26" t="n">
        <x:v>832.05</x:v>
      </x:c>
    </x:row>
    <x:row r="1850">
      <x:c r="A1850" t="n">
        <x:v>501847</x:v>
      </x:c>
      <x:c r="B1850" s="24" t="n">
        <x:v>45998</x:v>
      </x:c>
      <x:c r="C1850" t="n">
        <x:v>1061</x:v>
      </x:c>
      <x:c r="D1850" t="str">
        <x:v>Seller 1061</x:v>
      </x:c>
      <x:c r="E1850" t="str">
        <x:v>Bronze</x:v>
      </x:c>
      <x:c r="F1850" t="str">
        <x:v>Central</x:v>
      </x:c>
      <x:c r="G1850" t="str">
        <x:v>Electronics</x:v>
      </x:c>
      <x:c r="H1850" t="n">
        <x:v>4</x:v>
      </x:c>
      <x:c r="I1850" s="26" t="n">
        <x:v>2148</x:v>
      </x:c>
      <x:c r="J1850" s="26" t="n">
        <x:v>6565.2</x:v>
      </x:c>
      <x:c r="K1850" s="28" t="n">
        <x:v>0.1272</x:v>
      </x:c>
      <x:c r="L1850" s="26" t="n">
        <x:v>835.09</x:v>
      </x:c>
      <x:c r="M1850" t="n">
        <x:v>1</x:v>
      </x:c>
      <x:c r="N1850" s="26" t="n">
        <x:v>6078.6</x:v>
      </x:c>
      <x:c r="O1850" s="26" t="n">
        <x:v>121.46</x:v>
      </x:c>
      <x:c r="P1850" s="26" t="n">
        <x:v>29.54</x:v>
      </x:c>
      <x:c r="Q1850" s="26" t="n">
        <x:v>55.8</x:v>
      </x:c>
      <x:c r="R1850" s="26" t="n">
        <x:v>68.93</x:v>
      </x:c>
      <x:c r="S1850" s="26" t="n">
        <x:v>437.78</x:v>
      </x:c>
    </x:row>
    <x:row r="1851">
      <x:c r="A1851" t="n">
        <x:v>501848</x:v>
      </x:c>
      <x:c r="B1851" s="24" t="n">
        <x:v>45992</x:v>
      </x:c>
      <x:c r="C1851" t="n">
        <x:v>1032</x:v>
      </x:c>
      <x:c r="D1851" t="str">
        <x:v>Seller 1032</x:v>
      </x:c>
      <x:c r="E1851" t="str">
        <x:v>Silver</x:v>
      </x:c>
      <x:c r="F1851" t="str">
        <x:v>West</x:v>
      </x:c>
      <x:c r="G1851" t="str">
        <x:v>Pet Supplies</x:v>
      </x:c>
      <x:c r="H1851" t="n">
        <x:v>2</x:v>
      </x:c>
      <x:c r="I1851" s="26" t="n">
        <x:v>1372.8</x:v>
      </x:c>
      <x:c r="J1851" s="26" t="n">
        <x:v>2978.4</x:v>
      </x:c>
      <x:c r="K1851" s="28" t="n">
        <x:v>0.1466</x:v>
      </x:c>
      <x:c r="L1851" s="26" t="n">
        <x:v>436.63</x:v>
      </x:c>
      <x:c r="M1851" t="n">
        <x:v>0</x:v>
      </x:c>
      <x:c r="N1851" s="26" t="n">
        <x:v>0</x:v>
      </x:c>
      <x:c r="O1851" s="26" t="n">
        <x:v>55.1</x:v>
      </x:c>
      <x:c r="P1851" s="26" t="n">
        <x:v>13.4</x:v>
      </x:c>
      <x:c r="Q1851" s="26" t="n">
        <x:v>25.32</x:v>
      </x:c>
      <x:c r="R1851" s="26" t="n">
        <x:v>31.27</x:v>
      </x:c>
      <x:c r="S1851" s="26" t="n">
        <x:v>311.54</x:v>
      </x:c>
    </x:row>
    <x:row r="1852">
      <x:c r="A1852" t="n">
        <x:v>501849</x:v>
      </x:c>
      <x:c r="B1852" s="24" t="n">
        <x:v>46003</x:v>
      </x:c>
      <x:c r="C1852" t="n">
        <x:v>1034</x:v>
      </x:c>
      <x:c r="D1852" t="str">
        <x:v>Seller 1034</x:v>
      </x:c>
      <x:c r="E1852" t="str">
        <x:v>Silver</x:v>
      </x:c>
      <x:c r="F1852" t="str">
        <x:v>Central</x:v>
      </x:c>
      <x:c r="G1852" t="str">
        <x:v>Home &amp; Kitchen</x:v>
      </x:c>
      <x:c r="H1852" t="n">
        <x:v>2</x:v>
      </x:c>
      <x:c r="I1852" s="26" t="n">
        <x:v>3212.4</x:v>
      </x:c>
      <x:c r="J1852" s="26" t="n">
        <x:v>6968.4</x:v>
      </x:c>
      <x:c r="K1852" s="28" t="n">
        <x:v>0.1526</x:v>
      </x:c>
      <x:c r="L1852" s="26" t="n">
        <x:v>1063.38</x:v>
      </x:c>
      <x:c r="M1852" t="n">
        <x:v>0</x:v>
      </x:c>
      <x:c r="N1852" s="26" t="n">
        <x:v>0</x:v>
      </x:c>
      <x:c r="O1852" s="26" t="n">
        <x:v>128.92</x:v>
      </x:c>
      <x:c r="P1852" s="26" t="n">
        <x:v>31.36</x:v>
      </x:c>
      <x:c r="Q1852" s="26" t="n">
        <x:v>59.23</x:v>
      </x:c>
      <x:c r="R1852" s="26" t="n">
        <x:v>73.17</x:v>
      </x:c>
      <x:c r="S1852" s="26" t="n">
        <x:v>770.71</x:v>
      </x:c>
    </x:row>
    <x:row r="1853">
      <x:c r="A1853" t="n">
        <x:v>501850</x:v>
      </x:c>
      <x:c r="B1853" s="24" t="n">
        <x:v>45992</x:v>
      </x:c>
      <x:c r="C1853" t="n">
        <x:v>1040</x:v>
      </x:c>
      <x:c r="D1853" t="str">
        <x:v>Seller 1040</x:v>
      </x:c>
      <x:c r="E1853" t="str">
        <x:v>Silver</x:v>
      </x:c>
      <x:c r="F1853" t="str">
        <x:v>West</x:v>
      </x:c>
      <x:c r="G1853" t="str">
        <x:v>Pet Supplies</x:v>
      </x:c>
      <x:c r="H1853" t="n">
        <x:v>2</x:v>
      </x:c>
      <x:c r="I1853" s="26" t="n">
        <x:v>1591.8000000000002</x:v>
      </x:c>
      <x:c r="J1853" s="26" t="n">
        <x:v>3453</x:v>
      </x:c>
      <x:c r="K1853" s="28" t="n">
        <x:v>0.1328</x:v>
      </x:c>
      <x:c r="L1853" s="26" t="n">
        <x:v>458.56</x:v>
      </x:c>
      <x:c r="M1853" t="n">
        <x:v>0</x:v>
      </x:c>
      <x:c r="N1853" s="26" t="n">
        <x:v>0</x:v>
      </x:c>
      <x:c r="O1853" s="26" t="n">
        <x:v>63.88</x:v>
      </x:c>
      <x:c r="P1853" s="26" t="n">
        <x:v>15.54</x:v>
      </x:c>
      <x:c r="Q1853" s="26" t="n">
        <x:v>29.35</x:v>
      </x:c>
      <x:c r="R1853" s="26" t="n">
        <x:v>36.26</x:v>
      </x:c>
      <x:c r="S1853" s="26" t="n">
        <x:v>313.53</x:v>
      </x:c>
    </x:row>
    <x:row r="1854">
      <x:c r="A1854" t="n">
        <x:v>501851</x:v>
      </x:c>
      <x:c r="B1854" s="24" t="n">
        <x:v>46016</x:v>
      </x:c>
      <x:c r="C1854" t="n">
        <x:v>1068</x:v>
      </x:c>
      <x:c r="D1854" t="str">
        <x:v>Seller 1068</x:v>
      </x:c>
      <x:c r="E1854" t="str">
        <x:v>Bronze</x:v>
      </x:c>
      <x:c r="F1854" t="str">
        <x:v>South</x:v>
      </x:c>
      <x:c r="G1854" t="str">
        <x:v>Pet Supplies</x:v>
      </x:c>
      <x:c r="H1854" t="n">
        <x:v>3</x:v>
      </x:c>
      <x:c r="I1854" s="26" t="n">
        <x:v>849.6</x:v>
      </x:c>
      <x:c r="J1854" s="26" t="n">
        <x:v>1948.2</x:v>
      </x:c>
      <x:c r="K1854" s="28" t="n">
        <x:v>0.1283</x:v>
      </x:c>
      <x:c r="L1854" s="26" t="n">
        <x:v>249.95</x:v>
      </x:c>
      <x:c r="M1854" t="n">
        <x:v>0</x:v>
      </x:c>
      <x:c r="N1854" s="26" t="n">
        <x:v>0</x:v>
      </x:c>
      <x:c r="O1854" s="26" t="n">
        <x:v>36.04</x:v>
      </x:c>
      <x:c r="P1854" s="26" t="n">
        <x:v>8.77</x:v>
      </x:c>
      <x:c r="Q1854" s="26" t="n">
        <x:v>16.56</x:v>
      </x:c>
      <x:c r="R1854" s="26" t="n">
        <x:v>20.46</x:v>
      </x:c>
      <x:c r="S1854" s="26" t="n">
        <x:v>168.13</x:v>
      </x:c>
    </x:row>
    <x:row r="1855">
      <x:c r="A1855" t="n">
        <x:v>501852</x:v>
      </x:c>
      <x:c r="B1855" s="24" t="n">
        <x:v>46005</x:v>
      </x:c>
      <x:c r="C1855" t="n">
        <x:v>1016</x:v>
      </x:c>
      <x:c r="D1855" t="str">
        <x:v>Seller 1016</x:v>
      </x:c>
      <x:c r="E1855" t="str">
        <x:v>Gold</x:v>
      </x:c>
      <x:c r="F1855" t="str">
        <x:v>West</x:v>
      </x:c>
      <x:c r="G1855" t="str">
        <x:v>Sports</x:v>
      </x:c>
      <x:c r="H1855" t="n">
        <x:v>2</x:v>
      </x:c>
      <x:c r="I1855" s="26" t="n">
        <x:v>2916.6</x:v>
      </x:c>
      <x:c r="J1855" s="26" t="n">
        <x:v>8268</x:v>
      </x:c>
      <x:c r="K1855" s="28" t="n">
        <x:v>0.1276</x:v>
      </x:c>
      <x:c r="L1855" s="26" t="n">
        <x:v>1055</x:v>
      </x:c>
      <x:c r="M1855" t="n">
        <x:v>0</x:v>
      </x:c>
      <x:c r="N1855" s="26" t="n">
        <x:v>0</x:v>
      </x:c>
      <x:c r="O1855" s="26" t="n">
        <x:v>152.96</x:v>
      </x:c>
      <x:c r="P1855" s="26" t="n">
        <x:v>37.21</x:v>
      </x:c>
      <x:c r="Q1855" s="26" t="n">
        <x:v>70.28</x:v>
      </x:c>
      <x:c r="R1855" s="26" t="n">
        <x:v>86.81</x:v>
      </x:c>
      <x:c r="S1855" s="26" t="n">
        <x:v>707.74</x:v>
      </x:c>
    </x:row>
    <x:row r="1856">
      <x:c r="A1856" t="n">
        <x:v>501853</x:v>
      </x:c>
      <x:c r="B1856" s="24" t="n">
        <x:v>46005</x:v>
      </x:c>
      <x:c r="C1856" t="n">
        <x:v>1070</x:v>
      </x:c>
      <x:c r="D1856" t="str">
        <x:v>Seller 1070</x:v>
      </x:c>
      <x:c r="E1856" t="str">
        <x:v>Bronze</x:v>
      </x:c>
      <x:c r="F1856" t="str">
        <x:v>West</x:v>
      </x:c>
      <x:c r="G1856" t="str">
        <x:v>Electronics</x:v>
      </x:c>
      <x:c r="H1856" t="n">
        <x:v>3</x:v>
      </x:c>
      <x:c r="I1856" s="26" t="n">
        <x:v>2086.8</x:v>
      </x:c>
      <x:c r="J1856" s="26" t="n">
        <x:v>4783.8</x:v>
      </x:c>
      <x:c r="K1856" s="28" t="n">
        <x:v>0.1329</x:v>
      </x:c>
      <x:c r="L1856" s="26" t="n">
        <x:v>635.77</x:v>
      </x:c>
      <x:c r="M1856" t="n">
        <x:v>0</x:v>
      </x:c>
      <x:c r="N1856" s="26" t="n">
        <x:v>0</x:v>
      </x:c>
      <x:c r="O1856" s="26" t="n">
        <x:v>88.5</x:v>
      </x:c>
      <x:c r="P1856" s="26" t="n">
        <x:v>21.53</x:v>
      </x:c>
      <x:c r="Q1856" s="26" t="n">
        <x:v>40.66</x:v>
      </x:c>
      <x:c r="R1856" s="26" t="n">
        <x:v>50.23</x:v>
      </x:c>
      <x:c r="S1856" s="26" t="n">
        <x:v>434.85</x:v>
      </x:c>
    </x:row>
    <x:row r="1857">
      <x:c r="A1857" t="n">
        <x:v>501854</x:v>
      </x:c>
      <x:c r="B1857" s="24" t="n">
        <x:v>45998</x:v>
      </x:c>
      <x:c r="C1857" t="n">
        <x:v>1039</x:v>
      </x:c>
      <x:c r="D1857" t="str">
        <x:v>Seller 1039</x:v>
      </x:c>
      <x:c r="E1857" t="str">
        <x:v>Silver</x:v>
      </x:c>
      <x:c r="F1857" t="str">
        <x:v>East</x:v>
      </x:c>
      <x:c r="G1857" t="str">
        <x:v>Pet Supplies</x:v>
      </x:c>
      <x:c r="H1857" t="n">
        <x:v>1</x:v>
      </x:c>
      <x:c r="I1857" s="26" t="n">
        <x:v>3448.2</x:v>
      </x:c>
      <x:c r="J1857" s="26" t="n">
        <x:v>3740.4</x:v>
      </x:c>
      <x:c r="K1857" s="28" t="n">
        <x:v>0.1335</x:v>
      </x:c>
      <x:c r="L1857" s="26" t="n">
        <x:v>499.34</x:v>
      </x:c>
      <x:c r="M1857" t="n">
        <x:v>0</x:v>
      </x:c>
      <x:c r="N1857" s="26" t="n">
        <x:v>0</x:v>
      </x:c>
      <x:c r="O1857" s="26" t="n">
        <x:v>69.2</x:v>
      </x:c>
      <x:c r="P1857" s="26" t="n">
        <x:v>16.83</x:v>
      </x:c>
      <x:c r="Q1857" s="26" t="n">
        <x:v>31.79</x:v>
      </x:c>
      <x:c r="R1857" s="26" t="n">
        <x:v>39.27</x:v>
      </x:c>
      <x:c r="S1857" s="26" t="n">
        <x:v>342.25</x:v>
      </x:c>
    </x:row>
    <x:row r="1858">
      <x:c r="A1858" t="n">
        <x:v>501855</x:v>
      </x:c>
      <x:c r="B1858" s="24" t="n">
        <x:v>46003</x:v>
      </x:c>
      <x:c r="C1858" t="n">
        <x:v>1035</x:v>
      </x:c>
      <x:c r="D1858" t="str">
        <x:v>Seller 1035</x:v>
      </x:c>
      <x:c r="E1858" t="str">
        <x:v>Silver</x:v>
      </x:c>
      <x:c r="F1858" t="str">
        <x:v>East</x:v>
      </x:c>
      <x:c r="G1858" t="str">
        <x:v>Home &amp; Kitchen</x:v>
      </x:c>
      <x:c r="H1858" t="n">
        <x:v>4</x:v>
      </x:c>
      <x:c r="I1858" s="26" t="n">
        <x:v>1632</x:v>
      </x:c>
      <x:c r="J1858" s="26" t="n">
        <x:v>7080.6</x:v>
      </x:c>
      <x:c r="K1858" s="28" t="n">
        <x:v>0.1431</x:v>
      </x:c>
      <x:c r="L1858" s="26" t="n">
        <x:v>1013.23</x:v>
      </x:c>
      <x:c r="M1858" t="n">
        <x:v>0</x:v>
      </x:c>
      <x:c r="N1858" s="26" t="n">
        <x:v>0</x:v>
      </x:c>
      <x:c r="O1858" s="26" t="n">
        <x:v>130.99</x:v>
      </x:c>
      <x:c r="P1858" s="26" t="n">
        <x:v>31.86</x:v>
      </x:c>
      <x:c r="Q1858" s="26" t="n">
        <x:v>60.19</x:v>
      </x:c>
      <x:c r="R1858" s="26" t="n">
        <x:v>74.35</x:v>
      </x:c>
      <x:c r="S1858" s="26" t="n">
        <x:v>715.85</x:v>
      </x:c>
    </x:row>
    <x:row r="1859">
      <x:c r="A1859" t="n">
        <x:v>501856</x:v>
      </x:c>
      <x:c r="B1859" s="24" t="n">
        <x:v>45998</x:v>
      </x:c>
      <x:c r="C1859" t="n">
        <x:v>1047</x:v>
      </x:c>
      <x:c r="D1859" t="str">
        <x:v>Seller 1047</x:v>
      </x:c>
      <x:c r="E1859" t="str">
        <x:v>Silver</x:v>
      </x:c>
      <x:c r="F1859" t="str">
        <x:v>East</x:v>
      </x:c>
      <x:c r="G1859" t="str">
        <x:v>Sports</x:v>
      </x:c>
      <x:c r="H1859" t="n">
        <x:v>3</x:v>
      </x:c>
      <x:c r="I1859" s="26" t="n">
        <x:v>1653.6</x:v>
      </x:c>
      <x:c r="J1859" s="26" t="n">
        <x:v>5380.2</x:v>
      </x:c>
      <x:c r="K1859" s="28" t="n">
        <x:v>0.1446</x:v>
      </x:c>
      <x:c r="L1859" s="26" t="n">
        <x:v>777.98</x:v>
      </x:c>
      <x:c r="M1859" t="n">
        <x:v>0</x:v>
      </x:c>
      <x:c r="N1859" s="26" t="n">
        <x:v>0</x:v>
      </x:c>
      <x:c r="O1859" s="26" t="n">
        <x:v>99.53</x:v>
      </x:c>
      <x:c r="P1859" s="26" t="n">
        <x:v>24.21</x:v>
      </x:c>
      <x:c r="Q1859" s="26" t="n">
        <x:v>45.73</x:v>
      </x:c>
      <x:c r="R1859" s="26" t="n">
        <x:v>56.49</x:v>
      </x:c>
      <x:c r="S1859" s="26" t="n">
        <x:v>552.01</x:v>
      </x:c>
    </x:row>
    <x:row r="1860">
      <x:c r="A1860" t="n">
        <x:v>501857</x:v>
      </x:c>
      <x:c r="B1860" s="24" t="n">
        <x:v>46011</x:v>
      </x:c>
      <x:c r="C1860" t="n">
        <x:v>1022</x:v>
      </x:c>
      <x:c r="D1860" t="str">
        <x:v>Seller 1022</x:v>
      </x:c>
      <x:c r="E1860" t="str">
        <x:v>Gold</x:v>
      </x:c>
      <x:c r="F1860" t="str">
        <x:v>East</x:v>
      </x:c>
      <x:c r="G1860" t="str">
        <x:v>Sports</x:v>
      </x:c>
      <x:c r="H1860" t="n">
        <x:v>3</x:v>
      </x:c>
      <x:c r="I1860" s="26" t="n">
        <x:v>1241.4</x:v>
      </x:c>
      <x:c r="J1860" s="26" t="n">
        <x:v>5278.8</x:v>
      </x:c>
      <x:c r="K1860" s="28" t="n">
        <x:v>0.1245</x:v>
      </x:c>
      <x:c r="L1860" s="26" t="n">
        <x:v>657.21</x:v>
      </x:c>
      <x:c r="M1860" t="n">
        <x:v>0</x:v>
      </x:c>
      <x:c r="N1860" s="26" t="n">
        <x:v>0</x:v>
      </x:c>
      <x:c r="O1860" s="26" t="n">
        <x:v>97.66</x:v>
      </x:c>
      <x:c r="P1860" s="26" t="n">
        <x:v>23.75</x:v>
      </x:c>
      <x:c r="Q1860" s="26" t="n">
        <x:v>44.87</x:v>
      </x:c>
      <x:c r="R1860" s="26" t="n">
        <x:v>55.43</x:v>
      </x:c>
      <x:c r="S1860" s="26" t="n">
        <x:v>435.5</x:v>
      </x:c>
    </x:row>
    <x:row r="1861">
      <x:c r="A1861" t="n">
        <x:v>501858</x:v>
      </x:c>
      <x:c r="B1861" s="24" t="n">
        <x:v>45996</x:v>
      </x:c>
      <x:c r="C1861" t="n">
        <x:v>1017</x:v>
      </x:c>
      <x:c r="D1861" t="str">
        <x:v>Seller 1017</x:v>
      </x:c>
      <x:c r="E1861" t="str">
        <x:v>Gold</x:v>
      </x:c>
      <x:c r="F1861" t="str">
        <x:v>East</x:v>
      </x:c>
      <x:c r="G1861" t="str">
        <x:v>Electronics</x:v>
      </x:c>
      <x:c r="H1861" t="n">
        <x:v>4</x:v>
      </x:c>
      <x:c r="I1861" s="26" t="n">
        <x:v>1806.6</x:v>
      </x:c>
      <x:c r="J1861" s="26" t="n">
        <x:v>10242.6</x:v>
      </x:c>
      <x:c r="K1861" s="28" t="n">
        <x:v>0.1312</x:v>
      </x:c>
      <x:c r="L1861" s="26" t="n">
        <x:v>1343.83</x:v>
      </x:c>
      <x:c r="M1861" t="n">
        <x:v>1</x:v>
      </x:c>
      <x:c r="N1861" s="26" t="n">
        <x:v>8043.6</x:v>
      </x:c>
      <x:c r="O1861" s="26" t="n">
        <x:v>189.49</x:v>
      </x:c>
      <x:c r="P1861" s="26" t="n">
        <x:v>46.09</x:v>
      </x:c>
      <x:c r="Q1861" s="26" t="n">
        <x:v>87.06</x:v>
      </x:c>
      <x:c r="R1861" s="26" t="n">
        <x:v>107.55</x:v>
      </x:c>
      <x:c r="S1861" s="26" t="n">
        <x:v>752.77</x:v>
      </x:c>
    </x:row>
    <x:row r="1862">
      <x:c r="A1862" t="n">
        <x:v>501859</x:v>
      </x:c>
      <x:c r="B1862" s="24" t="n">
        <x:v>46014</x:v>
      </x:c>
      <x:c r="C1862" t="n">
        <x:v>1074</x:v>
      </x:c>
      <x:c r="D1862" t="str">
        <x:v>Seller 1074</x:v>
      </x:c>
      <x:c r="E1862" t="str">
        <x:v>Bronze</x:v>
      </x:c>
      <x:c r="F1862" t="str">
        <x:v>East</x:v>
      </x:c>
      <x:c r="G1862" t="str">
        <x:v>Home &amp; Kitchen</x:v>
      </x:c>
      <x:c r="H1862" t="n">
        <x:v>1</x:v>
      </x:c>
      <x:c r="I1862" s="26" t="n">
        <x:v>4933.2</x:v>
      </x:c>
      <x:c r="J1862" s="26" t="n">
        <x:v>3769.8</x:v>
      </x:c>
      <x:c r="K1862" s="28" t="n">
        <x:v>0.1393</x:v>
      </x:c>
      <x:c r="L1862" s="26" t="n">
        <x:v>525.13</x:v>
      </x:c>
      <x:c r="M1862" t="n">
        <x:v>0</x:v>
      </x:c>
      <x:c r="N1862" s="26" t="n">
        <x:v>0</x:v>
      </x:c>
      <x:c r="O1862" s="26" t="n">
        <x:v>69.74</x:v>
      </x:c>
      <x:c r="P1862" s="26" t="n">
        <x:v>16.96</x:v>
      </x:c>
      <x:c r="Q1862" s="26" t="n">
        <x:v>32.04</x:v>
      </x:c>
      <x:c r="R1862" s="26" t="n">
        <x:v>39.58</x:v>
      </x:c>
      <x:c r="S1862" s="26" t="n">
        <x:v>366.8</x:v>
      </x:c>
    </x:row>
    <x:row r="1863">
      <x:c r="A1863" t="n">
        <x:v>501860</x:v>
      </x:c>
      <x:c r="B1863" s="24" t="n">
        <x:v>46007</x:v>
      </x:c>
      <x:c r="C1863" t="n">
        <x:v>1068</x:v>
      </x:c>
      <x:c r="D1863" t="str">
        <x:v>Seller 1068</x:v>
      </x:c>
      <x:c r="E1863" t="str">
        <x:v>Bronze</x:v>
      </x:c>
      <x:c r="F1863" t="str">
        <x:v>South</x:v>
      </x:c>
      <x:c r="G1863" t="str">
        <x:v>Pet Supplies</x:v>
      </x:c>
      <x:c r="H1863" t="n">
        <x:v>4</x:v>
      </x:c>
      <x:c r="I1863" s="26" t="n">
        <x:v>1288.1999999999998</x:v>
      </x:c>
      <x:c r="J1863" s="26" t="n">
        <x:v>3938.4</x:v>
      </x:c>
      <x:c r="K1863" s="28" t="n">
        <x:v>0.1359</x:v>
      </x:c>
      <x:c r="L1863" s="26" t="n">
        <x:v>535.23</x:v>
      </x:c>
      <x:c r="M1863" t="n">
        <x:v>0</x:v>
      </x:c>
      <x:c r="N1863" s="26" t="n">
        <x:v>0</x:v>
      </x:c>
      <x:c r="O1863" s="26" t="n">
        <x:v>72.86</x:v>
      </x:c>
      <x:c r="P1863" s="26" t="n">
        <x:v>17.72</x:v>
      </x:c>
      <x:c r="Q1863" s="26" t="n">
        <x:v>33.48</x:v>
      </x:c>
      <x:c r="R1863" s="26" t="n">
        <x:v>41.35</x:v>
      </x:c>
      <x:c r="S1863" s="26" t="n">
        <x:v>369.82</x:v>
      </x:c>
    </x:row>
    <x:row r="1864">
      <x:c r="A1864" t="n">
        <x:v>501861</x:v>
      </x:c>
      <x:c r="B1864" s="24" t="n">
        <x:v>46011</x:v>
      </x:c>
      <x:c r="C1864" t="n">
        <x:v>1016</x:v>
      </x:c>
      <x:c r="D1864" t="str">
        <x:v>Seller 1016</x:v>
      </x:c>
      <x:c r="E1864" t="str">
        <x:v>Gold</x:v>
      </x:c>
      <x:c r="F1864" t="str">
        <x:v>West</x:v>
      </x:c>
      <x:c r="G1864" t="str">
        <x:v>Sports</x:v>
      </x:c>
      <x:c r="H1864" t="n">
        <x:v>2</x:v>
      </x:c>
      <x:c r="I1864" s="26" t="n">
        <x:v>2777.4</x:v>
      </x:c>
      <x:c r="J1864" s="26" t="n">
        <x:v>7873.2</x:v>
      </x:c>
      <x:c r="K1864" s="28" t="n">
        <x:v>0.122</x:v>
      </x:c>
      <x:c r="L1864" s="26" t="n">
        <x:v>960.53</x:v>
      </x:c>
      <x:c r="M1864" t="n">
        <x:v>0</x:v>
      </x:c>
      <x:c r="N1864" s="26" t="n">
        <x:v>0</x:v>
      </x:c>
      <x:c r="O1864" s="26" t="n">
        <x:v>145.65</x:v>
      </x:c>
      <x:c r="P1864" s="26" t="n">
        <x:v>35.43</x:v>
      </x:c>
      <x:c r="Q1864" s="26" t="n">
        <x:v>66.92</x:v>
      </x:c>
      <x:c r="R1864" s="26" t="n">
        <x:v>82.67</x:v>
      </x:c>
      <x:c r="S1864" s="26" t="n">
        <x:v>629.86</x:v>
      </x:c>
    </x:row>
    <x:row r="1865">
      <x:c r="A1865" t="n">
        <x:v>501862</x:v>
      </x:c>
      <x:c r="B1865" s="24" t="n">
        <x:v>46010</x:v>
      </x:c>
      <x:c r="C1865" t="n">
        <x:v>1033</x:v>
      </x:c>
      <x:c r="D1865" t="str">
        <x:v>Seller 1033</x:v>
      </x:c>
      <x:c r="E1865" t="str">
        <x:v>Silver</x:v>
      </x:c>
      <x:c r="F1865" t="str">
        <x:v>South</x:v>
      </x:c>
      <x:c r="G1865" t="str">
        <x:v>Beauty</x:v>
      </x:c>
      <x:c r="H1865" t="n">
        <x:v>1</x:v>
      </x:c>
      <x:c r="I1865" s="26" t="n">
        <x:v>2460.6</x:v>
      </x:c>
      <x:c r="J1865" s="26" t="n">
        <x:v>2668.8</x:v>
      </x:c>
      <x:c r="K1865" s="28" t="n">
        <x:v>0.1529</x:v>
      </x:c>
      <x:c r="L1865" s="26" t="n">
        <x:v>408.06</x:v>
      </x:c>
      <x:c r="M1865" t="n">
        <x:v>0</x:v>
      </x:c>
      <x:c r="N1865" s="26" t="n">
        <x:v>0</x:v>
      </x:c>
      <x:c r="O1865" s="26" t="n">
        <x:v>49.37</x:v>
      </x:c>
      <x:c r="P1865" s="26" t="n">
        <x:v>12.01</x:v>
      </x:c>
      <x:c r="Q1865" s="26" t="n">
        <x:v>22.68</x:v>
      </x:c>
      <x:c r="R1865" s="26" t="n">
        <x:v>28.02</x:v>
      </x:c>
      <x:c r="S1865" s="26" t="n">
        <x:v>295.97</x:v>
      </x:c>
    </x:row>
    <x:row r="1866">
      <x:c r="A1866" t="n">
        <x:v>501863</x:v>
      </x:c>
      <x:c r="B1866" s="24" t="n">
        <x:v>45996</x:v>
      </x:c>
      <x:c r="C1866" t="n">
        <x:v>1006</x:v>
      </x:c>
      <x:c r="D1866" t="str">
        <x:v>Seller 1006</x:v>
      </x:c>
      <x:c r="E1866" t="str">
        <x:v>Platinum</x:v>
      </x:c>
      <x:c r="F1866" t="str">
        <x:v>East</x:v>
      </x:c>
      <x:c r="G1866" t="str">
        <x:v>Sports</x:v>
      </x:c>
      <x:c r="H1866" t="n">
        <x:v>2</x:v>
      </x:c>
      <x:c r="I1866" s="26" t="n">
        <x:v>2392.8</x:v>
      </x:c>
      <x:c r="J1866" s="26" t="n">
        <x:v>9142.2</x:v>
      </x:c>
      <x:c r="K1866" s="28" t="n">
        <x:v>0.1237</x:v>
      </x:c>
      <x:c r="L1866" s="26" t="n">
        <x:v>1130.89</x:v>
      </x:c>
      <x:c r="M1866" t="n">
        <x:v>0</x:v>
      </x:c>
      <x:c r="N1866" s="26" t="n">
        <x:v>0</x:v>
      </x:c>
      <x:c r="O1866" s="26" t="n">
        <x:v>169.13</x:v>
      </x:c>
      <x:c r="P1866" s="26" t="n">
        <x:v>41.14</x:v>
      </x:c>
      <x:c r="Q1866" s="26" t="n">
        <x:v>77.71</x:v>
      </x:c>
      <x:c r="R1866" s="26" t="n">
        <x:v>95.99</x:v>
      </x:c>
      <x:c r="S1866" s="26" t="n">
        <x:v>746.92</x:v>
      </x:c>
    </x:row>
    <x:row r="1867">
      <x:c r="A1867" t="n">
        <x:v>501864</x:v>
      </x:c>
      <x:c r="B1867" s="24" t="n">
        <x:v>45994</x:v>
      </x:c>
      <x:c r="C1867" t="n">
        <x:v>1015</x:v>
      </x:c>
      <x:c r="D1867" t="str">
        <x:v>Seller 1015</x:v>
      </x:c>
      <x:c r="E1867" t="str">
        <x:v>Gold</x:v>
      </x:c>
      <x:c r="F1867" t="str">
        <x:v>West</x:v>
      </x:c>
      <x:c r="G1867" t="str">
        <x:v>Pet Supplies</x:v>
      </x:c>
      <x:c r="H1867" t="n">
        <x:v>1</x:v>
      </x:c>
      <x:c r="I1867" s="26" t="n">
        <x:v>2796.6</x:v>
      </x:c>
      <x:c r="J1867" s="26" t="n">
        <x:v>3963.6</x:v>
      </x:c>
      <x:c r="K1867" s="28" t="n">
        <x:v>0.1459</x:v>
      </x:c>
      <x:c r="L1867" s="26" t="n">
        <x:v>578.29</x:v>
      </x:c>
      <x:c r="M1867" t="n">
        <x:v>0</x:v>
      </x:c>
      <x:c r="N1867" s="26" t="n">
        <x:v>0</x:v>
      </x:c>
      <x:c r="O1867" s="26" t="n">
        <x:v>73.33</x:v>
      </x:c>
      <x:c r="P1867" s="26" t="n">
        <x:v>17.84</x:v>
      </x:c>
      <x:c r="Q1867" s="26" t="n">
        <x:v>33.69</x:v>
      </x:c>
      <x:c r="R1867" s="26" t="n">
        <x:v>41.62</x:v>
      </x:c>
      <x:c r="S1867" s="26" t="n">
        <x:v>411.82</x:v>
      </x:c>
    </x:row>
    <x:row r="1868">
      <x:c r="A1868" t="n">
        <x:v>501865</x:v>
      </x:c>
      <x:c r="B1868" s="24" t="n">
        <x:v>46009</x:v>
      </x:c>
      <x:c r="C1868" t="n">
        <x:v>1058</x:v>
      </x:c>
      <x:c r="D1868" t="str">
        <x:v>Seller 1058</x:v>
      </x:c>
      <x:c r="E1868" t="str">
        <x:v>Bronze</x:v>
      </x:c>
      <x:c r="F1868" t="str">
        <x:v>East</x:v>
      </x:c>
      <x:c r="G1868" t="str">
        <x:v>Beauty</x:v>
      </x:c>
      <x:c r="H1868" t="n">
        <x:v>2</x:v>
      </x:c>
      <x:c r="I1868" s="26" t="n">
        <x:v>954</x:v>
      </x:c>
      <x:c r="J1868" s="26" t="n">
        <x:v>1458.6</x:v>
      </x:c>
      <x:c r="K1868" s="28" t="n">
        <x:v>0.1599</x:v>
      </x:c>
      <x:c r="L1868" s="26" t="n">
        <x:v>233.23</x:v>
      </x:c>
      <x:c r="M1868" t="n">
        <x:v>0</x:v>
      </x:c>
      <x:c r="N1868" s="26" t="n">
        <x:v>0</x:v>
      </x:c>
      <x:c r="O1868" s="26" t="n">
        <x:v>26.98</x:v>
      </x:c>
      <x:c r="P1868" s="26" t="n">
        <x:v>6.56</x:v>
      </x:c>
      <x:c r="Q1868" s="26" t="n">
        <x:v>12.4</x:v>
      </x:c>
      <x:c r="R1868" s="26" t="n">
        <x:v>15.32</x:v>
      </x:c>
      <x:c r="S1868" s="26" t="n">
        <x:v>171.97</x:v>
      </x:c>
    </x:row>
    <x:row r="1869">
      <x:c r="A1869" t="n">
        <x:v>501866</x:v>
      </x:c>
      <x:c r="B1869" s="24" t="n">
        <x:v>46015</x:v>
      </x:c>
      <x:c r="C1869" t="n">
        <x:v>1067</x:v>
      </x:c>
      <x:c r="D1869" t="str">
        <x:v>Seller 1067</x:v>
      </x:c>
      <x:c r="E1869" t="str">
        <x:v>Bronze</x:v>
      </x:c>
      <x:c r="F1869" t="str">
        <x:v>South</x:v>
      </x:c>
      <x:c r="G1869" t="str">
        <x:v>Beauty</x:v>
      </x:c>
      <x:c r="H1869" t="n">
        <x:v>2</x:v>
      </x:c>
      <x:c r="I1869" s="26" t="n">
        <x:v>1369.2</x:v>
      </x:c>
      <x:c r="J1869" s="26" t="n">
        <x:v>2092.8</x:v>
      </x:c>
      <x:c r="K1869" s="28" t="n">
        <x:v>0.1542</x:v>
      </x:c>
      <x:c r="L1869" s="26" t="n">
        <x:v>322.71</x:v>
      </x:c>
      <x:c r="M1869" t="n">
        <x:v>0</x:v>
      </x:c>
      <x:c r="N1869" s="26" t="n">
        <x:v>0</x:v>
      </x:c>
      <x:c r="O1869" s="26" t="n">
        <x:v>38.72</x:v>
      </x:c>
      <x:c r="P1869" s="26" t="n">
        <x:v>9.42</x:v>
      </x:c>
      <x:c r="Q1869" s="26" t="n">
        <x:v>17.79</x:v>
      </x:c>
      <x:c r="R1869" s="26" t="n">
        <x:v>21.97</x:v>
      </x:c>
      <x:c r="S1869" s="26" t="n">
        <x:v>234.81</x:v>
      </x:c>
    </x:row>
    <x:row r="1870">
      <x:c r="A1870" t="n">
        <x:v>501867</x:v>
      </x:c>
      <x:c r="B1870" s="24" t="n">
        <x:v>46013</x:v>
      </x:c>
      <x:c r="C1870" t="n">
        <x:v>1032</x:v>
      </x:c>
      <x:c r="D1870" t="str">
        <x:v>Seller 1032</x:v>
      </x:c>
      <x:c r="E1870" t="str">
        <x:v>Silver</x:v>
      </x:c>
      <x:c r="F1870" t="str">
        <x:v>West</x:v>
      </x:c>
      <x:c r="G1870" t="str">
        <x:v>Pet Supplies</x:v>
      </x:c>
      <x:c r="H1870" t="n">
        <x:v>3</x:v>
      </x:c>
      <x:c r="I1870" s="26" t="n">
        <x:v>955.8</x:v>
      </x:c>
      <x:c r="J1870" s="26" t="n">
        <x:v>3110.4</x:v>
      </x:c>
      <x:c r="K1870" s="28" t="n">
        <x:v>0.1321</x:v>
      </x:c>
      <x:c r="L1870" s="26" t="n">
        <x:v>410.88</x:v>
      </x:c>
      <x:c r="M1870" t="n">
        <x:v>0</x:v>
      </x:c>
      <x:c r="N1870" s="26" t="n">
        <x:v>0</x:v>
      </x:c>
      <x:c r="O1870" s="26" t="n">
        <x:v>57.54</x:v>
      </x:c>
      <x:c r="P1870" s="26" t="n">
        <x:v>14</x:v>
      </x:c>
      <x:c r="Q1870" s="26" t="n">
        <x:v>26.44</x:v>
      </x:c>
      <x:c r="R1870" s="26" t="n">
        <x:v>32.66</x:v>
      </x:c>
      <x:c r="S1870" s="26" t="n">
        <x:v>280.25</x:v>
      </x:c>
    </x:row>
    <x:row r="1871">
      <x:c r="A1871" t="n">
        <x:v>501868</x:v>
      </x:c>
      <x:c r="B1871" s="24" t="n">
        <x:v>46001</x:v>
      </x:c>
      <x:c r="C1871" t="n">
        <x:v>1008</x:v>
      </x:c>
      <x:c r="D1871" t="str">
        <x:v>Seller 1008</x:v>
      </x:c>
      <x:c r="E1871" t="str">
        <x:v>Platinum</x:v>
      </x:c>
      <x:c r="F1871" t="str">
        <x:v>West</x:v>
      </x:c>
      <x:c r="G1871" t="str">
        <x:v>Sports</x:v>
      </x:c>
      <x:c r="H1871" t="n">
        <x:v>2</x:v>
      </x:c>
      <x:c r="I1871" s="26" t="n">
        <x:v>2645.4</x:v>
      </x:c>
      <x:c r="J1871" s="26" t="n">
        <x:v>10108.2</x:v>
      </x:c>
      <x:c r="K1871" s="28" t="n">
        <x:v>0.1432</x:v>
      </x:c>
      <x:c r="L1871" s="26" t="n">
        <x:v>1447.49</x:v>
      </x:c>
      <x:c r="M1871" t="n">
        <x:v>0</x:v>
      </x:c>
      <x:c r="N1871" s="26" t="n">
        <x:v>0</x:v>
      </x:c>
      <x:c r="O1871" s="26" t="n">
        <x:v>187</x:v>
      </x:c>
      <x:c r="P1871" s="26" t="n">
        <x:v>45.49</x:v>
      </x:c>
      <x:c r="Q1871" s="26" t="n">
        <x:v>85.92</x:v>
      </x:c>
      <x:c r="R1871" s="26" t="n">
        <x:v>106.14</x:v>
      </x:c>
      <x:c r="S1871" s="26" t="n">
        <x:v>1022.95</x:v>
      </x:c>
    </x:row>
    <x:row r="1872">
      <x:c r="A1872" t="n">
        <x:v>501869</x:v>
      </x:c>
      <x:c r="B1872" s="24" t="n">
        <x:v>45994</x:v>
      </x:c>
      <x:c r="C1872" t="n">
        <x:v>1002</x:v>
      </x:c>
      <x:c r="D1872" t="str">
        <x:v>Seller 1002</x:v>
      </x:c>
      <x:c r="E1872" t="str">
        <x:v>Platinum</x:v>
      </x:c>
      <x:c r="F1872" t="str">
        <x:v>Central</x:v>
      </x:c>
      <x:c r="G1872" t="str">
        <x:v>Home &amp; Kitchen</x:v>
      </x:c>
      <x:c r="H1872" t="n">
        <x:v>2</x:v>
      </x:c>
      <x:c r="I1872" s="26" t="n">
        <x:v>2316</x:v>
      </x:c>
      <x:c r="J1872" s="26" t="n">
        <x:v>8848.8</x:v>
      </x:c>
      <x:c r="K1872" s="28" t="n">
        <x:v>0.1399</x:v>
      </x:c>
      <x:c r="L1872" s="26" t="n">
        <x:v>1237.95</x:v>
      </x:c>
      <x:c r="M1872" t="n">
        <x:v>0</x:v>
      </x:c>
      <x:c r="N1872" s="26" t="n">
        <x:v>0</x:v>
      </x:c>
      <x:c r="O1872" s="26" t="n">
        <x:v>163.7</x:v>
      </x:c>
      <x:c r="P1872" s="26" t="n">
        <x:v>39.82</x:v>
      </x:c>
      <x:c r="Q1872" s="26" t="n">
        <x:v>75.21</x:v>
      </x:c>
      <x:c r="R1872" s="26" t="n">
        <x:v>92.91</x:v>
      </x:c>
      <x:c r="S1872" s="26" t="n">
        <x:v>866.3</x:v>
      </x:c>
    </x:row>
    <x:row r="1873">
      <x:c r="A1873" t="n">
        <x:v>501870</x:v>
      </x:c>
      <x:c r="B1873" s="24" t="n">
        <x:v>46008</x:v>
      </x:c>
      <x:c r="C1873" t="n">
        <x:v>1036</x:v>
      </x:c>
      <x:c r="D1873" t="str">
        <x:v>Seller 1036</x:v>
      </x:c>
      <x:c r="E1873" t="str">
        <x:v>Silver</x:v>
      </x:c>
      <x:c r="F1873" t="str">
        <x:v>Central</x:v>
      </x:c>
      <x:c r="G1873" t="str">
        <x:v>Apparel</x:v>
      </x:c>
      <x:c r="H1873" t="n">
        <x:v>2</x:v>
      </x:c>
      <x:c r="I1873" s="26" t="n">
        <x:v>2268.6000000000004</x:v>
      </x:c>
      <x:c r="J1873" s="26" t="n">
        <x:v>4921.8</x:v>
      </x:c>
      <x:c r="K1873" s="28" t="n">
        <x:v>0.1245</x:v>
      </x:c>
      <x:c r="L1873" s="26" t="n">
        <x:v>612.76</x:v>
      </x:c>
      <x:c r="M1873" t="n">
        <x:v>0</x:v>
      </x:c>
      <x:c r="N1873" s="26" t="n">
        <x:v>0</x:v>
      </x:c>
      <x:c r="O1873" s="26" t="n">
        <x:v>91.05</x:v>
      </x:c>
      <x:c r="P1873" s="26" t="n">
        <x:v>22.15</x:v>
      </x:c>
      <x:c r="Q1873" s="26" t="n">
        <x:v>41.84</x:v>
      </x:c>
      <x:c r="R1873" s="26" t="n">
        <x:v>51.68</x:v>
      </x:c>
      <x:c r="S1873" s="26" t="n">
        <x:v>406.05</x:v>
      </x:c>
    </x:row>
    <x:row r="1874">
      <x:c r="A1874" t="n">
        <x:v>501871</x:v>
      </x:c>
      <x:c r="B1874" s="24" t="n">
        <x:v>45999</x:v>
      </x:c>
      <x:c r="C1874" t="n">
        <x:v>1063</x:v>
      </x:c>
      <x:c r="D1874" t="str">
        <x:v>Seller 1063</x:v>
      </x:c>
      <x:c r="E1874" t="str">
        <x:v>Bronze</x:v>
      </x:c>
      <x:c r="F1874" t="str">
        <x:v>West</x:v>
      </x:c>
      <x:c r="G1874" t="str">
        <x:v>Pet Supplies</x:v>
      </x:c>
      <x:c r="H1874" t="n">
        <x:v>3</x:v>
      </x:c>
      <x:c r="I1874" s="26" t="n">
        <x:v>1013.4000000000001</x:v>
      </x:c>
      <x:c r="J1874" s="26" t="n">
        <x:v>2322.6</x:v>
      </x:c>
      <x:c r="K1874" s="28" t="n">
        <x:v>0.1414</x:v>
      </x:c>
      <x:c r="L1874" s="26" t="n">
        <x:v>328.42</x:v>
      </x:c>
      <x:c r="M1874" t="n">
        <x:v>0</x:v>
      </x:c>
      <x:c r="N1874" s="26" t="n">
        <x:v>0</x:v>
      </x:c>
      <x:c r="O1874" s="26" t="n">
        <x:v>42.97</x:v>
      </x:c>
      <x:c r="P1874" s="26" t="n">
        <x:v>10.45</x:v>
      </x:c>
      <x:c r="Q1874" s="26" t="n">
        <x:v>19.74</x:v>
      </x:c>
      <x:c r="R1874" s="26" t="n">
        <x:v>24.39</x:v>
      </x:c>
      <x:c r="S1874" s="26" t="n">
        <x:v>230.87</x:v>
      </x:c>
    </x:row>
    <x:row r="1875">
      <x:c r="A1875" t="n">
        <x:v>501872</x:v>
      </x:c>
      <x:c r="B1875" s="24" t="n">
        <x:v>45990</x:v>
      </x:c>
      <x:c r="C1875" t="n">
        <x:v>1067</x:v>
      </x:c>
      <x:c r="D1875" t="str">
        <x:v>Seller 1067</x:v>
      </x:c>
      <x:c r="E1875" t="str">
        <x:v>Bronze</x:v>
      </x:c>
      <x:c r="F1875" t="str">
        <x:v>South</x:v>
      </x:c>
      <x:c r="G1875" t="str">
        <x:v>Beauty</x:v>
      </x:c>
      <x:c r="H1875" t="n">
        <x:v>4</x:v>
      </x:c>
      <x:c r="I1875" s="26" t="n">
        <x:v>904.8</x:v>
      </x:c>
      <x:c r="J1875" s="26" t="n">
        <x:v>2764.8</x:v>
      </x:c>
      <x:c r="K1875" s="28" t="n">
        <x:v>0.1514</x:v>
      </x:c>
      <x:c r="L1875" s="26" t="n">
        <x:v>418.59</x:v>
      </x:c>
      <x:c r="M1875" t="n">
        <x:v>0</x:v>
      </x:c>
      <x:c r="N1875" s="26" t="n">
        <x:v>0</x:v>
      </x:c>
      <x:c r="O1875" s="26" t="n">
        <x:v>51.15</x:v>
      </x:c>
      <x:c r="P1875" s="26" t="n">
        <x:v>12.44</x:v>
      </x:c>
      <x:c r="Q1875" s="26" t="n">
        <x:v>23.5</x:v>
      </x:c>
      <x:c r="R1875" s="26" t="n">
        <x:v>29.03</x:v>
      </x:c>
      <x:c r="S1875" s="26" t="n">
        <x:v>302.47</x:v>
      </x:c>
    </x:row>
    <x:row r="1876">
      <x:c r="A1876" t="n">
        <x:v>501873</x:v>
      </x:c>
      <x:c r="B1876" s="24" t="n">
        <x:v>46005</x:v>
      </x:c>
      <x:c r="C1876" t="n">
        <x:v>1073</x:v>
      </x:c>
      <x:c r="D1876" t="str">
        <x:v>Seller 1073</x:v>
      </x:c>
      <x:c r="E1876" t="str">
        <x:v>Bronze</x:v>
      </x:c>
      <x:c r="F1876" t="str">
        <x:v>Central</x:v>
      </x:c>
      <x:c r="G1876" t="str">
        <x:v>Electronics</x:v>
      </x:c>
      <x:c r="H1876" t="n">
        <x:v>2</x:v>
      </x:c>
      <x:c r="I1876" s="26" t="n">
        <x:v>4916.4</x:v>
      </x:c>
      <x:c r="J1876" s="26" t="n">
        <x:v>7514.4</x:v>
      </x:c>
      <x:c r="K1876" s="28" t="n">
        <x:v>0.1384</x:v>
      </x:c>
      <x:c r="L1876" s="26" t="n">
        <x:v>1039.99</x:v>
      </x:c>
      <x:c r="M1876" t="n">
        <x:v>0</x:v>
      </x:c>
      <x:c r="N1876" s="26" t="n">
        <x:v>0</x:v>
      </x:c>
      <x:c r="O1876" s="26" t="n">
        <x:v>139.02</x:v>
      </x:c>
      <x:c r="P1876" s="26" t="n">
        <x:v>33.81</x:v>
      </x:c>
      <x:c r="Q1876" s="26" t="n">
        <x:v>63.87</x:v>
      </x:c>
      <x:c r="R1876" s="26" t="n">
        <x:v>78.9</x:v>
      </x:c>
      <x:c r="S1876" s="26" t="n">
        <x:v>724.39</x:v>
      </x:c>
    </x:row>
    <x:row r="1877">
      <x:c r="A1877" t="n">
        <x:v>501874</x:v>
      </x:c>
      <x:c r="B1877" s="24" t="n">
        <x:v>45998</x:v>
      </x:c>
      <x:c r="C1877" t="n">
        <x:v>1079</x:v>
      </x:c>
      <x:c r="D1877" t="str">
        <x:v>Seller 1079</x:v>
      </x:c>
      <x:c r="E1877" t="str">
        <x:v>Bronze</x:v>
      </x:c>
      <x:c r="F1877" t="str">
        <x:v>South</x:v>
      </x:c>
      <x:c r="G1877" t="str">
        <x:v>Beauty</x:v>
      </x:c>
      <x:c r="H1877" t="n">
        <x:v>4</x:v>
      </x:c>
      <x:c r="I1877" s="26" t="n">
        <x:v>480</x:v>
      </x:c>
      <x:c r="J1877" s="26" t="n">
        <x:v>1467</x:v>
      </x:c>
      <x:c r="K1877" s="28" t="n">
        <x:v>0.1541</x:v>
      </x:c>
      <x:c r="L1877" s="26" t="n">
        <x:v>226.06</x:v>
      </x:c>
      <x:c r="M1877" t="n">
        <x:v>1</x:v>
      </x:c>
      <x:c r="N1877" s="26" t="n">
        <x:v>1440</x:v>
      </x:c>
      <x:c r="O1877" s="26" t="n">
        <x:v>27.14</x:v>
      </x:c>
      <x:c r="P1877" s="26" t="n">
        <x:v>6.6</x:v>
      </x:c>
      <x:c r="Q1877" s="26" t="n">
        <x:v>12.47</x:v>
      </x:c>
      <x:c r="R1877" s="26" t="n">
        <x:v>15.4</x:v>
      </x:c>
      <x:c r="S1877" s="26" t="n">
        <x:v>135.65</x:v>
      </x:c>
    </x:row>
    <x:row r="1878">
      <x:c r="A1878" t="n">
        <x:v>501875</x:v>
      </x:c>
      <x:c r="B1878" s="24" t="n">
        <x:v>46001</x:v>
      </x:c>
      <x:c r="C1878" t="n">
        <x:v>1071</x:v>
      </x:c>
      <x:c r="D1878" t="str">
        <x:v>Seller 1071</x:v>
      </x:c>
      <x:c r="E1878" t="str">
        <x:v>Bronze</x:v>
      </x:c>
      <x:c r="F1878" t="str">
        <x:v>Central</x:v>
      </x:c>
      <x:c r="G1878" t="str">
        <x:v>Sports</x:v>
      </x:c>
      <x:c r="H1878" t="n">
        <x:v>2</x:v>
      </x:c>
      <x:c r="I1878" s="26" t="n">
        <x:v>2631</x:v>
      </x:c>
      <x:c r="J1878" s="26" t="n">
        <x:v>4021.2</x:v>
      </x:c>
      <x:c r="K1878" s="28" t="n">
        <x:v>0.1265</x:v>
      </x:c>
      <x:c r="L1878" s="26" t="n">
        <x:v>508.68</x:v>
      </x:c>
      <x:c r="M1878" t="n">
        <x:v>0</x:v>
      </x:c>
      <x:c r="N1878" s="26" t="n">
        <x:v>0</x:v>
      </x:c>
      <x:c r="O1878" s="26" t="n">
        <x:v>74.39</x:v>
      </x:c>
      <x:c r="P1878" s="26" t="n">
        <x:v>18.1</x:v>
      </x:c>
      <x:c r="Q1878" s="26" t="n">
        <x:v>34.18</x:v>
      </x:c>
      <x:c r="R1878" s="26" t="n">
        <x:v>42.22</x:v>
      </x:c>
      <x:c r="S1878" s="26" t="n">
        <x:v>339.79</x:v>
      </x:c>
    </x:row>
    <x:row r="1879">
      <x:c r="A1879" t="n">
        <x:v>501876</x:v>
      </x:c>
      <x:c r="B1879" s="24" t="n">
        <x:v>46006</x:v>
      </x:c>
      <x:c r="C1879" t="n">
        <x:v>1033</x:v>
      </x:c>
      <x:c r="D1879" t="str">
        <x:v>Seller 1033</x:v>
      </x:c>
      <x:c r="E1879" t="str">
        <x:v>Silver</x:v>
      </x:c>
      <x:c r="F1879" t="str">
        <x:v>South</x:v>
      </x:c>
      <x:c r="G1879" t="str">
        <x:v>Beauty</x:v>
      </x:c>
      <x:c r="H1879" t="n">
        <x:v>2</x:v>
      </x:c>
      <x:c r="I1879" s="26" t="n">
        <x:v>1459.8</x:v>
      </x:c>
      <x:c r="J1879" s="26" t="n">
        <x:v>3166.2</x:v>
      </x:c>
      <x:c r="K1879" s="28" t="n">
        <x:v>0.1486</x:v>
      </x:c>
      <x:c r="L1879" s="26" t="n">
        <x:v>470.5</x:v>
      </x:c>
      <x:c r="M1879" t="n">
        <x:v>0</x:v>
      </x:c>
      <x:c r="N1879" s="26" t="n">
        <x:v>0</x:v>
      </x:c>
      <x:c r="O1879" s="26" t="n">
        <x:v>58.57</x:v>
      </x:c>
      <x:c r="P1879" s="26" t="n">
        <x:v>14.25</x:v>
      </x:c>
      <x:c r="Q1879" s="26" t="n">
        <x:v>26.91</x:v>
      </x:c>
      <x:c r="R1879" s="26" t="n">
        <x:v>33.25</x:v>
      </x:c>
      <x:c r="S1879" s="26" t="n">
        <x:v>337.52</x:v>
      </x:c>
    </x:row>
    <x:row r="1880">
      <x:c r="A1880" t="n">
        <x:v>501877</x:v>
      </x:c>
      <x:c r="B1880" s="24" t="n">
        <x:v>46003</x:v>
      </x:c>
      <x:c r="C1880" t="n">
        <x:v>1046</x:v>
      </x:c>
      <x:c r="D1880" t="str">
        <x:v>Seller 1046</x:v>
      </x:c>
      <x:c r="E1880" t="str">
        <x:v>Silver</x:v>
      </x:c>
      <x:c r="F1880" t="str">
        <x:v>Central</x:v>
      </x:c>
      <x:c r="G1880" t="str">
        <x:v>Sports</x:v>
      </x:c>
      <x:c r="H1880" t="n">
        <x:v>2</x:v>
      </x:c>
      <x:c r="I1880" s="26" t="n">
        <x:v>2322.6</x:v>
      </x:c>
      <x:c r="J1880" s="26" t="n">
        <x:v>5038.2</x:v>
      </x:c>
      <x:c r="K1880" s="28" t="n">
        <x:v>0.1279</x:v>
      </x:c>
      <x:c r="L1880" s="26" t="n">
        <x:v>644.39</x:v>
      </x:c>
      <x:c r="M1880" t="n">
        <x:v>0</x:v>
      </x:c>
      <x:c r="N1880" s="26" t="n">
        <x:v>0</x:v>
      </x:c>
      <x:c r="O1880" s="26" t="n">
        <x:v>93.21</x:v>
      </x:c>
      <x:c r="P1880" s="26" t="n">
        <x:v>22.67</x:v>
      </x:c>
      <x:c r="Q1880" s="26" t="n">
        <x:v>42.82</x:v>
      </x:c>
      <x:c r="R1880" s="26" t="n">
        <x:v>52.9</x:v>
      </x:c>
      <x:c r="S1880" s="26" t="n">
        <x:v>432.78</x:v>
      </x:c>
    </x:row>
    <x:row r="1881">
      <x:c r="A1881" t="n">
        <x:v>501878</x:v>
      </x:c>
      <x:c r="B1881" s="24" t="n">
        <x:v>46016</x:v>
      </x:c>
      <x:c r="C1881" t="n">
        <x:v>1031</x:v>
      </x:c>
      <x:c r="D1881" t="str">
        <x:v>Seller 1031</x:v>
      </x:c>
      <x:c r="E1881" t="str">
        <x:v>Silver</x:v>
      </x:c>
      <x:c r="F1881" t="str">
        <x:v>West</x:v>
      </x:c>
      <x:c r="G1881" t="str">
        <x:v>Home &amp; Kitchen</x:v>
      </x:c>
      <x:c r="H1881" t="n">
        <x:v>1</x:v>
      </x:c>
      <x:c r="I1881" s="26" t="n">
        <x:v>4938</x:v>
      </x:c>
      <x:c r="J1881" s="26" t="n">
        <x:v>5356.2</x:v>
      </x:c>
      <x:c r="K1881" s="28" t="n">
        <x:v>0.1425</x:v>
      </x:c>
      <x:c r="L1881" s="26" t="n">
        <x:v>763.26</x:v>
      </x:c>
      <x:c r="M1881" t="n">
        <x:v>0</x:v>
      </x:c>
      <x:c r="N1881" s="26" t="n">
        <x:v>0</x:v>
      </x:c>
      <x:c r="O1881" s="26" t="n">
        <x:v>99.09</x:v>
      </x:c>
      <x:c r="P1881" s="26" t="n">
        <x:v>24.1</x:v>
      </x:c>
      <x:c r="Q1881" s="26" t="n">
        <x:v>45.53</x:v>
      </x:c>
      <x:c r="R1881" s="26" t="n">
        <x:v>56.24</x:v>
      </x:c>
      <x:c r="S1881" s="26" t="n">
        <x:v>538.3</x:v>
      </x:c>
    </x:row>
    <x:row r="1882">
      <x:c r="A1882" t="n">
        <x:v>501879</x:v>
      </x:c>
      <x:c r="B1882" s="24" t="n">
        <x:v>46009</x:v>
      </x:c>
      <x:c r="C1882" t="n">
        <x:v>1018</x:v>
      </x:c>
      <x:c r="D1882" t="str">
        <x:v>Seller 1018</x:v>
      </x:c>
      <x:c r="E1882" t="str">
        <x:v>Gold</x:v>
      </x:c>
      <x:c r="F1882" t="str">
        <x:v>West</x:v>
      </x:c>
      <x:c r="G1882" t="str">
        <x:v>Electronics</x:v>
      </x:c>
      <x:c r="H1882" t="n">
        <x:v>3</x:v>
      </x:c>
      <x:c r="I1882" s="26" t="n">
        <x:v>2549.4</x:v>
      </x:c>
      <x:c r="J1882" s="26" t="n">
        <x:v>10841.4</x:v>
      </x:c>
      <x:c r="K1882" s="28" t="n">
        <x:v>0.1289</x:v>
      </x:c>
      <x:c r="L1882" s="26" t="n">
        <x:v>1397.46</x:v>
      </x:c>
      <x:c r="M1882" t="n">
        <x:v>0</x:v>
      </x:c>
      <x:c r="N1882" s="26" t="n">
        <x:v>0</x:v>
      </x:c>
      <x:c r="O1882" s="26" t="n">
        <x:v>200.57</x:v>
      </x:c>
      <x:c r="P1882" s="26" t="n">
        <x:v>48.79</x:v>
      </x:c>
      <x:c r="Q1882" s="26" t="n">
        <x:v>92.15</x:v>
      </x:c>
      <x:c r="R1882" s="26" t="n">
        <x:v>113.83</x:v>
      </x:c>
      <x:c r="S1882" s="26" t="n">
        <x:v>942.12</x:v>
      </x:c>
    </x:row>
    <x:row r="1883">
      <x:c r="A1883" t="n">
        <x:v>501880</x:v>
      </x:c>
      <x:c r="B1883" s="24" t="n">
        <x:v>46017</x:v>
      </x:c>
      <x:c r="C1883" t="n">
        <x:v>1071</x:v>
      </x:c>
      <x:c r="D1883" t="str">
        <x:v>Seller 1071</x:v>
      </x:c>
      <x:c r="E1883" t="str">
        <x:v>Bronze</x:v>
      </x:c>
      <x:c r="F1883" t="str">
        <x:v>Central</x:v>
      </x:c>
      <x:c r="G1883" t="str">
        <x:v>Sports</x:v>
      </x:c>
      <x:c r="H1883" t="n">
        <x:v>3</x:v>
      </x:c>
      <x:c r="I1883" s="26" t="n">
        <x:v>1969.8</x:v>
      </x:c>
      <x:c r="J1883" s="26" t="n">
        <x:v>4515.6</x:v>
      </x:c>
      <x:c r="K1883" s="28" t="n">
        <x:v>0.1272</x:v>
      </x:c>
      <x:c r="L1883" s="26" t="n">
        <x:v>574.38</x:v>
      </x:c>
      <x:c r="M1883" t="n">
        <x:v>0</x:v>
      </x:c>
      <x:c r="N1883" s="26" t="n">
        <x:v>0</x:v>
      </x:c>
      <x:c r="O1883" s="26" t="n">
        <x:v>83.54</x:v>
      </x:c>
      <x:c r="P1883" s="26" t="n">
        <x:v>20.32</x:v>
      </x:c>
      <x:c r="Q1883" s="26" t="n">
        <x:v>38.38</x:v>
      </x:c>
      <x:c r="R1883" s="26" t="n">
        <x:v>47.41</x:v>
      </x:c>
      <x:c r="S1883" s="26" t="n">
        <x:v>384.73</x:v>
      </x:c>
    </x:row>
    <x:row r="1884">
      <x:c r="A1884" t="n">
        <x:v>501881</x:v>
      </x:c>
      <x:c r="B1884" s="24" t="n">
        <x:v>46017</x:v>
      </x:c>
      <x:c r="C1884" t="n">
        <x:v>1076</x:v>
      </x:c>
      <x:c r="D1884" t="str">
        <x:v>Seller 1076</x:v>
      </x:c>
      <x:c r="E1884" t="str">
        <x:v>Bronze</x:v>
      </x:c>
      <x:c r="F1884" t="str">
        <x:v>Central</x:v>
      </x:c>
      <x:c r="G1884" t="str">
        <x:v>Home &amp; Kitchen</x:v>
      </x:c>
      <x:c r="H1884" t="n">
        <x:v>3</x:v>
      </x:c>
      <x:c r="I1884" s="26" t="n">
        <x:v>1609.2</x:v>
      </x:c>
      <x:c r="J1884" s="26" t="n">
        <x:v>3689.4</x:v>
      </x:c>
      <x:c r="K1884" s="28" t="n">
        <x:v>0.1504</x:v>
      </x:c>
      <x:c r="L1884" s="26" t="n">
        <x:v>554.89</x:v>
      </x:c>
      <x:c r="M1884" t="n">
        <x:v>0</x:v>
      </x:c>
      <x:c r="N1884" s="26" t="n">
        <x:v>0</x:v>
      </x:c>
      <x:c r="O1884" s="26" t="n">
        <x:v>68.25</x:v>
      </x:c>
      <x:c r="P1884" s="26" t="n">
        <x:v>16.6</x:v>
      </x:c>
      <x:c r="Q1884" s="26" t="n">
        <x:v>31.36</x:v>
      </x:c>
      <x:c r="R1884" s="26" t="n">
        <x:v>38.74</x:v>
      </x:c>
      <x:c r="S1884" s="26" t="n">
        <x:v>399.93</x:v>
      </x:c>
    </x:row>
    <x:row r="1885">
      <x:c r="A1885" t="n">
        <x:v>501882</x:v>
      </x:c>
      <x:c r="B1885" s="24" t="n">
        <x:v>45995</x:v>
      </x:c>
      <x:c r="C1885" t="n">
        <x:v>1031</x:v>
      </x:c>
      <x:c r="D1885" t="str">
        <x:v>Seller 1031</x:v>
      </x:c>
      <x:c r="E1885" t="str">
        <x:v>Silver</x:v>
      </x:c>
      <x:c r="F1885" t="str">
        <x:v>West</x:v>
      </x:c>
      <x:c r="G1885" t="str">
        <x:v>Home &amp; Kitchen</x:v>
      </x:c>
      <x:c r="H1885" t="n">
        <x:v>3</x:v>
      </x:c>
      <x:c r="I1885" s="26" t="n">
        <x:v>1805.4</x:v>
      </x:c>
      <x:c r="J1885" s="26" t="n">
        <x:v>5875.2</x:v>
      </x:c>
      <x:c r="K1885" s="28" t="n">
        <x:v>0.1434</x:v>
      </x:c>
      <x:c r="L1885" s="26" t="n">
        <x:v>842.5</x:v>
      </x:c>
      <x:c r="M1885" t="n">
        <x:v>0</x:v>
      </x:c>
      <x:c r="N1885" s="26" t="n">
        <x:v>0</x:v>
      </x:c>
      <x:c r="O1885" s="26" t="n">
        <x:v>108.69</x:v>
      </x:c>
      <x:c r="P1885" s="26" t="n">
        <x:v>26.44</x:v>
      </x:c>
      <x:c r="Q1885" s="26" t="n">
        <x:v>49.94</x:v>
      </x:c>
      <x:c r="R1885" s="26" t="n">
        <x:v>61.69</x:v>
      </x:c>
      <x:c r="S1885" s="26" t="n">
        <x:v>595.75</x:v>
      </x:c>
    </x:row>
    <x:row r="1886">
      <x:c r="A1886" t="n">
        <x:v>501883</x:v>
      </x:c>
      <x:c r="B1886" s="24" t="n">
        <x:v>46003</x:v>
      </x:c>
      <x:c r="C1886" t="n">
        <x:v>1006</x:v>
      </x:c>
      <x:c r="D1886" t="str">
        <x:v>Seller 1006</x:v>
      </x:c>
      <x:c r="E1886" t="str">
        <x:v>Platinum</x:v>
      </x:c>
      <x:c r="F1886" t="str">
        <x:v>East</x:v>
      </x:c>
      <x:c r="G1886" t="str">
        <x:v>Sports</x:v>
      </x:c>
      <x:c r="H1886" t="n">
        <x:v>2</x:v>
      </x:c>
      <x:c r="I1886" s="26" t="n">
        <x:v>2497.2</x:v>
      </x:c>
      <x:c r="J1886" s="26" t="n">
        <x:v>9542.4</x:v>
      </x:c>
      <x:c r="K1886" s="28" t="n">
        <x:v>0.1402</x:v>
      </x:c>
      <x:c r="L1886" s="26" t="n">
        <x:v>1337.84</x:v>
      </x:c>
      <x:c r="M1886" t="n">
        <x:v>0</x:v>
      </x:c>
      <x:c r="N1886" s="26" t="n">
        <x:v>0</x:v>
      </x:c>
      <x:c r="O1886" s="26" t="n">
        <x:v>176.53</x:v>
      </x:c>
      <x:c r="P1886" s="26" t="n">
        <x:v>42.94</x:v>
      </x:c>
      <x:c r="Q1886" s="26" t="n">
        <x:v>81.11</x:v>
      </x:c>
      <x:c r="R1886" s="26" t="n">
        <x:v>100.2</x:v>
      </x:c>
      <x:c r="S1886" s="26" t="n">
        <x:v>937.06</x:v>
      </x:c>
    </x:row>
    <x:row r="1887">
      <x:c r="A1887" t="n">
        <x:v>501884</x:v>
      </x:c>
      <x:c r="B1887" s="24" t="n">
        <x:v>46017</x:v>
      </x:c>
      <x:c r="C1887" t="n">
        <x:v>1028</x:v>
      </x:c>
      <x:c r="D1887" t="str">
        <x:v>Seller 1028</x:v>
      </x:c>
      <x:c r="E1887" t="str">
        <x:v>Gold</x:v>
      </x:c>
      <x:c r="F1887" t="str">
        <x:v>Central</x:v>
      </x:c>
      <x:c r="G1887" t="str">
        <x:v>Beauty</x:v>
      </x:c>
      <x:c r="H1887" t="n">
        <x:v>3</x:v>
      </x:c>
      <x:c r="I1887" s="26" t="n">
        <x:v>1027.2</x:v>
      </x:c>
      <x:c r="J1887" s="26" t="n">
        <x:v>4367.4</x:v>
      </x:c>
      <x:c r="K1887" s="28" t="n">
        <x:v>0.1445</x:v>
      </x:c>
      <x:c r="L1887" s="26" t="n">
        <x:v>631.09</x:v>
      </x:c>
      <x:c r="M1887" t="n">
        <x:v>1</x:v>
      </x:c>
      <x:c r="N1887" s="26" t="n">
        <x:v>3771</x:v>
      </x:c>
      <x:c r="O1887" s="26" t="n">
        <x:v>80.8</x:v>
      </x:c>
      <x:c r="P1887" s="26" t="n">
        <x:v>19.65</x:v>
      </x:c>
      <x:c r="Q1887" s="26" t="n">
        <x:v>37.12</x:v>
      </x:c>
      <x:c r="R1887" s="26" t="n">
        <x:v>45.86</x:v>
      </x:c>
      <x:c r="S1887" s="26" t="n">
        <x:v>372.24</x:v>
      </x:c>
    </x:row>
    <x:row r="1888">
      <x:c r="A1888" t="n">
        <x:v>501885</x:v>
      </x:c>
      <x:c r="B1888" s="24" t="n">
        <x:v>45993</x:v>
      </x:c>
      <x:c r="C1888" t="n">
        <x:v>1046</x:v>
      </x:c>
      <x:c r="D1888" t="str">
        <x:v>Seller 1046</x:v>
      </x:c>
      <x:c r="E1888" t="str">
        <x:v>Silver</x:v>
      </x:c>
      <x:c r="F1888" t="str">
        <x:v>Central</x:v>
      </x:c>
      <x:c r="G1888" t="str">
        <x:v>Sports</x:v>
      </x:c>
      <x:c r="H1888" t="n">
        <x:v>2</x:v>
      </x:c>
      <x:c r="I1888" s="26" t="n">
        <x:v>2199.6</x:v>
      </x:c>
      <x:c r="J1888" s="26" t="n">
        <x:v>4771.8</x:v>
      </x:c>
      <x:c r="K1888" s="28" t="n">
        <x:v>0.1243</x:v>
      </x:c>
      <x:c r="L1888" s="26" t="n">
        <x:v>593.13</x:v>
      </x:c>
      <x:c r="M1888" t="n">
        <x:v>1</x:v>
      </x:c>
      <x:c r="N1888" s="26" t="n">
        <x:v>3215.4</x:v>
      </x:c>
      <x:c r="O1888" s="26" t="n">
        <x:v>88.28</x:v>
      </x:c>
      <x:c r="P1888" s="26" t="n">
        <x:v>21.47</x:v>
      </x:c>
      <x:c r="Q1888" s="26" t="n">
        <x:v>40.56</x:v>
      </x:c>
      <x:c r="R1888" s="26" t="n">
        <x:v>50.1</x:v>
      </x:c>
      <x:c r="S1888" s="26" t="n">
        <x:v>328.41</x:v>
      </x:c>
    </x:row>
    <x:row r="1889">
      <x:c r="A1889" t="n">
        <x:v>501886</x:v>
      </x:c>
      <x:c r="B1889" s="24" t="n">
        <x:v>45989</x:v>
      </x:c>
      <x:c r="C1889" t="n">
        <x:v>1021</x:v>
      </x:c>
      <x:c r="D1889" t="str">
        <x:v>Seller 1021</x:v>
      </x:c>
      <x:c r="E1889" t="str">
        <x:v>Gold</x:v>
      </x:c>
      <x:c r="F1889" t="str">
        <x:v>Central</x:v>
      </x:c>
      <x:c r="G1889" t="str">
        <x:v>Pet Supplies</x:v>
      </x:c>
      <x:c r="H1889" t="n">
        <x:v>3</x:v>
      </x:c>
      <x:c r="I1889" s="26" t="n">
        <x:v>1084.2</x:v>
      </x:c>
      <x:c r="J1889" s="26" t="n">
        <x:v>4609.2</x:v>
      </x:c>
      <x:c r="K1889" s="28" t="n">
        <x:v>0.1459</x:v>
      </x:c>
      <x:c r="L1889" s="26" t="n">
        <x:v>672.48</x:v>
      </x:c>
      <x:c r="M1889" t="n">
        <x:v>0</x:v>
      </x:c>
      <x:c r="N1889" s="26" t="n">
        <x:v>0</x:v>
      </x:c>
      <x:c r="O1889" s="26" t="n">
        <x:v>85.27</x:v>
      </x:c>
      <x:c r="P1889" s="26" t="n">
        <x:v>20.74</x:v>
      </x:c>
      <x:c r="Q1889" s="26" t="n">
        <x:v>39.18</x:v>
      </x:c>
      <x:c r="R1889" s="26" t="n">
        <x:v>48.4</x:v>
      </x:c>
      <x:c r="S1889" s="26" t="n">
        <x:v>478.9</x:v>
      </x:c>
    </x:row>
    <x:row r="1890">
      <x:c r="A1890" t="n">
        <x:v>501887</x:v>
      </x:c>
      <x:c r="B1890" s="24" t="n">
        <x:v>46016</x:v>
      </x:c>
      <x:c r="C1890" t="n">
        <x:v>1058</x:v>
      </x:c>
      <x:c r="D1890" t="str">
        <x:v>Seller 1058</x:v>
      </x:c>
      <x:c r="E1890" t="str">
        <x:v>Bronze</x:v>
      </x:c>
      <x:c r="F1890" t="str">
        <x:v>East</x:v>
      </x:c>
      <x:c r="G1890" t="str">
        <x:v>Beauty</x:v>
      </x:c>
      <x:c r="H1890" t="n">
        <x:v>2</x:v>
      </x:c>
      <x:c r="I1890" s="26" t="n">
        <x:v>1399.2</x:v>
      </x:c>
      <x:c r="J1890" s="26" t="n">
        <x:v>2138.4</x:v>
      </x:c>
      <x:c r="K1890" s="28" t="n">
        <x:v>0.1609</x:v>
      </x:c>
      <x:c r="L1890" s="26" t="n">
        <x:v>344.07</x:v>
      </x:c>
      <x:c r="M1890" t="n">
        <x:v>0</x:v>
      </x:c>
      <x:c r="N1890" s="26" t="n">
        <x:v>0</x:v>
      </x:c>
      <x:c r="O1890" s="26" t="n">
        <x:v>39.56</x:v>
      </x:c>
      <x:c r="P1890" s="26" t="n">
        <x:v>9.62</x:v>
      </x:c>
      <x:c r="Q1890" s="26" t="n">
        <x:v>18.18</x:v>
      </x:c>
      <x:c r="R1890" s="26" t="n">
        <x:v>22.45</x:v>
      </x:c>
      <x:c r="S1890" s="26" t="n">
        <x:v>254.26</x:v>
      </x:c>
    </x:row>
    <x:row r="1891">
      <x:c r="A1891" t="n">
        <x:v>501888</x:v>
      </x:c>
      <x:c r="B1891" s="24" t="n">
        <x:v>46005</x:v>
      </x:c>
      <x:c r="C1891" t="n">
        <x:v>1039</x:v>
      </x:c>
      <x:c r="D1891" t="str">
        <x:v>Seller 1039</x:v>
      </x:c>
      <x:c r="E1891" t="str">
        <x:v>Silver</x:v>
      </x:c>
      <x:c r="F1891" t="str">
        <x:v>East</x:v>
      </x:c>
      <x:c r="G1891" t="str">
        <x:v>Apparel</x:v>
      </x:c>
      <x:c r="H1891" t="n">
        <x:v>2</x:v>
      </x:c>
      <x:c r="I1891" s="26" t="n">
        <x:v>2011.2000000000003</x:v>
      </x:c>
      <x:c r="J1891" s="26" t="n">
        <x:v>4363.2</x:v>
      </x:c>
      <x:c r="K1891" s="28" t="n">
        <x:v>0.1356</x:v>
      </x:c>
      <x:c r="L1891" s="26" t="n">
        <x:v>591.65</x:v>
      </x:c>
      <x:c r="M1891" t="n">
        <x:v>1</x:v>
      </x:c>
      <x:c r="N1891" s="26" t="n">
        <x:v>3135.6</x:v>
      </x:c>
      <x:c r="O1891" s="26" t="n">
        <x:v>80.72</x:v>
      </x:c>
      <x:c r="P1891" s="26" t="n">
        <x:v>19.63</x:v>
      </x:c>
      <x:c r="Q1891" s="26" t="n">
        <x:v>37.09</x:v>
      </x:c>
      <x:c r="R1891" s="26" t="n">
        <x:v>45.81</x:v>
      </x:c>
      <x:c r="S1891" s="26" t="n">
        <x:v>345.68</x:v>
      </x:c>
    </x:row>
    <x:row r="1892">
      <x:c r="A1892" t="n">
        <x:v>501889</x:v>
      </x:c>
      <x:c r="B1892" s="24" t="n">
        <x:v>45991</x:v>
      </x:c>
      <x:c r="C1892" t="n">
        <x:v>1023</x:v>
      </x:c>
      <x:c r="D1892" t="str">
        <x:v>Seller 1023</x:v>
      </x:c>
      <x:c r="E1892" t="str">
        <x:v>Gold</x:v>
      </x:c>
      <x:c r="F1892" t="str">
        <x:v>Central</x:v>
      </x:c>
      <x:c r="G1892" t="str">
        <x:v>Home &amp; Kitchen</x:v>
      </x:c>
      <x:c r="H1892" t="n">
        <x:v>2</x:v>
      </x:c>
      <x:c r="I1892" s="26" t="n">
        <x:v>2342.4</x:v>
      </x:c>
      <x:c r="J1892" s="26" t="n">
        <x:v>6640.8</x:v>
      </x:c>
      <x:c r="K1892" s="28" t="n">
        <x:v>0.1473</x:v>
      </x:c>
      <x:c r="L1892" s="26" t="n">
        <x:v>978.19</x:v>
      </x:c>
      <x:c r="M1892" t="n">
        <x:v>0</x:v>
      </x:c>
      <x:c r="N1892" s="26" t="n">
        <x:v>0</x:v>
      </x:c>
      <x:c r="O1892" s="26" t="n">
        <x:v>122.85</x:v>
      </x:c>
      <x:c r="P1892" s="26" t="n">
        <x:v>29.88</x:v>
      </x:c>
      <x:c r="Q1892" s="26" t="n">
        <x:v>56.45</x:v>
      </x:c>
      <x:c r="R1892" s="26" t="n">
        <x:v>69.73</x:v>
      </x:c>
      <x:c r="S1892" s="26" t="n">
        <x:v>699.28</x:v>
      </x:c>
    </x:row>
    <x:row r="1893">
      <x:c r="A1893" t="n">
        <x:v>501890</x:v>
      </x:c>
      <x:c r="B1893" s="24" t="n">
        <x:v>46016</x:v>
      </x:c>
      <x:c r="C1893" t="n">
        <x:v>1056</x:v>
      </x:c>
      <x:c r="D1893" t="str">
        <x:v>Seller 1056</x:v>
      </x:c>
      <x:c r="E1893" t="str">
        <x:v>Bronze</x:v>
      </x:c>
      <x:c r="F1893" t="str">
        <x:v>West</x:v>
      </x:c>
      <x:c r="G1893" t="str">
        <x:v>Apparel</x:v>
      </x:c>
      <x:c r="H1893" t="n">
        <x:v>2</x:v>
      </x:c>
      <x:c r="I1893" s="26" t="n">
        <x:v>1696.8000000000002</x:v>
      </x:c>
      <x:c r="J1893" s="26" t="n">
        <x:v>2593.2</x:v>
      </x:c>
      <x:c r="K1893" s="28" t="n">
        <x:v>0.1265</x:v>
      </x:c>
      <x:c r="L1893" s="26" t="n">
        <x:v>328.04</x:v>
      </x:c>
      <x:c r="M1893" t="n">
        <x:v>0</x:v>
      </x:c>
      <x:c r="N1893" s="26" t="n">
        <x:v>0</x:v>
      </x:c>
      <x:c r="O1893" s="26" t="n">
        <x:v>47.97</x:v>
      </x:c>
      <x:c r="P1893" s="26" t="n">
        <x:v>11.67</x:v>
      </x:c>
      <x:c r="Q1893" s="26" t="n">
        <x:v>22.04</x:v>
      </x:c>
      <x:c r="R1893" s="26" t="n">
        <x:v>27.23</x:v>
      </x:c>
      <x:c r="S1893" s="26" t="n">
        <x:v>219.13</x:v>
      </x:c>
    </x:row>
    <x:row r="1894">
      <x:c r="A1894" t="n">
        <x:v>501891</x:v>
      </x:c>
      <x:c r="B1894" s="24" t="n">
        <x:v>46006</x:v>
      </x:c>
      <x:c r="C1894" t="n">
        <x:v>1076</x:v>
      </x:c>
      <x:c r="D1894" t="str">
        <x:v>Seller 1076</x:v>
      </x:c>
      <x:c r="E1894" t="str">
        <x:v>Bronze</x:v>
      </x:c>
      <x:c r="F1894" t="str">
        <x:v>Central</x:v>
      </x:c>
      <x:c r="G1894" t="str">
        <x:v>Sports</x:v>
      </x:c>
      <x:c r="H1894" t="n">
        <x:v>4</x:v>
      </x:c>
      <x:c r="I1894" s="26" t="n">
        <x:v>1065.6000000000001</x:v>
      </x:c>
      <x:c r="J1894" s="26" t="n">
        <x:v>3257.4</x:v>
      </x:c>
      <x:c r="K1894" s="28" t="n">
        <x:v>0.1258</x:v>
      </x:c>
      <x:c r="L1894" s="26" t="n">
        <x:v>409.78</x:v>
      </x:c>
      <x:c r="M1894" t="n">
        <x:v>0</x:v>
      </x:c>
      <x:c r="N1894" s="26" t="n">
        <x:v>0</x:v>
      </x:c>
      <x:c r="O1894" s="26" t="n">
        <x:v>60.26</x:v>
      </x:c>
      <x:c r="P1894" s="26" t="n">
        <x:v>14.66</x:v>
      </x:c>
      <x:c r="Q1894" s="26" t="n">
        <x:v>27.69</x:v>
      </x:c>
      <x:c r="R1894" s="26" t="n">
        <x:v>34.2</x:v>
      </x:c>
      <x:c r="S1894" s="26" t="n">
        <x:v>272.97</x:v>
      </x:c>
    </x:row>
    <x:row r="1895">
      <x:c r="A1895" t="n">
        <x:v>501892</x:v>
      </x:c>
      <x:c r="B1895" s="24" t="n">
        <x:v>46017</x:v>
      </x:c>
      <x:c r="C1895" t="n">
        <x:v>1028</x:v>
      </x:c>
      <x:c r="D1895" t="str">
        <x:v>Seller 1028</x:v>
      </x:c>
      <x:c r="E1895" t="str">
        <x:v>Gold</x:v>
      </x:c>
      <x:c r="F1895" t="str">
        <x:v>Central</x:v>
      </x:c>
      <x:c r="G1895" t="str">
        <x:v>Apparel</x:v>
      </x:c>
      <x:c r="H1895" t="n">
        <x:v>3</x:v>
      </x:c>
      <x:c r="I1895" s="26" t="n">
        <x:v>1796.4</x:v>
      </x:c>
      <x:c r="J1895" s="26" t="n">
        <x:v>7638</x:v>
      </x:c>
      <x:c r="K1895" s="28" t="n">
        <x:v>0.1247</x:v>
      </x:c>
      <x:c r="L1895" s="26" t="n">
        <x:v>952.46</x:v>
      </x:c>
      <x:c r="M1895" t="n">
        <x:v>0</x:v>
      </x:c>
      <x:c r="N1895" s="26" t="n">
        <x:v>0</x:v>
      </x:c>
      <x:c r="O1895" s="26" t="n">
        <x:v>141.3</x:v>
      </x:c>
      <x:c r="P1895" s="26" t="n">
        <x:v>34.37</x:v>
      </x:c>
      <x:c r="Q1895" s="26" t="n">
        <x:v>64.92</x:v>
      </x:c>
      <x:c r="R1895" s="26" t="n">
        <x:v>80.2</x:v>
      </x:c>
      <x:c r="S1895" s="26" t="n">
        <x:v>631.66</x:v>
      </x:c>
    </x:row>
    <x:row r="1896">
      <x:c r="A1896" t="n">
        <x:v>501893</x:v>
      </x:c>
      <x:c r="B1896" s="24" t="n">
        <x:v>46013</x:v>
      </x:c>
      <x:c r="C1896" t="n">
        <x:v>1003</x:v>
      </x:c>
      <x:c r="D1896" t="str">
        <x:v>Seller 1003</x:v>
      </x:c>
      <x:c r="E1896" t="str">
        <x:v>Platinum</x:v>
      </x:c>
      <x:c r="F1896" t="str">
        <x:v>East</x:v>
      </x:c>
      <x:c r="G1896" t="str">
        <x:v>Pet Supplies</x:v>
      </x:c>
      <x:c r="H1896" t="n">
        <x:v>2</x:v>
      </x:c>
      <x:c r="I1896" s="26" t="n">
        <x:v>1972.1999999999998</x:v>
      </x:c>
      <x:c r="J1896" s="26" t="n">
        <x:v>7535.4</x:v>
      </x:c>
      <x:c r="K1896" s="28" t="n">
        <x:v>0.1372</x:v>
      </x:c>
      <x:c r="L1896" s="26" t="n">
        <x:v>1033.86</x:v>
      </x:c>
      <x:c r="M1896" t="n">
        <x:v>0</x:v>
      </x:c>
      <x:c r="N1896" s="26" t="n">
        <x:v>0</x:v>
      </x:c>
      <x:c r="O1896" s="26" t="n">
        <x:v>139.4</x:v>
      </x:c>
      <x:c r="P1896" s="26" t="n">
        <x:v>33.91</x:v>
      </x:c>
      <x:c r="Q1896" s="26" t="n">
        <x:v>64.05</x:v>
      </x:c>
      <x:c r="R1896" s="26" t="n">
        <x:v>79.12</x:v>
      </x:c>
      <x:c r="S1896" s="26" t="n">
        <x:v>717.37</x:v>
      </x:c>
    </x:row>
    <x:row r="1897">
      <x:c r="A1897" t="n">
        <x:v>501894</x:v>
      </x:c>
      <x:c r="B1897" s="24" t="n">
        <x:v>46008</x:v>
      </x:c>
      <x:c r="C1897" t="n">
        <x:v>1017</x:v>
      </x:c>
      <x:c r="D1897" t="str">
        <x:v>Seller 1017</x:v>
      </x:c>
      <x:c r="E1897" t="str">
        <x:v>Gold</x:v>
      </x:c>
      <x:c r="F1897" t="str">
        <x:v>East</x:v>
      </x:c>
      <x:c r="G1897" t="str">
        <x:v>Home &amp; Kitchen</x:v>
      </x:c>
      <x:c r="H1897" t="n">
        <x:v>2</x:v>
      </x:c>
      <x:c r="I1897" s="26" t="n">
        <x:v>1975.8</x:v>
      </x:c>
      <x:c r="J1897" s="26" t="n">
        <x:v>5600.4</x:v>
      </x:c>
      <x:c r="K1897" s="28" t="n">
        <x:v>0.1496</x:v>
      </x:c>
      <x:c r="L1897" s="26" t="n">
        <x:v>837.82</x:v>
      </x:c>
      <x:c r="M1897" t="n">
        <x:v>0</x:v>
      </x:c>
      <x:c r="N1897" s="26" t="n">
        <x:v>0</x:v>
      </x:c>
      <x:c r="O1897" s="26" t="n">
        <x:v>103.61</x:v>
      </x:c>
      <x:c r="P1897" s="26" t="n">
        <x:v>25.2</x:v>
      </x:c>
      <x:c r="Q1897" s="26" t="n">
        <x:v>47.6</x:v>
      </x:c>
      <x:c r="R1897" s="26" t="n">
        <x:v>58.8</x:v>
      </x:c>
      <x:c r="S1897" s="26" t="n">
        <x:v>602.6</x:v>
      </x:c>
    </x:row>
    <x:row r="1898">
      <x:c r="A1898" t="n">
        <x:v>501895</x:v>
      </x:c>
      <x:c r="B1898" s="24" t="n">
        <x:v>45995</x:v>
      </x:c>
      <x:c r="C1898" t="n">
        <x:v>1075</x:v>
      </x:c>
      <x:c r="D1898" t="str">
        <x:v>Seller 1075</x:v>
      </x:c>
      <x:c r="E1898" t="str">
        <x:v>Bronze</x:v>
      </x:c>
      <x:c r="F1898" t="str">
        <x:v>East</x:v>
      </x:c>
      <x:c r="G1898" t="str">
        <x:v>Electronics</x:v>
      </x:c>
      <x:c r="H1898" t="n">
        <x:v>2</x:v>
      </x:c>
      <x:c r="I1898" s="26" t="n">
        <x:v>4140.6</x:v>
      </x:c>
      <x:c r="J1898" s="26" t="n">
        <x:v>6328.2</x:v>
      </x:c>
      <x:c r="K1898" s="28" t="n">
        <x:v>0.1233</x:v>
      </x:c>
      <x:c r="L1898" s="26" t="n">
        <x:v>780.27</x:v>
      </x:c>
      <x:c r="M1898" t="n">
        <x:v>0</x:v>
      </x:c>
      <x:c r="N1898" s="26" t="n">
        <x:v>0</x:v>
      </x:c>
      <x:c r="O1898" s="26" t="n">
        <x:v>117.07</x:v>
      </x:c>
      <x:c r="P1898" s="26" t="n">
        <x:v>28.48</x:v>
      </x:c>
      <x:c r="Q1898" s="26" t="n">
        <x:v>53.79</x:v>
      </x:c>
      <x:c r="R1898" s="26" t="n">
        <x:v>66.45</x:v>
      </x:c>
      <x:c r="S1898" s="26" t="n">
        <x:v>514.48</x:v>
      </x:c>
    </x:row>
    <x:row r="1899">
      <x:c r="A1899" t="n">
        <x:v>501896</x:v>
      </x:c>
      <x:c r="B1899" s="24" t="n">
        <x:v>46005</x:v>
      </x:c>
      <x:c r="C1899" t="n">
        <x:v>1007</x:v>
      </x:c>
      <x:c r="D1899" t="str">
        <x:v>Seller 1007</x:v>
      </x:c>
      <x:c r="E1899" t="str">
        <x:v>Platinum</x:v>
      </x:c>
      <x:c r="F1899" t="str">
        <x:v>South</x:v>
      </x:c>
      <x:c r="G1899" t="str">
        <x:v>Home &amp; Kitchen</x:v>
      </x:c>
      <x:c r="H1899" t="n">
        <x:v>1</x:v>
      </x:c>
      <x:c r="I1899" s="26" t="n">
        <x:v>4411.2</x:v>
      </x:c>
      <x:c r="J1899" s="26" t="n">
        <x:v>8427.6</x:v>
      </x:c>
      <x:c r="K1899" s="28" t="n">
        <x:v>0.1348</x:v>
      </x:c>
      <x:c r="L1899" s="26" t="n">
        <x:v>1136.04</x:v>
      </x:c>
      <x:c r="M1899" t="n">
        <x:v>0</x:v>
      </x:c>
      <x:c r="N1899" s="26" t="n">
        <x:v>0</x:v>
      </x:c>
      <x:c r="O1899" s="26" t="n">
        <x:v>155.91</x:v>
      </x:c>
      <x:c r="P1899" s="26" t="n">
        <x:v>37.92</x:v>
      </x:c>
      <x:c r="Q1899" s="26" t="n">
        <x:v>71.63</x:v>
      </x:c>
      <x:c r="R1899" s="26" t="n">
        <x:v>88.49</x:v>
      </x:c>
      <x:c r="S1899" s="26" t="n">
        <x:v>782.08</x:v>
      </x:c>
    </x:row>
    <x:row r="1900">
      <x:c r="A1900" t="n">
        <x:v>501897</x:v>
      </x:c>
      <x:c r="B1900" s="24" t="n">
        <x:v>45994</x:v>
      </x:c>
      <x:c r="C1900" t="n">
        <x:v>1012</x:v>
      </x:c>
      <x:c r="D1900" t="str">
        <x:v>Seller 1012</x:v>
      </x:c>
      <x:c r="E1900" t="str">
        <x:v>Platinum</x:v>
      </x:c>
      <x:c r="F1900" t="str">
        <x:v>East</x:v>
      </x:c>
      <x:c r="G1900" t="str">
        <x:v>Beauty</x:v>
      </x:c>
      <x:c r="H1900" t="n">
        <x:v>2</x:v>
      </x:c>
      <x:c r="I1900" s="26" t="n">
        <x:v>1419.6</x:v>
      </x:c>
      <x:c r="J1900" s="26" t="n">
        <x:v>5423.4</x:v>
      </x:c>
      <x:c r="K1900" s="28" t="n">
        <x:v>0.1433</x:v>
      </x:c>
      <x:c r="L1900" s="26" t="n">
        <x:v>777.17</x:v>
      </x:c>
      <x:c r="M1900" t="n">
        <x:v>0</x:v>
      </x:c>
      <x:c r="N1900" s="26" t="n">
        <x:v>0</x:v>
      </x:c>
      <x:c r="O1900" s="26" t="n">
        <x:v>100.33</x:v>
      </x:c>
      <x:c r="P1900" s="26" t="n">
        <x:v>24.41</x:v>
      </x:c>
      <x:c r="Q1900" s="26" t="n">
        <x:v>46.1</x:v>
      </x:c>
      <x:c r="R1900" s="26" t="n">
        <x:v>56.95</x:v>
      </x:c>
      <x:c r="S1900" s="26" t="n">
        <x:v>549.39</x:v>
      </x:c>
    </x:row>
    <x:row r="1901">
      <x:c r="A1901" t="n">
        <x:v>501898</x:v>
      </x:c>
      <x:c r="B1901" s="24" t="n">
        <x:v>46008</x:v>
      </x:c>
      <x:c r="C1901" t="n">
        <x:v>1018</x:v>
      </x:c>
      <x:c r="D1901" t="str">
        <x:v>Seller 1018</x:v>
      </x:c>
      <x:c r="E1901" t="str">
        <x:v>Gold</x:v>
      </x:c>
      <x:c r="F1901" t="str">
        <x:v>West</x:v>
      </x:c>
      <x:c r="G1901" t="str">
        <x:v>Home &amp; Kitchen</x:v>
      </x:c>
      <x:c r="H1901" t="n">
        <x:v>2</x:v>
      </x:c>
      <x:c r="I1901" s="26" t="n">
        <x:v>2298.6000000000004</x:v>
      </x:c>
      <x:c r="J1901" s="26" t="n">
        <x:v>6516</x:v>
      </x:c>
      <x:c r="K1901" s="28" t="n">
        <x:v>0.1325</x:v>
      </x:c>
      <x:c r="L1901" s="26" t="n">
        <x:v>863.37</x:v>
      </x:c>
      <x:c r="M1901" t="n">
        <x:v>0</x:v>
      </x:c>
      <x:c r="N1901" s="26" t="n">
        <x:v>0</x:v>
      </x:c>
      <x:c r="O1901" s="26" t="n">
        <x:v>120.55</x:v>
      </x:c>
      <x:c r="P1901" s="26" t="n">
        <x:v>29.32</x:v>
      </x:c>
      <x:c r="Q1901" s="26" t="n">
        <x:v>55.39</x:v>
      </x:c>
      <x:c r="R1901" s="26" t="n">
        <x:v>68.42</x:v>
      </x:c>
      <x:c r="S1901" s="26" t="n">
        <x:v>589.7</x:v>
      </x:c>
    </x:row>
    <x:row r="1902">
      <x:c r="A1902" t="n">
        <x:v>501899</x:v>
      </x:c>
      <x:c r="B1902" s="24" t="n">
        <x:v>45989</x:v>
      </x:c>
      <x:c r="C1902" t="n">
        <x:v>1070</x:v>
      </x:c>
      <x:c r="D1902" t="str">
        <x:v>Seller 1070</x:v>
      </x:c>
      <x:c r="E1902" t="str">
        <x:v>Bronze</x:v>
      </x:c>
      <x:c r="F1902" t="str">
        <x:v>West</x:v>
      </x:c>
      <x:c r="G1902" t="str">
        <x:v>Electronics</x:v>
      </x:c>
      <x:c r="H1902" t="n">
        <x:v>2</x:v>
      </x:c>
      <x:c r="I1902" s="26" t="n">
        <x:v>3577.8</x:v>
      </x:c>
      <x:c r="J1902" s="26" t="n">
        <x:v>5468.4</x:v>
      </x:c>
      <x:c r="K1902" s="28" t="n">
        <x:v>0.1354</x:v>
      </x:c>
      <x:c r="L1902" s="26" t="n">
        <x:v>740.42</x:v>
      </x:c>
      <x:c r="M1902" t="n">
        <x:v>0</x:v>
      </x:c>
      <x:c r="N1902" s="26" t="n">
        <x:v>0</x:v>
      </x:c>
      <x:c r="O1902" s="26" t="n">
        <x:v>101.17</x:v>
      </x:c>
      <x:c r="P1902" s="26" t="n">
        <x:v>24.61</x:v>
      </x:c>
      <x:c r="Q1902" s="26" t="n">
        <x:v>46.48</x:v>
      </x:c>
      <x:c r="R1902" s="26" t="n">
        <x:v>57.42</x:v>
      </x:c>
      <x:c r="S1902" s="26" t="n">
        <x:v>510.75</x:v>
      </x:c>
    </x:row>
    <x:row r="1903">
      <x:c r="A1903" t="n">
        <x:v>501900</x:v>
      </x:c>
      <x:c r="B1903" s="24" t="n">
        <x:v>46011</x:v>
      </x:c>
      <x:c r="C1903" t="n">
        <x:v>1002</x:v>
      </x:c>
      <x:c r="D1903" t="str">
        <x:v>Seller 1002</x:v>
      </x:c>
      <x:c r="E1903" t="str">
        <x:v>Platinum</x:v>
      </x:c>
      <x:c r="F1903" t="str">
        <x:v>Central</x:v>
      </x:c>
      <x:c r="G1903" t="str">
        <x:v>Pet Supplies</x:v>
      </x:c>
      <x:c r="H1903" t="n">
        <x:v>1</x:v>
      </x:c>
      <x:c r="I1903" s="26" t="n">
        <x:v>2656.2000000000003</x:v>
      </x:c>
      <x:c r="J1903" s="26" t="n">
        <x:v>5074.8</x:v>
      </x:c>
      <x:c r="K1903" s="28" t="n">
        <x:v>0.1434</x:v>
      </x:c>
      <x:c r="L1903" s="26" t="n">
        <x:v>727.73</x:v>
      </x:c>
      <x:c r="M1903" t="n">
        <x:v>0</x:v>
      </x:c>
      <x:c r="N1903" s="26" t="n">
        <x:v>0</x:v>
      </x:c>
      <x:c r="O1903" s="26" t="n">
        <x:v>93.88</x:v>
      </x:c>
      <x:c r="P1903" s="26" t="n">
        <x:v>22.84</x:v>
      </x:c>
      <x:c r="Q1903" s="26" t="n">
        <x:v>43.14</x:v>
      </x:c>
      <x:c r="R1903" s="26" t="n">
        <x:v>53.29</x:v>
      </x:c>
      <x:c r="S1903" s="26" t="n">
        <x:v>514.58</x:v>
      </x:c>
    </x:row>
    <x:row r="1904">
      <x:c r="A1904" t="n">
        <x:v>501901</x:v>
      </x:c>
      <x:c r="B1904" s="24" t="n">
        <x:v>46008</x:v>
      </x:c>
      <x:c r="C1904" t="n">
        <x:v>1075</x:v>
      </x:c>
      <x:c r="D1904" t="str">
        <x:v>Seller 1075</x:v>
      </x:c>
      <x:c r="E1904" t="str">
        <x:v>Bronze</x:v>
      </x:c>
      <x:c r="F1904" t="str">
        <x:v>East</x:v>
      </x:c>
      <x:c r="G1904" t="str">
        <x:v>Electronics</x:v>
      </x:c>
      <x:c r="H1904" t="n">
        <x:v>2</x:v>
      </x:c>
      <x:c r="I1904" s="26" t="n">
        <x:v>3613.2</x:v>
      </x:c>
      <x:c r="J1904" s="26" t="n">
        <x:v>5521.8</x:v>
      </x:c>
      <x:c r="K1904" s="28" t="n">
        <x:v>0.1383</x:v>
      </x:c>
      <x:c r="L1904" s="26" t="n">
        <x:v>763.66</x:v>
      </x:c>
      <x:c r="M1904" t="n">
        <x:v>0</x:v>
      </x:c>
      <x:c r="N1904" s="26" t="n">
        <x:v>0</x:v>
      </x:c>
      <x:c r="O1904" s="26" t="n">
        <x:v>102.15</x:v>
      </x:c>
      <x:c r="P1904" s="26" t="n">
        <x:v>24.85</x:v>
      </x:c>
      <x:c r="Q1904" s="26" t="n">
        <x:v>46.94</x:v>
      </x:c>
      <x:c r="R1904" s="26" t="n">
        <x:v>57.98</x:v>
      </x:c>
      <x:c r="S1904" s="26" t="n">
        <x:v>531.75</x:v>
      </x:c>
    </x:row>
    <x:row r="1905">
      <x:c r="A1905" t="n">
        <x:v>501902</x:v>
      </x:c>
      <x:c r="B1905" s="24" t="n">
        <x:v>46000</x:v>
      </x:c>
      <x:c r="C1905" t="n">
        <x:v>1048</x:v>
      </x:c>
      <x:c r="D1905" t="str">
        <x:v>Seller 1048</x:v>
      </x:c>
      <x:c r="E1905" t="str">
        <x:v>Silver</x:v>
      </x:c>
      <x:c r="F1905" t="str">
        <x:v>East</x:v>
      </x:c>
      <x:c r="G1905" t="str">
        <x:v>Electronics</x:v>
      </x:c>
      <x:c r="H1905" t="n">
        <x:v>1</x:v>
      </x:c>
      <x:c r="I1905" s="26" t="n">
        <x:v>7358.4</x:v>
      </x:c>
      <x:c r="J1905" s="26" t="n">
        <x:v>7981.2</x:v>
      </x:c>
      <x:c r="K1905" s="28" t="n">
        <x:v>0.1196</x:v>
      </x:c>
      <x:c r="L1905" s="26" t="n">
        <x:v>954.55</x:v>
      </x:c>
      <x:c r="M1905" t="n">
        <x:v>0</x:v>
      </x:c>
      <x:c r="N1905" s="26" t="n">
        <x:v>0</x:v>
      </x:c>
      <x:c r="O1905" s="26" t="n">
        <x:v>147.65</x:v>
      </x:c>
      <x:c r="P1905" s="26" t="n">
        <x:v>35.92</x:v>
      </x:c>
      <x:c r="Q1905" s="26" t="n">
        <x:v>67.84</x:v>
      </x:c>
      <x:c r="R1905" s="26" t="n">
        <x:v>83.8</x:v>
      </x:c>
      <x:c r="S1905" s="26" t="n">
        <x:v>619.34</x:v>
      </x:c>
    </x:row>
    <x:row r="1906">
      <x:c r="A1906" t="n">
        <x:v>501903</x:v>
      </x:c>
      <x:c r="B1906" s="24" t="n">
        <x:v>46007</x:v>
      </x:c>
      <x:c r="C1906" t="n">
        <x:v>1015</x:v>
      </x:c>
      <x:c r="D1906" t="str">
        <x:v>Seller 1015</x:v>
      </x:c>
      <x:c r="E1906" t="str">
        <x:v>Gold</x:v>
      </x:c>
      <x:c r="F1906" t="str">
        <x:v>West</x:v>
      </x:c>
      <x:c r="G1906" t="str">
        <x:v>Sports</x:v>
      </x:c>
      <x:c r="H1906" t="n">
        <x:v>1</x:v>
      </x:c>
      <x:c r="I1906" s="26" t="n">
        <x:v>4077</x:v>
      </x:c>
      <x:c r="J1906" s="26" t="n">
        <x:v>5778.6</x:v>
      </x:c>
      <x:c r="K1906" s="28" t="n">
        <x:v>0.1283</x:v>
      </x:c>
      <x:c r="L1906" s="26" t="n">
        <x:v>741.39</x:v>
      </x:c>
      <x:c r="M1906" t="n">
        <x:v>0</x:v>
      </x:c>
      <x:c r="N1906" s="26" t="n">
        <x:v>0</x:v>
      </x:c>
      <x:c r="O1906" s="26" t="n">
        <x:v>106.9</x:v>
      </x:c>
      <x:c r="P1906" s="26" t="n">
        <x:v>26</x:v>
      </x:c>
      <x:c r="Q1906" s="26" t="n">
        <x:v>49.12</x:v>
      </x:c>
      <x:c r="R1906" s="26" t="n">
        <x:v>60.68</x:v>
      </x:c>
      <x:c r="S1906" s="26" t="n">
        <x:v>498.69</x:v>
      </x:c>
    </x:row>
    <x:row r="1907">
      <x:c r="A1907" t="n">
        <x:v>501904</x:v>
      </x:c>
      <x:c r="B1907" s="24" t="n">
        <x:v>45997</x:v>
      </x:c>
      <x:c r="C1907" t="n">
        <x:v>1074</x:v>
      </x:c>
      <x:c r="D1907" t="str">
        <x:v>Seller 1074</x:v>
      </x:c>
      <x:c r="E1907" t="str">
        <x:v>Bronze</x:v>
      </x:c>
      <x:c r="F1907" t="str">
        <x:v>East</x:v>
      </x:c>
      <x:c r="G1907" t="str">
        <x:v>Electronics</x:v>
      </x:c>
      <x:c r="H1907" t="n">
        <x:v>2</x:v>
      </x:c>
      <x:c r="I1907" s="26" t="n">
        <x:v>5173.2</x:v>
      </x:c>
      <x:c r="J1907" s="26" t="n">
        <x:v>7906.2</x:v>
      </x:c>
      <x:c r="K1907" s="28" t="n">
        <x:v>0.1374</x:v>
      </x:c>
      <x:c r="L1907" s="26" t="n">
        <x:v>1086.31</x:v>
      </x:c>
      <x:c r="M1907" t="n">
        <x:v>0</x:v>
      </x:c>
      <x:c r="N1907" s="26" t="n">
        <x:v>0</x:v>
      </x:c>
      <x:c r="O1907" s="26" t="n">
        <x:v>146.26</x:v>
      </x:c>
      <x:c r="P1907" s="26" t="n">
        <x:v>35.58</x:v>
      </x:c>
      <x:c r="Q1907" s="26" t="n">
        <x:v>67.2</x:v>
      </x:c>
      <x:c r="R1907" s="26" t="n">
        <x:v>83.02</x:v>
      </x:c>
      <x:c r="S1907" s="26" t="n">
        <x:v>754.25</x:v>
      </x:c>
    </x:row>
    <x:row r="1908">
      <x:c r="A1908" t="n">
        <x:v>501905</x:v>
      </x:c>
      <x:c r="B1908" s="24" t="n">
        <x:v>45988</x:v>
      </x:c>
      <x:c r="C1908" t="n">
        <x:v>1065</x:v>
      </x:c>
      <x:c r="D1908" t="str">
        <x:v>Seller 1065</x:v>
      </x:c>
      <x:c r="E1908" t="str">
        <x:v>Bronze</x:v>
      </x:c>
      <x:c r="F1908" t="str">
        <x:v>South</x:v>
      </x:c>
      <x:c r="G1908" t="str">
        <x:v>Home &amp; Kitchen</x:v>
      </x:c>
      <x:c r="H1908" t="n">
        <x:v>3</x:v>
      </x:c>
      <x:c r="I1908" s="26" t="n">
        <x:v>1741.2</x:v>
      </x:c>
      <x:c r="J1908" s="26" t="n">
        <x:v>3992.4</x:v>
      </x:c>
      <x:c r="K1908" s="28" t="n">
        <x:v>0.13</x:v>
      </x:c>
      <x:c r="L1908" s="26" t="n">
        <x:v>519.01</x:v>
      </x:c>
      <x:c r="M1908" t="n">
        <x:v>1</x:v>
      </x:c>
      <x:c r="N1908" s="26" t="n">
        <x:v>3272.4</x:v>
      </x:c>
      <x:c r="O1908" s="26" t="n">
        <x:v>73.86</x:v>
      </x:c>
      <x:c r="P1908" s="26" t="n">
        <x:v>17.97</x:v>
      </x:c>
      <x:c r="Q1908" s="26" t="n">
        <x:v>33.94</x:v>
      </x:c>
      <x:c r="R1908" s="26" t="n">
        <x:v>41.92</x:v>
      </x:c>
      <x:c r="S1908" s="26" t="n">
        <x:v>285.88</x:v>
      </x:c>
    </x:row>
    <x:row r="1909">
      <x:c r="A1909" t="n">
        <x:v>501906</x:v>
      </x:c>
      <x:c r="B1909" s="24" t="n">
        <x:v>46000</x:v>
      </x:c>
      <x:c r="C1909" t="n">
        <x:v>1034</x:v>
      </x:c>
      <x:c r="D1909" t="str">
        <x:v>Seller 1034</x:v>
      </x:c>
      <x:c r="E1909" t="str">
        <x:v>Silver</x:v>
      </x:c>
      <x:c r="F1909" t="str">
        <x:v>Central</x:v>
      </x:c>
      <x:c r="G1909" t="str">
        <x:v>Apparel</x:v>
      </x:c>
      <x:c r="H1909" t="n">
        <x:v>2</x:v>
      </x:c>
      <x:c r="I1909" s="26" t="n">
        <x:v>2151.6</x:v>
      </x:c>
      <x:c r="J1909" s="26" t="n">
        <x:v>4668</x:v>
      </x:c>
      <x:c r="K1909" s="28" t="n">
        <x:v>0.1227</x:v>
      </x:c>
      <x:c r="L1909" s="26" t="n">
        <x:v>572.76</x:v>
      </x:c>
      <x:c r="M1909" t="n">
        <x:v>0</x:v>
      </x:c>
      <x:c r="N1909" s="26" t="n">
        <x:v>0</x:v>
      </x:c>
      <x:c r="O1909" s="26" t="n">
        <x:v>86.36</x:v>
      </x:c>
      <x:c r="P1909" s="26" t="n">
        <x:v>21.01</x:v>
      </x:c>
      <x:c r="Q1909" s="26" t="n">
        <x:v>39.68</x:v>
      </x:c>
      <x:c r="R1909" s="26" t="n">
        <x:v>49.01</x:v>
      </x:c>
      <x:c r="S1909" s="26" t="n">
        <x:v>376.71</x:v>
      </x:c>
    </x:row>
    <x:row r="1910">
      <x:c r="A1910" t="n">
        <x:v>501907</x:v>
      </x:c>
      <x:c r="B1910" s="24" t="n">
        <x:v>46009</x:v>
      </x:c>
      <x:c r="C1910" t="n">
        <x:v>1049</x:v>
      </x:c>
      <x:c r="D1910" t="str">
        <x:v>Seller 1049</x:v>
      </x:c>
      <x:c r="E1910" t="str">
        <x:v>Silver</x:v>
      </x:c>
      <x:c r="F1910" t="str">
        <x:v>West</x:v>
      </x:c>
      <x:c r="G1910" t="str">
        <x:v>Home &amp; Kitchen</x:v>
      </x:c>
      <x:c r="H1910" t="n">
        <x:v>2</x:v>
      </x:c>
      <x:c r="I1910" s="26" t="n">
        <x:v>2683.2</x:v>
      </x:c>
      <x:c r="J1910" s="26" t="n">
        <x:v>5820</x:v>
      </x:c>
      <x:c r="K1910" s="28" t="n">
        <x:v>0.1355</x:v>
      </x:c>
      <x:c r="L1910" s="26" t="n">
        <x:v>788.61</x:v>
      </x:c>
      <x:c r="M1910" t="n">
        <x:v>0</x:v>
      </x:c>
      <x:c r="N1910" s="26" t="n">
        <x:v>0</x:v>
      </x:c>
      <x:c r="O1910" s="26" t="n">
        <x:v>107.67</x:v>
      </x:c>
      <x:c r="P1910" s="26" t="n">
        <x:v>26.19</x:v>
      </x:c>
      <x:c r="Q1910" s="26" t="n">
        <x:v>49.47</x:v>
      </x:c>
      <x:c r="R1910" s="26" t="n">
        <x:v>61.11</x:v>
      </x:c>
      <x:c r="S1910" s="26" t="n">
        <x:v>544.17</x:v>
      </x:c>
    </x:row>
    <x:row r="1911">
      <x:c r="A1911" t="n">
        <x:v>501908</x:v>
      </x:c>
      <x:c r="B1911" s="24" t="n">
        <x:v>46008</x:v>
      </x:c>
      <x:c r="C1911" t="n">
        <x:v>1007</x:v>
      </x:c>
      <x:c r="D1911" t="str">
        <x:v>Seller 1007</x:v>
      </x:c>
      <x:c r="E1911" t="str">
        <x:v>Platinum</x:v>
      </x:c>
      <x:c r="F1911" t="str">
        <x:v>South</x:v>
      </x:c>
      <x:c r="G1911" t="str">
        <x:v>Home &amp; Kitchen</x:v>
      </x:c>
      <x:c r="H1911" t="n">
        <x:v>3</x:v>
      </x:c>
      <x:c r="I1911" s="26" t="n">
        <x:v>1018.1999999999999</x:v>
      </x:c>
      <x:c r="J1911" s="26" t="n">
        <x:v>5836.8</x:v>
      </x:c>
      <x:c r="K1911" s="28" t="n">
        <x:v>0.138</x:v>
      </x:c>
      <x:c r="L1911" s="26" t="n">
        <x:v>805.48</x:v>
      </x:c>
      <x:c r="M1911" t="n">
        <x:v>0</x:v>
      </x:c>
      <x:c r="N1911" s="26" t="n">
        <x:v>0</x:v>
      </x:c>
      <x:c r="O1911" s="26" t="n">
        <x:v>107.98</x:v>
      </x:c>
      <x:c r="P1911" s="26" t="n">
        <x:v>26.27</x:v>
      </x:c>
      <x:c r="Q1911" s="26" t="n">
        <x:v>49.61</x:v>
      </x:c>
      <x:c r="R1911" s="26" t="n">
        <x:v>61.29</x:v>
      </x:c>
      <x:c r="S1911" s="26" t="n">
        <x:v>560.33</x:v>
      </x:c>
    </x:row>
    <x:row r="1912">
      <x:c r="A1912" t="n">
        <x:v>501909</x:v>
      </x:c>
      <x:c r="B1912" s="24" t="n">
        <x:v>46013</x:v>
      </x:c>
      <x:c r="C1912" t="n">
        <x:v>1061</x:v>
      </x:c>
      <x:c r="D1912" t="str">
        <x:v>Seller 1061</x:v>
      </x:c>
      <x:c r="E1912" t="str">
        <x:v>Bronze</x:v>
      </x:c>
      <x:c r="F1912" t="str">
        <x:v>Central</x:v>
      </x:c>
      <x:c r="G1912" t="str">
        <x:v>Electronics</x:v>
      </x:c>
      <x:c r="H1912" t="n">
        <x:v>2</x:v>
      </x:c>
      <x:c r="I1912" s="26" t="n">
        <x:v>5040.6</x:v>
      </x:c>
      <x:c r="J1912" s="26" t="n">
        <x:v>7703.4</x:v>
      </x:c>
      <x:c r="K1912" s="28" t="n">
        <x:v>0.1395</x:v>
      </x:c>
      <x:c r="L1912" s="26" t="n">
        <x:v>1074.62</x:v>
      </x:c>
      <x:c r="M1912" t="n">
        <x:v>0</x:v>
      </x:c>
      <x:c r="N1912" s="26" t="n">
        <x:v>0</x:v>
      </x:c>
      <x:c r="O1912" s="26" t="n">
        <x:v>142.51</x:v>
      </x:c>
      <x:c r="P1912" s="26" t="n">
        <x:v>34.67</x:v>
      </x:c>
      <x:c r="Q1912" s="26" t="n">
        <x:v>65.48</x:v>
      </x:c>
      <x:c r="R1912" s="26" t="n">
        <x:v>80.89</x:v>
      </x:c>
      <x:c r="S1912" s="26" t="n">
        <x:v>751.08</x:v>
      </x:c>
    </x:row>
    <x:row r="1913">
      <x:c r="A1913" t="n">
        <x:v>501910</x:v>
      </x:c>
      <x:c r="B1913" s="24" t="n">
        <x:v>46013</x:v>
      </x:c>
      <x:c r="C1913" t="n">
        <x:v>1003</x:v>
      </x:c>
      <x:c r="D1913" t="str">
        <x:v>Seller 1003</x:v>
      </x:c>
      <x:c r="E1913" t="str">
        <x:v>Platinum</x:v>
      </x:c>
      <x:c r="F1913" t="str">
        <x:v>East</x:v>
      </x:c>
      <x:c r="G1913" t="str">
        <x:v>Pet Supplies</x:v>
      </x:c>
      <x:c r="H1913" t="n">
        <x:v>4</x:v>
      </x:c>
      <x:c r="I1913" s="26" t="n">
        <x:v>637.1999999999999</x:v>
      </x:c>
      <x:c r="J1913" s="26" t="n">
        <x:v>4869.6</x:v>
      </x:c>
      <x:c r="K1913" s="28" t="n">
        <x:v>0.1386</x:v>
      </x:c>
      <x:c r="L1913" s="26" t="n">
        <x:v>674.93</x:v>
      </x:c>
      <x:c r="M1913" t="n">
        <x:v>0</x:v>
      </x:c>
      <x:c r="N1913" s="26" t="n">
        <x:v>0</x:v>
      </x:c>
      <x:c r="O1913" s="26" t="n">
        <x:v>90.09</x:v>
      </x:c>
      <x:c r="P1913" s="26" t="n">
        <x:v>21.91</x:v>
      </x:c>
      <x:c r="Q1913" s="26" t="n">
        <x:v>41.39</x:v>
      </x:c>
      <x:c r="R1913" s="26" t="n">
        <x:v>51.13</x:v>
      </x:c>
      <x:c r="S1913" s="26" t="n">
        <x:v>470.4</x:v>
      </x:c>
    </x:row>
    <x:row r="1914">
      <x:c r="A1914" t="n">
        <x:v>501911</x:v>
      </x:c>
      <x:c r="B1914" s="24" t="n">
        <x:v>45996</x:v>
      </x:c>
      <x:c r="C1914" t="n">
        <x:v>1007</x:v>
      </x:c>
      <x:c r="D1914" t="str">
        <x:v>Seller 1007</x:v>
      </x:c>
      <x:c r="E1914" t="str">
        <x:v>Platinum</x:v>
      </x:c>
      <x:c r="F1914" t="str">
        <x:v>South</x:v>
      </x:c>
      <x:c r="G1914" t="str">
        <x:v>Apparel</x:v>
      </x:c>
      <x:c r="H1914" t="n">
        <x:v>2</x:v>
      </x:c>
      <x:c r="I1914" s="26" t="n">
        <x:v>2296.8</x:v>
      </x:c>
      <x:c r="J1914" s="26" t="n">
        <x:v>8775.6</x:v>
      </x:c>
      <x:c r="K1914" s="28" t="n">
        <x:v>0.1354</x:v>
      </x:c>
      <x:c r="L1914" s="26" t="n">
        <x:v>1188.22</x:v>
      </x:c>
      <x:c r="M1914" t="n">
        <x:v>0</x:v>
      </x:c>
      <x:c r="N1914" s="26" t="n">
        <x:v>0</x:v>
      </x:c>
      <x:c r="O1914" s="26" t="n">
        <x:v>162.35</x:v>
      </x:c>
      <x:c r="P1914" s="26" t="n">
        <x:v>39.49</x:v>
      </x:c>
      <x:c r="Q1914" s="26" t="n">
        <x:v>74.59</x:v>
      </x:c>
      <x:c r="R1914" s="26" t="n">
        <x:v>92.14</x:v>
      </x:c>
      <x:c r="S1914" s="26" t="n">
        <x:v>819.64</x:v>
      </x:c>
    </x:row>
    <x:row r="1915">
      <x:c r="A1915" t="n">
        <x:v>501912</x:v>
      </x:c>
      <x:c r="B1915" s="24" t="n">
        <x:v>46000</x:v>
      </x:c>
      <x:c r="C1915" t="n">
        <x:v>1034</x:v>
      </x:c>
      <x:c r="D1915" t="str">
        <x:v>Seller 1034</x:v>
      </x:c>
      <x:c r="E1915" t="str">
        <x:v>Silver</x:v>
      </x:c>
      <x:c r="F1915" t="str">
        <x:v>Central</x:v>
      </x:c>
      <x:c r="G1915" t="str">
        <x:v>Pet Supplies</x:v>
      </x:c>
      <x:c r="H1915" t="n">
        <x:v>3</x:v>
      </x:c>
      <x:c r="I1915" s="26" t="n">
        <x:v>1585.8</x:v>
      </x:c>
      <x:c r="J1915" s="26" t="n">
        <x:v>5160</x:v>
      </x:c>
      <x:c r="K1915" s="28" t="n">
        <x:v>0.138</x:v>
      </x:c>
      <x:c r="L1915" s="26" t="n">
        <x:v>712.08</x:v>
      </x:c>
      <x:c r="M1915" t="n">
        <x:v>0</x:v>
      </x:c>
      <x:c r="N1915" s="26" t="n">
        <x:v>0</x:v>
      </x:c>
      <x:c r="O1915" s="26" t="n">
        <x:v>95.46</x:v>
      </x:c>
      <x:c r="P1915" s="26" t="n">
        <x:v>23.22</x:v>
      </x:c>
      <x:c r="Q1915" s="26" t="n">
        <x:v>43.86</x:v>
      </x:c>
      <x:c r="R1915" s="26" t="n">
        <x:v>54.18</x:v>
      </x:c>
      <x:c r="S1915" s="26" t="n">
        <x:v>495.36</x:v>
      </x:c>
    </x:row>
    <x:row r="1916">
      <x:c r="A1916" t="n">
        <x:v>501913</x:v>
      </x:c>
      <x:c r="B1916" s="24" t="n">
        <x:v>46007</x:v>
      </x:c>
      <x:c r="C1916" t="n">
        <x:v>1025</x:v>
      </x:c>
      <x:c r="D1916" t="str">
        <x:v>Seller 1025</x:v>
      </x:c>
      <x:c r="E1916" t="str">
        <x:v>Gold</x:v>
      </x:c>
      <x:c r="F1916" t="str">
        <x:v>Central</x:v>
      </x:c>
      <x:c r="G1916" t="str">
        <x:v>Pet Supplies</x:v>
      </x:c>
      <x:c r="H1916" t="n">
        <x:v>3</x:v>
      </x:c>
      <x:c r="I1916" s="26" t="n">
        <x:v>1117.2</x:v>
      </x:c>
      <x:c r="J1916" s="26" t="n">
        <x:v>4751.4</x:v>
      </x:c>
      <x:c r="K1916" s="28" t="n">
        <x:v>0.1297</x:v>
      </x:c>
      <x:c r="L1916" s="26" t="n">
        <x:v>616.26</x:v>
      </x:c>
      <x:c r="M1916" t="n">
        <x:v>0</x:v>
      </x:c>
      <x:c r="N1916" s="26" t="n">
        <x:v>0</x:v>
      </x:c>
      <x:c r="O1916" s="26" t="n">
        <x:v>87.9</x:v>
      </x:c>
      <x:c r="P1916" s="26" t="n">
        <x:v>21.38</x:v>
      </x:c>
      <x:c r="Q1916" s="26" t="n">
        <x:v>40.39</x:v>
      </x:c>
      <x:c r="R1916" s="26" t="n">
        <x:v>49.89</x:v>
      </x:c>
      <x:c r="S1916" s="26" t="n">
        <x:v>416.7</x:v>
      </x:c>
    </x:row>
    <x:row r="1917">
      <x:c r="A1917" t="n">
        <x:v>501914</x:v>
      </x:c>
      <x:c r="B1917" s="24" t="n">
        <x:v>45988</x:v>
      </x:c>
      <x:c r="C1917" t="n">
        <x:v>1038</x:v>
      </x:c>
      <x:c r="D1917" t="str">
        <x:v>Seller 1038</x:v>
      </x:c>
      <x:c r="E1917" t="str">
        <x:v>Silver</x:v>
      </x:c>
      <x:c r="F1917" t="str">
        <x:v>South</x:v>
      </x:c>
      <x:c r="G1917" t="str">
        <x:v>Sports</x:v>
      </x:c>
      <x:c r="H1917" t="n">
        <x:v>1</x:v>
      </x:c>
      <x:c r="I1917" s="26" t="n">
        <x:v>4488.6</x:v>
      </x:c>
      <x:c r="J1917" s="26" t="n">
        <x:v>4868.4</x:v>
      </x:c>
      <x:c r="K1917" s="28" t="n">
        <x:v>0.138</x:v>
      </x:c>
      <x:c r="L1917" s="26" t="n">
        <x:v>671.84</x:v>
      </x:c>
      <x:c r="M1917" t="n">
        <x:v>0</x:v>
      </x:c>
      <x:c r="N1917" s="26" t="n">
        <x:v>0</x:v>
      </x:c>
      <x:c r="O1917" s="26" t="n">
        <x:v>90.07</x:v>
      </x:c>
      <x:c r="P1917" s="26" t="n">
        <x:v>21.91</x:v>
      </x:c>
      <x:c r="Q1917" s="26" t="n">
        <x:v>41.38</x:v>
      </x:c>
      <x:c r="R1917" s="26" t="n">
        <x:v>51.12</x:v>
      </x:c>
      <x:c r="S1917" s="26" t="n">
        <x:v>467.37</x:v>
      </x:c>
    </x:row>
    <x:row r="1918">
      <x:c r="A1918" t="n">
        <x:v>501915</x:v>
      </x:c>
      <x:c r="B1918" s="24" t="n">
        <x:v>46012</x:v>
      </x:c>
      <x:c r="C1918" t="n">
        <x:v>1032</x:v>
      </x:c>
      <x:c r="D1918" t="str">
        <x:v>Seller 1032</x:v>
      </x:c>
      <x:c r="E1918" t="str">
        <x:v>Silver</x:v>
      </x:c>
      <x:c r="F1918" t="str">
        <x:v>West</x:v>
      </x:c>
      <x:c r="G1918" t="str">
        <x:v>Pet Supplies</x:v>
      </x:c>
      <x:c r="H1918" t="n">
        <x:v>3</x:v>
      </x:c>
      <x:c r="I1918" s="26" t="n">
        <x:v>1332</x:v>
      </x:c>
      <x:c r="J1918" s="26" t="n">
        <x:v>4334.4</x:v>
      </x:c>
      <x:c r="K1918" s="28" t="n">
        <x:v>0.1463</x:v>
      </x:c>
      <x:c r="L1918" s="26" t="n">
        <x:v>634.12</x:v>
      </x:c>
      <x:c r="M1918" t="n">
        <x:v>0</x:v>
      </x:c>
      <x:c r="N1918" s="26" t="n">
        <x:v>0</x:v>
      </x:c>
      <x:c r="O1918" s="26" t="n">
        <x:v>80.19</x:v>
      </x:c>
      <x:c r="P1918" s="26" t="n">
        <x:v>19.5</x:v>
      </x:c>
      <x:c r="Q1918" s="26" t="n">
        <x:v>36.84</x:v>
      </x:c>
      <x:c r="R1918" s="26" t="n">
        <x:v>45.51</x:v>
      </x:c>
      <x:c r="S1918" s="26" t="n">
        <x:v>452.08</x:v>
      </x:c>
    </x:row>
    <x:row r="1919">
      <x:c r="A1919" t="n">
        <x:v>501916</x:v>
      </x:c>
      <x:c r="B1919" s="24" t="n">
        <x:v>45999</x:v>
      </x:c>
      <x:c r="C1919" t="n">
        <x:v>1033</x:v>
      </x:c>
      <x:c r="D1919" t="str">
        <x:v>Seller 1033</x:v>
      </x:c>
      <x:c r="E1919" t="str">
        <x:v>Silver</x:v>
      </x:c>
      <x:c r="F1919" t="str">
        <x:v>South</x:v>
      </x:c>
      <x:c r="G1919" t="str">
        <x:v>Beauty</x:v>
      </x:c>
      <x:c r="H1919" t="n">
        <x:v>3</x:v>
      </x:c>
      <x:c r="I1919" s="26" t="n">
        <x:v>600</x:v>
      </x:c>
      <x:c r="J1919" s="26" t="n">
        <x:v>1951.8</x:v>
      </x:c>
      <x:c r="K1919" s="28" t="n">
        <x:v>0.146</x:v>
      </x:c>
      <x:c r="L1919" s="26" t="n">
        <x:v>284.96</x:v>
      </x:c>
      <x:c r="M1919" t="n">
        <x:v>0</x:v>
      </x:c>
      <x:c r="N1919" s="26" t="n">
        <x:v>0</x:v>
      </x:c>
      <x:c r="O1919" s="26" t="n">
        <x:v>36.11</x:v>
      </x:c>
      <x:c r="P1919" s="26" t="n">
        <x:v>8.78</x:v>
      </x:c>
      <x:c r="Q1919" s="26" t="n">
        <x:v>16.59</x:v>
      </x:c>
      <x:c r="R1919" s="26" t="n">
        <x:v>20.49</x:v>
      </x:c>
      <x:c r="S1919" s="26" t="n">
        <x:v>202.99</x:v>
      </x:c>
    </x:row>
    <x:row r="1920">
      <x:c r="A1920" t="n">
        <x:v>501917</x:v>
      </x:c>
      <x:c r="B1920" s="24" t="n">
        <x:v>45993</x:v>
      </x:c>
      <x:c r="C1920" t="n">
        <x:v>1048</x:v>
      </x:c>
      <x:c r="D1920" t="str">
        <x:v>Seller 1048</x:v>
      </x:c>
      <x:c r="E1920" t="str">
        <x:v>Silver</x:v>
      </x:c>
      <x:c r="F1920" t="str">
        <x:v>East</x:v>
      </x:c>
      <x:c r="G1920" t="str">
        <x:v>Electronics</x:v>
      </x:c>
      <x:c r="H1920" t="n">
        <x:v>3</x:v>
      </x:c>
      <x:c r="I1920" s="26" t="n">
        <x:v>4030.8</x:v>
      </x:c>
      <x:c r="J1920" s="26" t="n">
        <x:v>13116.6</x:v>
      </x:c>
      <x:c r="K1920" s="28" t="n">
        <x:v>0.1363</x:v>
      </x:c>
      <x:c r="L1920" s="26" t="n">
        <x:v>1787.79</x:v>
      </x:c>
      <x:c r="M1920" t="n">
        <x:v>0</x:v>
      </x:c>
      <x:c r="N1920" s="26" t="n">
        <x:v>0</x:v>
      </x:c>
      <x:c r="O1920" s="26" t="n">
        <x:v>242.66</x:v>
      </x:c>
      <x:c r="P1920" s="26" t="n">
        <x:v>59.02</x:v>
      </x:c>
      <x:c r="Q1920" s="26" t="n">
        <x:v>111.49</x:v>
      </x:c>
      <x:c r="R1920" s="26" t="n">
        <x:v>137.72</x:v>
      </x:c>
      <x:c r="S1920" s="26" t="n">
        <x:v>1236.9</x:v>
      </x:c>
    </x:row>
    <x:row r="1921">
      <x:c r="A1921" t="n">
        <x:v>501918</x:v>
      </x:c>
      <x:c r="B1921" s="24" t="n">
        <x:v>46013</x:v>
      </x:c>
      <x:c r="C1921" t="n">
        <x:v>1038</x:v>
      </x:c>
      <x:c r="D1921" t="str">
        <x:v>Seller 1038</x:v>
      </x:c>
      <x:c r="E1921" t="str">
        <x:v>Silver</x:v>
      </x:c>
      <x:c r="F1921" t="str">
        <x:v>South</x:v>
      </x:c>
      <x:c r="G1921" t="str">
        <x:v>Sports</x:v>
      </x:c>
      <x:c r="H1921" t="n">
        <x:v>3</x:v>
      </x:c>
      <x:c r="I1921" s="26" t="n">
        <x:v>1078.8</x:v>
      </x:c>
      <x:c r="J1921" s="26" t="n">
        <x:v>3510.6</x:v>
      </x:c>
      <x:c r="K1921" s="28" t="n">
        <x:v>0.138</x:v>
      </x:c>
      <x:c r="L1921" s="26" t="n">
        <x:v>484.46</x:v>
      </x:c>
      <x:c r="M1921" t="n">
        <x:v>0</x:v>
      </x:c>
      <x:c r="N1921" s="26" t="n">
        <x:v>0</x:v>
      </x:c>
      <x:c r="O1921" s="26" t="n">
        <x:v>64.95</x:v>
      </x:c>
      <x:c r="P1921" s="26" t="n">
        <x:v>15.8</x:v>
      </x:c>
      <x:c r="Q1921" s="26" t="n">
        <x:v>29.84</x:v>
      </x:c>
      <x:c r="R1921" s="26" t="n">
        <x:v>36.86</x:v>
      </x:c>
      <x:c r="S1921" s="26" t="n">
        <x:v>337.02</x:v>
      </x:c>
    </x:row>
    <x:row r="1922">
      <x:c r="A1922" t="n">
        <x:v>501919</x:v>
      </x:c>
      <x:c r="B1922" s="24" t="n">
        <x:v>46011</x:v>
      </x:c>
      <x:c r="C1922" t="n">
        <x:v>1036</x:v>
      </x:c>
      <x:c r="D1922" t="str">
        <x:v>Seller 1036</x:v>
      </x:c>
      <x:c r="E1922" t="str">
        <x:v>Silver</x:v>
      </x:c>
      <x:c r="F1922" t="str">
        <x:v>Central</x:v>
      </x:c>
      <x:c r="G1922" t="str">
        <x:v>Sports</x:v>
      </x:c>
      <x:c r="H1922" t="n">
        <x:v>1</x:v>
      </x:c>
      <x:c r="I1922" s="26" t="n">
        <x:v>4253.4</x:v>
      </x:c>
      <x:c r="J1922" s="26" t="n">
        <x:v>4613.4</x:v>
      </x:c>
      <x:c r="K1922" s="28" t="n">
        <x:v>0.1341</x:v>
      </x:c>
      <x:c r="L1922" s="26" t="n">
        <x:v>618.66</x:v>
      </x:c>
      <x:c r="M1922" t="n">
        <x:v>0</x:v>
      </x:c>
      <x:c r="N1922" s="26" t="n">
        <x:v>0</x:v>
      </x:c>
      <x:c r="O1922" s="26" t="n">
        <x:v>85.35</x:v>
      </x:c>
      <x:c r="P1922" s="26" t="n">
        <x:v>20.76</x:v>
      </x:c>
      <x:c r="Q1922" s="26" t="n">
        <x:v>39.21</x:v>
      </x:c>
      <x:c r="R1922" s="26" t="n">
        <x:v>48.44</x:v>
      </x:c>
      <x:c r="S1922" s="26" t="n">
        <x:v>424.89</x:v>
      </x:c>
    </x:row>
    <x:row r="1923">
      <x:c r="A1923" t="n">
        <x:v>501920</x:v>
      </x:c>
      <x:c r="B1923" s="24" t="n">
        <x:v>45992</x:v>
      </x:c>
      <x:c r="C1923" t="n">
        <x:v>1014</x:v>
      </x:c>
      <x:c r="D1923" t="str">
        <x:v>Seller 1014</x:v>
      </x:c>
      <x:c r="E1923" t="str">
        <x:v>Gold</x:v>
      </x:c>
      <x:c r="F1923" t="str">
        <x:v>East</x:v>
      </x:c>
      <x:c r="G1923" t="str">
        <x:v>Apparel</x:v>
      </x:c>
      <x:c r="H1923" t="n">
        <x:v>1</x:v>
      </x:c>
      <x:c r="I1923" s="26" t="n">
        <x:v>3715.2000000000003</x:v>
      </x:c>
      <x:c r="J1923" s="26" t="n">
        <x:v>5265.6</x:v>
      </x:c>
      <x:c r="K1923" s="28" t="n">
        <x:v>0.1183</x:v>
      </x:c>
      <x:c r="L1923" s="26" t="n">
        <x:v>622.92</x:v>
      </x:c>
      <x:c r="M1923" t="n">
        <x:v>0</x:v>
      </x:c>
      <x:c r="N1923" s="26" t="n">
        <x:v>0</x:v>
      </x:c>
      <x:c r="O1923" s="26" t="n">
        <x:v>97.41</x:v>
      </x:c>
      <x:c r="P1923" s="26" t="n">
        <x:v>23.7</x:v>
      </x:c>
      <x:c r="Q1923" s="26" t="n">
        <x:v>44.76</x:v>
      </x:c>
      <x:c r="R1923" s="26" t="n">
        <x:v>55.29</x:v>
      </x:c>
      <x:c r="S1923" s="26" t="n">
        <x:v>401.77</x:v>
      </x:c>
    </x:row>
    <x:row r="1924">
      <x:c r="A1924" t="n">
        <x:v>501921</x:v>
      </x:c>
      <x:c r="B1924" s="24" t="n">
        <x:v>46015</x:v>
      </x:c>
      <x:c r="C1924" t="n">
        <x:v>1060</x:v>
      </x:c>
      <x:c r="D1924" t="str">
        <x:v>Seller 1060</x:v>
      </x:c>
      <x:c r="E1924" t="str">
        <x:v>Bronze</x:v>
      </x:c>
      <x:c r="F1924" t="str">
        <x:v>East</x:v>
      </x:c>
      <x:c r="G1924" t="str">
        <x:v>Pet Supplies</x:v>
      </x:c>
      <x:c r="H1924" t="n">
        <x:v>2</x:v>
      </x:c>
      <x:c r="I1924" s="26" t="n">
        <x:v>1206.6</x:v>
      </x:c>
      <x:c r="J1924" s="26" t="n">
        <x:v>1844.4</x:v>
      </x:c>
      <x:c r="K1924" s="28" t="n">
        <x:v>0.1342</x:v>
      </x:c>
      <x:c r="L1924" s="26" t="n">
        <x:v>247.52</x:v>
      </x:c>
      <x:c r="M1924" t="n">
        <x:v>0</x:v>
      </x:c>
      <x:c r="N1924" s="26" t="n">
        <x:v>0</x:v>
      </x:c>
      <x:c r="O1924" s="26" t="n">
        <x:v>34.12</x:v>
      </x:c>
      <x:c r="P1924" s="26" t="n">
        <x:v>8.3</x:v>
      </x:c>
      <x:c r="Q1924" s="26" t="n">
        <x:v>15.68</x:v>
      </x:c>
      <x:c r="R1924" s="26" t="n">
        <x:v>19.37</x:v>
      </x:c>
      <x:c r="S1924" s="26" t="n">
        <x:v>170.05</x:v>
      </x:c>
    </x:row>
    <x:row r="1925">
      <x:c r="A1925" t="n">
        <x:v>501922</x:v>
      </x:c>
      <x:c r="B1925" s="24" t="n">
        <x:v>45996</x:v>
      </x:c>
      <x:c r="C1925" t="n">
        <x:v>1038</x:v>
      </x:c>
      <x:c r="D1925" t="str">
        <x:v>Seller 1038</x:v>
      </x:c>
      <x:c r="E1925" t="str">
        <x:v>Silver</x:v>
      </x:c>
      <x:c r="F1925" t="str">
        <x:v>South</x:v>
      </x:c>
      <x:c r="G1925" t="str">
        <x:v>Sports</x:v>
      </x:c>
      <x:c r="H1925" t="n">
        <x:v>3</x:v>
      </x:c>
      <x:c r="I1925" s="26" t="n">
        <x:v>1395</x:v>
      </x:c>
      <x:c r="J1925" s="26" t="n">
        <x:v>4539</x:v>
      </x:c>
      <x:c r="K1925" s="28" t="n">
        <x:v>0.1404</x:v>
      </x:c>
      <x:c r="L1925" s="26" t="n">
        <x:v>637.28</x:v>
      </x:c>
      <x:c r="M1925" t="n">
        <x:v>0</x:v>
      </x:c>
      <x:c r="N1925" s="26" t="n">
        <x:v>0</x:v>
      </x:c>
      <x:c r="O1925" s="26" t="n">
        <x:v>83.97</x:v>
      </x:c>
      <x:c r="P1925" s="26" t="n">
        <x:v>20.43</x:v>
      </x:c>
      <x:c r="Q1925" s="26" t="n">
        <x:v>38.58</x:v>
      </x:c>
      <x:c r="R1925" s="26" t="n">
        <x:v>47.66</x:v>
      </x:c>
      <x:c r="S1925" s="26" t="n">
        <x:v>446.64</x:v>
      </x:c>
    </x:row>
    <x:row r="1926">
      <x:c r="A1926" t="n">
        <x:v>501923</x:v>
      </x:c>
      <x:c r="B1926" s="24" t="n">
        <x:v>45991</x:v>
      </x:c>
      <x:c r="C1926" t="n">
        <x:v>1076</x:v>
      </x:c>
      <x:c r="D1926" t="str">
        <x:v>Seller 1076</x:v>
      </x:c>
      <x:c r="E1926" t="str">
        <x:v>Bronze</x:v>
      </x:c>
      <x:c r="F1926" t="str">
        <x:v>Central</x:v>
      </x:c>
      <x:c r="G1926" t="str">
        <x:v>Home &amp; Kitchen</x:v>
      </x:c>
      <x:c r="H1926" t="n">
        <x:v>2</x:v>
      </x:c>
      <x:c r="I1926" s="26" t="n">
        <x:v>2078.4</x:v>
      </x:c>
      <x:c r="J1926" s="26" t="n">
        <x:v>3177</x:v>
      </x:c>
      <x:c r="K1926" s="28" t="n">
        <x:v>0.1343</x:v>
      </x:c>
      <x:c r="L1926" s="26" t="n">
        <x:v>426.67</x:v>
      </x:c>
      <x:c r="M1926" t="n">
        <x:v>0</x:v>
      </x:c>
      <x:c r="N1926" s="26" t="n">
        <x:v>0</x:v>
      </x:c>
      <x:c r="O1926" s="26" t="n">
        <x:v>58.77</x:v>
      </x:c>
      <x:c r="P1926" s="26" t="n">
        <x:v>14.3</x:v>
      </x:c>
      <x:c r="Q1926" s="26" t="n">
        <x:v>27</x:v>
      </x:c>
      <x:c r="R1926" s="26" t="n">
        <x:v>33.36</x:v>
      </x:c>
      <x:c r="S1926" s="26" t="n">
        <x:v>293.24</x:v>
      </x:c>
    </x:row>
    <x:row r="1927">
      <x:c r="A1927" t="n">
        <x:v>501924</x:v>
      </x:c>
      <x:c r="B1927" s="24" t="n">
        <x:v>45995</x:v>
      </x:c>
      <x:c r="C1927" t="n">
        <x:v>1077</x:v>
      </x:c>
      <x:c r="D1927" t="str">
        <x:v>Seller 1077</x:v>
      </x:c>
      <x:c r="E1927" t="str">
        <x:v>Bronze</x:v>
      </x:c>
      <x:c r="F1927" t="str">
        <x:v>South</x:v>
      </x:c>
      <x:c r="G1927" t="str">
        <x:v>Home &amp; Kitchen</x:v>
      </x:c>
      <x:c r="H1927" t="n">
        <x:v>1</x:v>
      </x:c>
      <x:c r="I1927" s="26" t="n">
        <x:v>5089.2</x:v>
      </x:c>
      <x:c r="J1927" s="26" t="n">
        <x:v>3889.2</x:v>
      </x:c>
      <x:c r="K1927" s="28" t="n">
        <x:v>0.132</x:v>
      </x:c>
      <x:c r="L1927" s="26" t="n">
        <x:v>513.37</x:v>
      </x:c>
      <x:c r="M1927" t="n">
        <x:v>0</x:v>
      </x:c>
      <x:c r="N1927" s="26" t="n">
        <x:v>0</x:v>
      </x:c>
      <x:c r="O1927" s="26" t="n">
        <x:v>71.95</x:v>
      </x:c>
      <x:c r="P1927" s="26" t="n">
        <x:v>17.5</x:v>
      </x:c>
      <x:c r="Q1927" s="26" t="n">
        <x:v>33.06</x:v>
      </x:c>
      <x:c r="R1927" s="26" t="n">
        <x:v>40.84</x:v>
      </x:c>
      <x:c r="S1927" s="26" t="n">
        <x:v>350.03</x:v>
      </x:c>
    </x:row>
    <x:row r="1928">
      <x:c r="A1928" t="n">
        <x:v>501925</x:v>
      </x:c>
      <x:c r="B1928" s="24" t="n">
        <x:v>45989</x:v>
      </x:c>
      <x:c r="C1928" t="n">
        <x:v>1076</x:v>
      </x:c>
      <x:c r="D1928" t="str">
        <x:v>Seller 1076</x:v>
      </x:c>
      <x:c r="E1928" t="str">
        <x:v>Bronze</x:v>
      </x:c>
      <x:c r="F1928" t="str">
        <x:v>Central</x:v>
      </x:c>
      <x:c r="G1928" t="str">
        <x:v>Home &amp; Kitchen</x:v>
      </x:c>
      <x:c r="H1928" t="n">
        <x:v>2</x:v>
      </x:c>
      <x:c r="I1928" s="26" t="n">
        <x:v>2046.6</x:v>
      </x:c>
      <x:c r="J1928" s="26" t="n">
        <x:v>3127.8</x:v>
      </x:c>
      <x:c r="K1928" s="28" t="n">
        <x:v>0.1322</x:v>
      </x:c>
      <x:c r="L1928" s="26" t="n">
        <x:v>413.5</x:v>
      </x:c>
      <x:c r="M1928" t="n">
        <x:v>0</x:v>
      </x:c>
      <x:c r="N1928" s="26" t="n">
        <x:v>0</x:v>
      </x:c>
      <x:c r="O1928" s="26" t="n">
        <x:v>57.86</x:v>
      </x:c>
      <x:c r="P1928" s="26" t="n">
        <x:v>14.08</x:v>
      </x:c>
      <x:c r="Q1928" s="26" t="n">
        <x:v>26.59</x:v>
      </x:c>
      <x:c r="R1928" s="26" t="n">
        <x:v>32.84</x:v>
      </x:c>
      <x:c r="S1928" s="26" t="n">
        <x:v>282.13</x:v>
      </x:c>
    </x:row>
    <x:row r="1929">
      <x:c r="A1929" t="n">
        <x:v>501926</x:v>
      </x:c>
      <x:c r="B1929" s="24" t="n">
        <x:v>45998</x:v>
      </x:c>
      <x:c r="C1929" t="n">
        <x:v>1053</x:v>
      </x:c>
      <x:c r="D1929" t="str">
        <x:v>Seller 1053</x:v>
      </x:c>
      <x:c r="E1929" t="str">
        <x:v>Silver</x:v>
      </x:c>
      <x:c r="F1929" t="str">
        <x:v>Central</x:v>
      </x:c>
      <x:c r="G1929" t="str">
        <x:v>Pet Supplies</x:v>
      </x:c>
      <x:c r="H1929" t="n">
        <x:v>2</x:v>
      </x:c>
      <x:c r="I1929" s="26" t="n">
        <x:v>1608.6</x:v>
      </x:c>
      <x:c r="J1929" s="26" t="n">
        <x:v>3489.6</x:v>
      </x:c>
      <x:c r="K1929" s="28" t="n">
        <x:v>0.144</x:v>
      </x:c>
      <x:c r="L1929" s="26" t="n">
        <x:v>502.5</x:v>
      </x:c>
      <x:c r="M1929" t="n">
        <x:v>0</x:v>
      </x:c>
      <x:c r="N1929" s="26" t="n">
        <x:v>0</x:v>
      </x:c>
      <x:c r="O1929" s="26" t="n">
        <x:v>64.56</x:v>
      </x:c>
      <x:c r="P1929" s="26" t="n">
        <x:v>15.7</x:v>
      </x:c>
      <x:c r="Q1929" s="26" t="n">
        <x:v>29.66</x:v>
      </x:c>
      <x:c r="R1929" s="26" t="n">
        <x:v>36.64</x:v>
      </x:c>
      <x:c r="S1929" s="26" t="n">
        <x:v>355.94</x:v>
      </x:c>
    </x:row>
    <x:row r="1930">
      <x:c r="A1930" t="n">
        <x:v>501927</x:v>
      </x:c>
      <x:c r="B1930" s="24" t="n">
        <x:v>45988</x:v>
      </x:c>
      <x:c r="C1930" t="n">
        <x:v>1050</x:v>
      </x:c>
      <x:c r="D1930" t="str">
        <x:v>Seller 1050</x:v>
      </x:c>
      <x:c r="E1930" t="str">
        <x:v>Silver</x:v>
      </x:c>
      <x:c r="F1930" t="str">
        <x:v>East</x:v>
      </x:c>
      <x:c r="G1930" t="str">
        <x:v>Electronics</x:v>
      </x:c>
      <x:c r="H1930" t="n">
        <x:v>4</x:v>
      </x:c>
      <x:c r="I1930" s="26" t="n">
        <x:v>1839</x:v>
      </x:c>
      <x:c r="J1930" s="26" t="n">
        <x:v>7978.8</x:v>
      </x:c>
      <x:c r="K1930" s="28" t="n">
        <x:v>0.1377</x:v>
      </x:c>
      <x:c r="L1930" s="26" t="n">
        <x:v>1098.68</x:v>
      </x:c>
      <x:c r="M1930" t="n">
        <x:v>0</x:v>
      </x:c>
      <x:c r="N1930" s="26" t="n">
        <x:v>0</x:v>
      </x:c>
      <x:c r="O1930" s="26" t="n">
        <x:v>147.61</x:v>
      </x:c>
      <x:c r="P1930" s="26" t="n">
        <x:v>35.9</x:v>
      </x:c>
      <x:c r="Q1930" s="26" t="n">
        <x:v>67.82</x:v>
      </x:c>
      <x:c r="R1930" s="26" t="n">
        <x:v>83.78</x:v>
      </x:c>
      <x:c r="S1930" s="26" t="n">
        <x:v>763.57</x:v>
      </x:c>
    </x:row>
    <x:row r="1931">
      <x:c r="A1931" t="n">
        <x:v>501928</x:v>
      </x:c>
      <x:c r="B1931" s="24" t="n">
        <x:v>45991</x:v>
      </x:c>
      <x:c r="C1931" t="n">
        <x:v>1002</x:v>
      </x:c>
      <x:c r="D1931" t="str">
        <x:v>Seller 1002</x:v>
      </x:c>
      <x:c r="E1931" t="str">
        <x:v>Platinum</x:v>
      </x:c>
      <x:c r="F1931" t="str">
        <x:v>Central</x:v>
      </x:c>
      <x:c r="G1931" t="str">
        <x:v>Home &amp; Kitchen</x:v>
      </x:c>
      <x:c r="H1931" t="n">
        <x:v>3</x:v>
      </x:c>
      <x:c r="I1931" s="26" t="n">
        <x:v>480</x:v>
      </x:c>
      <x:c r="J1931" s="26" t="n">
        <x:v>2751</x:v>
      </x:c>
      <x:c r="K1931" s="28" t="n">
        <x:v>0.1297</x:v>
      </x:c>
      <x:c r="L1931" s="26" t="n">
        <x:v>356.8</x:v>
      </x:c>
      <x:c r="M1931" t="n">
        <x:v>0</x:v>
      </x:c>
      <x:c r="N1931" s="26" t="n">
        <x:v>0</x:v>
      </x:c>
      <x:c r="O1931" s="26" t="n">
        <x:v>50.89</x:v>
      </x:c>
      <x:c r="P1931" s="26" t="n">
        <x:v>12.38</x:v>
      </x:c>
      <x:c r="Q1931" s="26" t="n">
        <x:v>23.38</x:v>
      </x:c>
      <x:c r="R1931" s="26" t="n">
        <x:v>28.89</x:v>
      </x:c>
      <x:c r="S1931" s="26" t="n">
        <x:v>241.26</x:v>
      </x:c>
    </x:row>
    <x:row r="1932">
      <x:c r="A1932" t="n">
        <x:v>501929</x:v>
      </x:c>
      <x:c r="B1932" s="24" t="n">
        <x:v>46010</x:v>
      </x:c>
      <x:c r="C1932" t="n">
        <x:v>1071</x:v>
      </x:c>
      <x:c r="D1932" t="str">
        <x:v>Seller 1071</x:v>
      </x:c>
      <x:c r="E1932" t="str">
        <x:v>Bronze</x:v>
      </x:c>
      <x:c r="F1932" t="str">
        <x:v>Central</x:v>
      </x:c>
      <x:c r="G1932" t="str">
        <x:v>Sports</x:v>
      </x:c>
      <x:c r="H1932" t="n">
        <x:v>1</x:v>
      </x:c>
      <x:c r="I1932" s="26" t="n">
        <x:v>4084.7999999999997</x:v>
      </x:c>
      <x:c r="J1932" s="26" t="n">
        <x:v>3121.2</x:v>
      </x:c>
      <x:c r="K1932" s="28" t="n">
        <x:v>0.1279</x:v>
      </x:c>
      <x:c r="L1932" s="26" t="n">
        <x:v>399.2</x:v>
      </x:c>
      <x:c r="M1932" t="n">
        <x:v>0</x:v>
      </x:c>
      <x:c r="N1932" s="26" t="n">
        <x:v>0</x:v>
      </x:c>
      <x:c r="O1932" s="26" t="n">
        <x:v>57.74</x:v>
      </x:c>
      <x:c r="P1932" s="26" t="n">
        <x:v>14.05</x:v>
      </x:c>
      <x:c r="Q1932" s="26" t="n">
        <x:v>26.53</x:v>
      </x:c>
      <x:c r="R1932" s="26" t="n">
        <x:v>32.77</x:v>
      </x:c>
      <x:c r="S1932" s="26" t="n">
        <x:v>268.11</x:v>
      </x:c>
    </x:row>
    <x:row r="1933">
      <x:c r="A1933" t="n">
        <x:v>501930</x:v>
      </x:c>
      <x:c r="B1933" s="24" t="n">
        <x:v>45988</x:v>
      </x:c>
      <x:c r="C1933" t="n">
        <x:v>1064</x:v>
      </x:c>
      <x:c r="D1933" t="str">
        <x:v>Seller 1064</x:v>
      </x:c>
      <x:c r="E1933" t="str">
        <x:v>Bronze</x:v>
      </x:c>
      <x:c r="F1933" t="str">
        <x:v>Central</x:v>
      </x:c>
      <x:c r="G1933" t="str">
        <x:v>Pet Supplies</x:v>
      </x:c>
      <x:c r="H1933" t="n">
        <x:v>2</x:v>
      </x:c>
      <x:c r="I1933" s="26" t="n">
        <x:v>2238.6000000000004</x:v>
      </x:c>
      <x:c r="J1933" s="26" t="n">
        <x:v>3421.2</x:v>
      </x:c>
      <x:c r="K1933" s="28" t="n">
        <x:v>0.1289</x:v>
      </x:c>
      <x:c r="L1933" s="26" t="n">
        <x:v>440.99</x:v>
      </x:c>
      <x:c r="M1933" t="n">
        <x:v>0</x:v>
      </x:c>
      <x:c r="N1933" s="26" t="n">
        <x:v>0</x:v>
      </x:c>
      <x:c r="O1933" s="26" t="n">
        <x:v>63.29</x:v>
      </x:c>
      <x:c r="P1933" s="26" t="n">
        <x:v>15.4</x:v>
      </x:c>
      <x:c r="Q1933" s="26" t="n">
        <x:v>29.08</x:v>
      </x:c>
      <x:c r="R1933" s="26" t="n">
        <x:v>35.92</x:v>
      </x:c>
      <x:c r="S1933" s="26" t="n">
        <x:v>297.3</x:v>
      </x:c>
    </x:row>
    <x:row r="1934">
      <x:c r="A1934" t="n">
        <x:v>501931</x:v>
      </x:c>
      <x:c r="B1934" s="24" t="n">
        <x:v>46007</x:v>
      </x:c>
      <x:c r="C1934" t="n">
        <x:v>1080</x:v>
      </x:c>
      <x:c r="D1934" t="str">
        <x:v>Seller 1080</x:v>
      </x:c>
      <x:c r="E1934" t="str">
        <x:v>Bronze</x:v>
      </x:c>
      <x:c r="F1934" t="str">
        <x:v>South</x:v>
      </x:c>
      <x:c r="G1934" t="str">
        <x:v>Beauty</x:v>
      </x:c>
      <x:c r="H1934" t="n">
        <x:v>1</x:v>
      </x:c>
      <x:c r="I1934" s="26" t="n">
        <x:v>2822.4</x:v>
      </x:c>
      <x:c r="J1934" s="26" t="n">
        <x:v>2157</x:v>
      </x:c>
      <x:c r="K1934" s="28" t="n">
        <x:v>0.1473</x:v>
      </x:c>
      <x:c r="L1934" s="26" t="n">
        <x:v>317.73</x:v>
      </x:c>
      <x:c r="M1934" t="n">
        <x:v>0</x:v>
      </x:c>
      <x:c r="N1934" s="26" t="n">
        <x:v>0</x:v>
      </x:c>
      <x:c r="O1934" s="26" t="n">
        <x:v>39.9</x:v>
      </x:c>
      <x:c r="P1934" s="26" t="n">
        <x:v>9.71</x:v>
      </x:c>
      <x:c r="Q1934" s="26" t="n">
        <x:v>18.33</x:v>
      </x:c>
      <x:c r="R1934" s="26" t="n">
        <x:v>22.65</x:v>
      </x:c>
      <x:c r="S1934" s="26" t="n">
        <x:v>227.13</x:v>
      </x:c>
    </x:row>
    <x:row r="1935">
      <x:c r="A1935" t="n">
        <x:v>501932</x:v>
      </x:c>
      <x:c r="B1935" s="24" t="n">
        <x:v>46004</x:v>
      </x:c>
      <x:c r="C1935" t="n">
        <x:v>1010</x:v>
      </x:c>
      <x:c r="D1935" t="str">
        <x:v>Seller 1010</x:v>
      </x:c>
      <x:c r="E1935" t="str">
        <x:v>Platinum</x:v>
      </x:c>
      <x:c r="F1935" t="str">
        <x:v>West</x:v>
      </x:c>
      <x:c r="G1935" t="str">
        <x:v>Sports</x:v>
      </x:c>
      <x:c r="H1935" t="n">
        <x:v>1</x:v>
      </x:c>
      <x:c r="I1935" s="26" t="n">
        <x:v>4193.4</x:v>
      </x:c>
      <x:c r="J1935" s="26" t="n">
        <x:v>8011.8</x:v>
      </x:c>
      <x:c r="K1935" s="28" t="n">
        <x:v>0.1246</x:v>
      </x:c>
      <x:c r="L1935" s="26" t="n">
        <x:v>998.27</x:v>
      </x:c>
      <x:c r="M1935" t="n">
        <x:v>0</x:v>
      </x:c>
      <x:c r="N1935" s="26" t="n">
        <x:v>0</x:v>
      </x:c>
      <x:c r="O1935" s="26" t="n">
        <x:v>148.22</x:v>
      </x:c>
      <x:c r="P1935" s="26" t="n">
        <x:v>36.05</x:v>
      </x:c>
      <x:c r="Q1935" s="26" t="n">
        <x:v>68.1</x:v>
      </x:c>
      <x:c r="R1935" s="26" t="n">
        <x:v>84.12</x:v>
      </x:c>
      <x:c r="S1935" s="26" t="n">
        <x:v>661.77</x:v>
      </x:c>
    </x:row>
    <x:row r="1936">
      <x:c r="A1936" t="n">
        <x:v>501933</x:v>
      </x:c>
      <x:c r="B1936" s="24" t="n">
        <x:v>45993</x:v>
      </x:c>
      <x:c r="C1936" t="n">
        <x:v>1062</x:v>
      </x:c>
      <x:c r="D1936" t="str">
        <x:v>Seller 1062</x:v>
      </x:c>
      <x:c r="E1936" t="str">
        <x:v>Bronze</x:v>
      </x:c>
      <x:c r="F1936" t="str">
        <x:v>West</x:v>
      </x:c>
      <x:c r="G1936" t="str">
        <x:v>Electronics</x:v>
      </x:c>
      <x:c r="H1936" t="n">
        <x:v>3</x:v>
      </x:c>
      <x:c r="I1936" s="26" t="n">
        <x:v>2962.8</x:v>
      </x:c>
      <x:c r="J1936" s="26" t="n">
        <x:v>6792.6</x:v>
      </x:c>
      <x:c r="K1936" s="28" t="n">
        <x:v>0.1429</x:v>
      </x:c>
      <x:c r="L1936" s="26" t="n">
        <x:v>970.66</x:v>
      </x:c>
      <x:c r="M1936" t="n">
        <x:v>0</x:v>
      </x:c>
      <x:c r="N1936" s="26" t="n">
        <x:v>0</x:v>
      </x:c>
      <x:c r="O1936" s="26" t="n">
        <x:v>125.66</x:v>
      </x:c>
      <x:c r="P1936" s="26" t="n">
        <x:v>30.57</x:v>
      </x:c>
      <x:c r="Q1936" s="26" t="n">
        <x:v>57.74</x:v>
      </x:c>
      <x:c r="R1936" s="26" t="n">
        <x:v>71.32</x:v>
      </x:c>
      <x:c r="S1936" s="26" t="n">
        <x:v>685.37</x:v>
      </x:c>
    </x:row>
    <x:row r="1937">
      <x:c r="A1937" t="n">
        <x:v>501934</x:v>
      </x:c>
      <x:c r="B1937" s="24" t="n">
        <x:v>45990</x:v>
      </x:c>
      <x:c r="C1937" t="n">
        <x:v>1028</x:v>
      </x:c>
      <x:c r="D1937" t="str">
        <x:v>Seller 1028</x:v>
      </x:c>
      <x:c r="E1937" t="str">
        <x:v>Gold</x:v>
      </x:c>
      <x:c r="F1937" t="str">
        <x:v>Central</x:v>
      </x:c>
      <x:c r="G1937" t="str">
        <x:v>Sports</x:v>
      </x:c>
      <x:c r="H1937" t="n">
        <x:v>2</x:v>
      </x:c>
      <x:c r="I1937" s="26" t="n">
        <x:v>2274.6</x:v>
      </x:c>
      <x:c r="J1937" s="26" t="n">
        <x:v>6448.8</x:v>
      </x:c>
      <x:c r="K1937" s="28" t="n">
        <x:v>0.1328</x:v>
      </x:c>
      <x:c r="L1937" s="26" t="n">
        <x:v>856.4</x:v>
      </x:c>
      <x:c r="M1937" t="n">
        <x:v>0</x:v>
      </x:c>
      <x:c r="N1937" s="26" t="n">
        <x:v>0</x:v>
      </x:c>
      <x:c r="O1937" s="26" t="n">
        <x:v>119.3</x:v>
      </x:c>
      <x:c r="P1937" s="26" t="n">
        <x:v>29.02</x:v>
      </x:c>
      <x:c r="Q1937" s="26" t="n">
        <x:v>54.81</x:v>
      </x:c>
      <x:c r="R1937" s="26" t="n">
        <x:v>67.71</x:v>
      </x:c>
      <x:c r="S1937" s="26" t="n">
        <x:v>585.55</x:v>
      </x:c>
    </x:row>
    <x:row r="1938">
      <x:c r="A1938" t="n">
        <x:v>501935</x:v>
      </x:c>
      <x:c r="B1938" s="24" t="n">
        <x:v>45989</x:v>
      </x:c>
      <x:c r="C1938" t="n">
        <x:v>1033</x:v>
      </x:c>
      <x:c r="D1938" t="str">
        <x:v>Seller 1033</x:v>
      </x:c>
      <x:c r="E1938" t="str">
        <x:v>Silver</x:v>
      </x:c>
      <x:c r="F1938" t="str">
        <x:v>South</x:v>
      </x:c>
      <x:c r="G1938" t="str">
        <x:v>Pet Supplies</x:v>
      </x:c>
      <x:c r="H1938" t="n">
        <x:v>2</x:v>
      </x:c>
      <x:c r="I1938" s="26" t="n">
        <x:v>1155.6000000000001</x:v>
      </x:c>
      <x:c r="J1938" s="26" t="n">
        <x:v>2507.4</x:v>
      </x:c>
      <x:c r="K1938" s="28" t="n">
        <x:v>0.1291</x:v>
      </x:c>
      <x:c r="L1938" s="26" t="n">
        <x:v>323.71</x:v>
      </x:c>
      <x:c r="M1938" t="n">
        <x:v>0</x:v>
      </x:c>
      <x:c r="N1938" s="26" t="n">
        <x:v>0</x:v>
      </x:c>
      <x:c r="O1938" s="26" t="n">
        <x:v>46.39</x:v>
      </x:c>
      <x:c r="P1938" s="26" t="n">
        <x:v>11.28</x:v>
      </x:c>
      <x:c r="Q1938" s="26" t="n">
        <x:v>21.31</x:v>
      </x:c>
      <x:c r="R1938" s="26" t="n">
        <x:v>26.33</x:v>
      </x:c>
      <x:c r="S1938" s="26" t="n">
        <x:v>218.39</x:v>
      </x:c>
    </x:row>
    <x:row r="1939">
      <x:c r="A1939" t="n">
        <x:v>501936</x:v>
      </x:c>
      <x:c r="B1939" s="24" t="n">
        <x:v>46013</x:v>
      </x:c>
      <x:c r="C1939" t="n">
        <x:v>1047</x:v>
      </x:c>
      <x:c r="D1939" t="str">
        <x:v>Seller 1047</x:v>
      </x:c>
      <x:c r="E1939" t="str">
        <x:v>Silver</x:v>
      </x:c>
      <x:c r="F1939" t="str">
        <x:v>East</x:v>
      </x:c>
      <x:c r="G1939" t="str">
        <x:v>Sports</x:v>
      </x:c>
      <x:c r="H1939" t="n">
        <x:v>2</x:v>
      </x:c>
      <x:c r="I1939" s="26" t="n">
        <x:v>1954.2</x:v>
      </x:c>
      <x:c r="J1939" s="26" t="n">
        <x:v>4239</x:v>
      </x:c>
      <x:c r="K1939" s="28" t="n">
        <x:v>0.1338</x:v>
      </x:c>
      <x:c r="L1939" s="26" t="n">
        <x:v>567.18</x:v>
      </x:c>
      <x:c r="M1939" t="n">
        <x:v>0</x:v>
      </x:c>
      <x:c r="N1939" s="26" t="n">
        <x:v>0</x:v>
      </x:c>
      <x:c r="O1939" s="26" t="n">
        <x:v>78.42</x:v>
      </x:c>
      <x:c r="P1939" s="26" t="n">
        <x:v>19.08</x:v>
      </x:c>
      <x:c r="Q1939" s="26" t="n">
        <x:v>36.03</x:v>
      </x:c>
      <x:c r="R1939" s="26" t="n">
        <x:v>44.51</x:v>
      </x:c>
      <x:c r="S1939" s="26" t="n">
        <x:v>389.14</x:v>
      </x:c>
    </x:row>
    <x:row r="1940">
      <x:c r="A1940" t="n">
        <x:v>501937</x:v>
      </x:c>
      <x:c r="B1940" s="24" t="n">
        <x:v>45994</x:v>
      </x:c>
      <x:c r="C1940" t="n">
        <x:v>1006</x:v>
      </x:c>
      <x:c r="D1940" t="str">
        <x:v>Seller 1006</x:v>
      </x:c>
      <x:c r="E1940" t="str">
        <x:v>Platinum</x:v>
      </x:c>
      <x:c r="F1940" t="str">
        <x:v>East</x:v>
      </x:c>
      <x:c r="G1940" t="str">
        <x:v>Sports</x:v>
      </x:c>
      <x:c r="H1940" t="n">
        <x:v>3</x:v>
      </x:c>
      <x:c r="I1940" s="26" t="n">
        <x:v>1863</x:v>
      </x:c>
      <x:c r="J1940" s="26" t="n">
        <x:v>10675.8</x:v>
      </x:c>
      <x:c r="K1940" s="28" t="n">
        <x:v>0.1322</x:v>
      </x:c>
      <x:c r="L1940" s="26" t="n">
        <x:v>1411.34</x:v>
      </x:c>
      <x:c r="M1940" t="n">
        <x:v>0</x:v>
      </x:c>
      <x:c r="N1940" s="26" t="n">
        <x:v>0</x:v>
      </x:c>
      <x:c r="O1940" s="26" t="n">
        <x:v>197.5</x:v>
      </x:c>
      <x:c r="P1940" s="26" t="n">
        <x:v>48.04</x:v>
      </x:c>
      <x:c r="Q1940" s="26" t="n">
        <x:v>90.74</x:v>
      </x:c>
      <x:c r="R1940" s="26" t="n">
        <x:v>112.1</x:v>
      </x:c>
      <x:c r="S1940" s="26" t="n">
        <x:v>962.96</x:v>
      </x:c>
    </x:row>
    <x:row r="1941">
      <x:c r="A1941" t="n">
        <x:v>501938</x:v>
      </x:c>
      <x:c r="B1941" s="24" t="n">
        <x:v>45988</x:v>
      </x:c>
      <x:c r="C1941" t="n">
        <x:v>1008</x:v>
      </x:c>
      <x:c r="D1941" t="str">
        <x:v>Seller 1008</x:v>
      </x:c>
      <x:c r="E1941" t="str">
        <x:v>Platinum</x:v>
      </x:c>
      <x:c r="F1941" t="str">
        <x:v>West</x:v>
      </x:c>
      <x:c r="G1941" t="str">
        <x:v>Electronics</x:v>
      </x:c>
      <x:c r="H1941" t="n">
        <x:v>2</x:v>
      </x:c>
      <x:c r="I1941" s="26" t="n">
        <x:v>5013</x:v>
      </x:c>
      <x:c r="J1941" s="26" t="n">
        <x:v>19154.4</x:v>
      </x:c>
      <x:c r="K1941" s="28" t="n">
        <x:v>0.1402</x:v>
      </x:c>
      <x:c r="L1941" s="26" t="n">
        <x:v>2685.45</x:v>
      </x:c>
      <x:c r="M1941" t="n">
        <x:v>0</x:v>
      </x:c>
      <x:c r="N1941" s="26" t="n">
        <x:v>0</x:v>
      </x:c>
      <x:c r="O1941" s="26" t="n">
        <x:v>354.36</x:v>
      </x:c>
      <x:c r="P1941" s="26" t="n">
        <x:v>86.19</x:v>
      </x:c>
      <x:c r="Q1941" s="26" t="n">
        <x:v>162.81</x:v>
      </x:c>
      <x:c r="R1941" s="26" t="n">
        <x:v>201.12</x:v>
      </x:c>
      <x:c r="S1941" s="26" t="n">
        <x:v>1880.96</x:v>
      </x:c>
    </x:row>
    <x:row r="1942">
      <x:c r="A1942" t="n">
        <x:v>501939</x:v>
      </x:c>
      <x:c r="B1942" s="24" t="n">
        <x:v>45994</x:v>
      </x:c>
      <x:c r="C1942" t="n">
        <x:v>1050</x:v>
      </x:c>
      <x:c r="D1942" t="str">
        <x:v>Seller 1050</x:v>
      </x:c>
      <x:c r="E1942" t="str">
        <x:v>Silver</x:v>
      </x:c>
      <x:c r="F1942" t="str">
        <x:v>East</x:v>
      </x:c>
      <x:c r="G1942" t="str">
        <x:v>Electronics</x:v>
      </x:c>
      <x:c r="H1942" t="n">
        <x:v>1</x:v>
      </x:c>
      <x:c r="I1942" s="26" t="n">
        <x:v>8868.6</x:v>
      </x:c>
      <x:c r="J1942" s="26" t="n">
        <x:v>9619.2</x:v>
      </x:c>
      <x:c r="K1942" s="28" t="n">
        <x:v>0.1369</x:v>
      </x:c>
      <x:c r="L1942" s="26" t="n">
        <x:v>1316.87</x:v>
      </x:c>
      <x:c r="M1942" t="n">
        <x:v>0</x:v>
      </x:c>
      <x:c r="N1942" s="26" t="n">
        <x:v>0</x:v>
      </x:c>
      <x:c r="O1942" s="26" t="n">
        <x:v>177.96</x:v>
      </x:c>
      <x:c r="P1942" s="26" t="n">
        <x:v>43.29</x:v>
      </x:c>
      <x:c r="Q1942" s="26" t="n">
        <x:v>81.76</x:v>
      </x:c>
      <x:c r="R1942" s="26" t="n">
        <x:v>101</x:v>
      </x:c>
      <x:c r="S1942" s="26" t="n">
        <x:v>912.86</x:v>
      </x:c>
    </x:row>
    <x:row r="1943">
      <x:c r="A1943" t="n">
        <x:v>501940</x:v>
      </x:c>
      <x:c r="B1943" s="24" t="n">
        <x:v>46008</x:v>
      </x:c>
      <x:c r="C1943" t="n">
        <x:v>1033</x:v>
      </x:c>
      <x:c r="D1943" t="str">
        <x:v>Seller 1033</x:v>
      </x:c>
      <x:c r="E1943" t="str">
        <x:v>Silver</x:v>
      </x:c>
      <x:c r="F1943" t="str">
        <x:v>South</x:v>
      </x:c>
      <x:c r="G1943" t="str">
        <x:v>Beauty</x:v>
      </x:c>
      <x:c r="H1943" t="n">
        <x:v>3</x:v>
      </x:c>
      <x:c r="I1943" s="26" t="n">
        <x:v>952.1999999999999</x:v>
      </x:c>
      <x:c r="J1943" s="26" t="n">
        <x:v>3097.8</x:v>
      </x:c>
      <x:c r="K1943" s="28" t="n">
        <x:v>0.1522</x:v>
      </x:c>
      <x:c r="L1943" s="26" t="n">
        <x:v>471.49</x:v>
      </x:c>
      <x:c r="M1943" t="n">
        <x:v>0</x:v>
      </x:c>
      <x:c r="N1943" s="26" t="n">
        <x:v>0</x:v>
      </x:c>
      <x:c r="O1943" s="26" t="n">
        <x:v>57.31</x:v>
      </x:c>
      <x:c r="P1943" s="26" t="n">
        <x:v>13.94</x:v>
      </x:c>
      <x:c r="Q1943" s="26" t="n">
        <x:v>26.33</x:v>
      </x:c>
      <x:c r="R1943" s="26" t="n">
        <x:v>32.53</x:v>
      </x:c>
      <x:c r="S1943" s="26" t="n">
        <x:v>341.38</x:v>
      </x:c>
    </x:row>
    <x:row r="1944">
      <x:c r="A1944" t="n">
        <x:v>501941</x:v>
      </x:c>
      <x:c r="B1944" s="24" t="n">
        <x:v>45997</x:v>
      </x:c>
      <x:c r="C1944" t="n">
        <x:v>1063</x:v>
      </x:c>
      <x:c r="D1944" t="str">
        <x:v>Seller 1063</x:v>
      </x:c>
      <x:c r="E1944" t="str">
        <x:v>Bronze</x:v>
      </x:c>
      <x:c r="F1944" t="str">
        <x:v>West</x:v>
      </x:c>
      <x:c r="G1944" t="str">
        <x:v>Pet Supplies</x:v>
      </x:c>
      <x:c r="H1944" t="n">
        <x:v>1</x:v>
      </x:c>
      <x:c r="I1944" s="26" t="n">
        <x:v>2917.2</x:v>
      </x:c>
      <x:c r="J1944" s="26" t="n">
        <x:v>2229.6</x:v>
      </x:c>
      <x:c r="K1944" s="28" t="n">
        <x:v>0.1409</x:v>
      </x:c>
      <x:c r="L1944" s="26" t="n">
        <x:v>314.15</x:v>
      </x:c>
      <x:c r="M1944" t="n">
        <x:v>0</x:v>
      </x:c>
      <x:c r="N1944" s="26" t="n">
        <x:v>0</x:v>
      </x:c>
      <x:c r="O1944" s="26" t="n">
        <x:v>41.25</x:v>
      </x:c>
      <x:c r="P1944" s="26" t="n">
        <x:v>10.03</x:v>
      </x:c>
      <x:c r="Q1944" s="26" t="n">
        <x:v>18.95</x:v>
      </x:c>
      <x:c r="R1944" s="26" t="n">
        <x:v>23.41</x:v>
      </x:c>
      <x:c r="S1944" s="26" t="n">
        <x:v>220.51</x:v>
      </x:c>
    </x:row>
    <x:row r="1945">
      <x:c r="A1945" t="n">
        <x:v>501942</x:v>
      </x:c>
      <x:c r="B1945" s="24" t="n">
        <x:v>45998</x:v>
      </x:c>
      <x:c r="C1945" t="n">
        <x:v>1006</x:v>
      </x:c>
      <x:c r="D1945" t="str">
        <x:v>Seller 1006</x:v>
      </x:c>
      <x:c r="E1945" t="str">
        <x:v>Platinum</x:v>
      </x:c>
      <x:c r="F1945" t="str">
        <x:v>East</x:v>
      </x:c>
      <x:c r="G1945" t="str">
        <x:v>Sports</x:v>
      </x:c>
      <x:c r="H1945" t="n">
        <x:v>2</x:v>
      </x:c>
      <x:c r="I1945" s="26" t="n">
        <x:v>2717.4</x:v>
      </x:c>
      <x:c r="J1945" s="26" t="n">
        <x:v>10383.6</x:v>
      </x:c>
      <x:c r="K1945" s="28" t="n">
        <x:v>0.1411</x:v>
      </x:c>
      <x:c r="L1945" s="26" t="n">
        <x:v>1465.13</x:v>
      </x:c>
      <x:c r="M1945" t="n">
        <x:v>0</x:v>
      </x:c>
      <x:c r="N1945" s="26" t="n">
        <x:v>0</x:v>
      </x:c>
      <x:c r="O1945" s="26" t="n">
        <x:v>192.1</x:v>
      </x:c>
      <x:c r="P1945" s="26" t="n">
        <x:v>46.73</x:v>
      </x:c>
      <x:c r="Q1945" s="26" t="n">
        <x:v>88.26</x:v>
      </x:c>
      <x:c r="R1945" s="26" t="n">
        <x:v>109.03</x:v>
      </x:c>
      <x:c r="S1945" s="26" t="n">
        <x:v>1029.01</x:v>
      </x:c>
    </x:row>
    <x:row r="1946">
      <x:c r="A1946" t="n">
        <x:v>501943</x:v>
      </x:c>
      <x:c r="B1946" s="24" t="n">
        <x:v>45994</x:v>
      </x:c>
      <x:c r="C1946" t="n">
        <x:v>1039</x:v>
      </x:c>
      <x:c r="D1946" t="str">
        <x:v>Seller 1039</x:v>
      </x:c>
      <x:c r="E1946" t="str">
        <x:v>Silver</x:v>
      </x:c>
      <x:c r="F1946" t="str">
        <x:v>East</x:v>
      </x:c>
      <x:c r="G1946" t="str">
        <x:v>Pet Supplies</x:v>
      </x:c>
      <x:c r="H1946" t="n">
        <x:v>3</x:v>
      </x:c>
      <x:c r="I1946" s="26" t="n">
        <x:v>621.5999999999999</x:v>
      </x:c>
      <x:c r="J1946" s="26" t="n">
        <x:v>2022.6</x:v>
      </x:c>
      <x:c r="K1946" s="28" t="n">
        <x:v>0.1437</x:v>
      </x:c>
      <x:c r="L1946" s="26" t="n">
        <x:v>290.65</x:v>
      </x:c>
      <x:c r="M1946" t="n">
        <x:v>0</x:v>
      </x:c>
      <x:c r="N1946" s="26" t="n">
        <x:v>0</x:v>
      </x:c>
      <x:c r="O1946" s="26" t="n">
        <x:v>37.42</x:v>
      </x:c>
      <x:c r="P1946" s="26" t="n">
        <x:v>9.1</x:v>
      </x:c>
      <x:c r="Q1946" s="26" t="n">
        <x:v>17.19</x:v>
      </x:c>
      <x:c r="R1946" s="26" t="n">
        <x:v>21.24</x:v>
      </x:c>
      <x:c r="S1946" s="26" t="n">
        <x:v>205.7</x:v>
      </x:c>
    </x:row>
    <x:row r="1947">
      <x:c r="A1947" t="n">
        <x:v>501944</x:v>
      </x:c>
      <x:c r="B1947" s="24" t="n">
        <x:v>45988</x:v>
      </x:c>
      <x:c r="C1947" t="n">
        <x:v>1030</x:v>
      </x:c>
      <x:c r="D1947" t="str">
        <x:v>Seller 1030</x:v>
      </x:c>
      <x:c r="E1947" t="str">
        <x:v>Gold</x:v>
      </x:c>
      <x:c r="F1947" t="str">
        <x:v>South</x:v>
      </x:c>
      <x:c r="G1947" t="str">
        <x:v>Pet Supplies</x:v>
      </x:c>
      <x:c r="H1947" t="n">
        <x:v>2</x:v>
      </x:c>
      <x:c r="I1947" s="26" t="n">
        <x:v>1475.4</x:v>
      </x:c>
      <x:c r="J1947" s="26" t="n">
        <x:v>4182.6</x:v>
      </x:c>
      <x:c r="K1947" s="28" t="n">
        <x:v>0.1285</x:v>
      </x:c>
      <x:c r="L1947" s="26" t="n">
        <x:v>537.46</x:v>
      </x:c>
      <x:c r="M1947" t="n">
        <x:v>0</x:v>
      </x:c>
      <x:c r="N1947" s="26" t="n">
        <x:v>0</x:v>
      </x:c>
      <x:c r="O1947" s="26" t="n">
        <x:v>77.38</x:v>
      </x:c>
      <x:c r="P1947" s="26" t="n">
        <x:v>18.82</x:v>
      </x:c>
      <x:c r="Q1947" s="26" t="n">
        <x:v>35.55</x:v>
      </x:c>
      <x:c r="R1947" s="26" t="n">
        <x:v>43.92</x:v>
      </x:c>
      <x:c r="S1947" s="26" t="n">
        <x:v>361.79</x:v>
      </x:c>
    </x:row>
    <x:row r="1948">
      <x:c r="A1948" t="n">
        <x:v>501945</x:v>
      </x:c>
      <x:c r="B1948" s="24" t="n">
        <x:v>45993</x:v>
      </x:c>
      <x:c r="C1948" t="n">
        <x:v>1078</x:v>
      </x:c>
      <x:c r="D1948" t="str">
        <x:v>Seller 1078</x:v>
      </x:c>
      <x:c r="E1948" t="str">
        <x:v>Bronze</x:v>
      </x:c>
      <x:c r="F1948" t="str">
        <x:v>East</x:v>
      </x:c>
      <x:c r="G1948" t="str">
        <x:v>Sports</x:v>
      </x:c>
      <x:c r="H1948" t="n">
        <x:v>1</x:v>
      </x:c>
      <x:c r="I1948" s="26" t="n">
        <x:v>4906.2</x:v>
      </x:c>
      <x:c r="J1948" s="26" t="n">
        <x:v>3749.4</x:v>
      </x:c>
      <x:c r="K1948" s="28" t="n">
        <x:v>0.139</x:v>
      </x:c>
      <x:c r="L1948" s="26" t="n">
        <x:v>521.17</x:v>
      </x:c>
      <x:c r="M1948" t="n">
        <x:v>0</x:v>
      </x:c>
      <x:c r="N1948" s="26" t="n">
        <x:v>0</x:v>
      </x:c>
      <x:c r="O1948" s="26" t="n">
        <x:v>69.36</x:v>
      </x:c>
      <x:c r="P1948" s="26" t="n">
        <x:v>16.87</x:v>
      </x:c>
      <x:c r="Q1948" s="26" t="n">
        <x:v>31.87</x:v>
      </x:c>
      <x:c r="R1948" s="26" t="n">
        <x:v>39.37</x:v>
      </x:c>
      <x:c r="S1948" s="26" t="n">
        <x:v>363.69</x:v>
      </x:c>
    </x:row>
    <x:row r="1949">
      <x:c r="A1949" t="n">
        <x:v>501946</x:v>
      </x:c>
      <x:c r="B1949" s="24" t="n">
        <x:v>46006</x:v>
      </x:c>
      <x:c r="C1949" t="n">
        <x:v>1003</x:v>
      </x:c>
      <x:c r="D1949" t="str">
        <x:v>Seller 1003</x:v>
      </x:c>
      <x:c r="E1949" t="str">
        <x:v>Platinum</x:v>
      </x:c>
      <x:c r="F1949" t="str">
        <x:v>East</x:v>
      </x:c>
      <x:c r="G1949" t="str">
        <x:v>Pet Supplies</x:v>
      </x:c>
      <x:c r="H1949" t="n">
        <x:v>1</x:v>
      </x:c>
      <x:c r="I1949" s="26" t="n">
        <x:v>3175.8</x:v>
      </x:c>
      <x:c r="J1949" s="26" t="n">
        <x:v>6067.2</x:v>
      </x:c>
      <x:c r="K1949" s="28" t="n">
        <x:v>0.1454</x:v>
      </x:c>
      <x:c r="L1949" s="26" t="n">
        <x:v>882.17</x:v>
      </x:c>
      <x:c r="M1949" t="n">
        <x:v>0</x:v>
      </x:c>
      <x:c r="N1949" s="26" t="n">
        <x:v>0</x:v>
      </x:c>
      <x:c r="O1949" s="26" t="n">
        <x:v>112.24</x:v>
      </x:c>
      <x:c r="P1949" s="26" t="n">
        <x:v>27.3</x:v>
      </x:c>
      <x:c r="Q1949" s="26" t="n">
        <x:v>51.57</x:v>
      </x:c>
      <x:c r="R1949" s="26" t="n">
        <x:v>63.71</x:v>
      </x:c>
      <x:c r="S1949" s="26" t="n">
        <x:v>627.35</x:v>
      </x:c>
    </x:row>
    <x:row r="1950">
      <x:c r="A1950" t="n">
        <x:v>501947</x:v>
      </x:c>
      <x:c r="B1950" s="24" t="n">
        <x:v>46005</x:v>
      </x:c>
      <x:c r="C1950" t="n">
        <x:v>1080</x:v>
      </x:c>
      <x:c r="D1950" t="str">
        <x:v>Seller 1080</x:v>
      </x:c>
      <x:c r="E1950" t="str">
        <x:v>Bronze</x:v>
      </x:c>
      <x:c r="F1950" t="str">
        <x:v>South</x:v>
      </x:c>
      <x:c r="G1950" t="str">
        <x:v>Apparel</x:v>
      </x:c>
      <x:c r="H1950" t="n">
        <x:v>2</x:v>
      </x:c>
      <x:c r="I1950" s="26" t="n">
        <x:v>1521.6</x:v>
      </x:c>
      <x:c r="J1950" s="26" t="n">
        <x:v>2325.6</x:v>
      </x:c>
      <x:c r="K1950" s="28" t="n">
        <x:v>0.123</x:v>
      </x:c>
      <x:c r="L1950" s="26" t="n">
        <x:v>286.05</x:v>
      </x:c>
      <x:c r="M1950" t="n">
        <x:v>0</x:v>
      </x:c>
      <x:c r="N1950" s="26" t="n">
        <x:v>0</x:v>
      </x:c>
      <x:c r="O1950" s="26" t="n">
        <x:v>43.02</x:v>
      </x:c>
      <x:c r="P1950" s="26" t="n">
        <x:v>10.47</x:v>
      </x:c>
      <x:c r="Q1950" s="26" t="n">
        <x:v>19.77</x:v>
      </x:c>
      <x:c r="R1950" s="26" t="n">
        <x:v>24.42</x:v>
      </x:c>
      <x:c r="S1950" s="26" t="n">
        <x:v>188.37</x:v>
      </x:c>
    </x:row>
    <x:row r="1951">
      <x:c r="A1951" t="n">
        <x:v>501948</x:v>
      </x:c>
      <x:c r="B1951" s="24" t="n">
        <x:v>45997</x:v>
      </x:c>
      <x:c r="C1951" t="n">
        <x:v>1078</x:v>
      </x:c>
      <x:c r="D1951" t="str">
        <x:v>Seller 1078</x:v>
      </x:c>
      <x:c r="E1951" t="str">
        <x:v>Bronze</x:v>
      </x:c>
      <x:c r="F1951" t="str">
        <x:v>East</x:v>
      </x:c>
      <x:c r="G1951" t="str">
        <x:v>Pet Supplies</x:v>
      </x:c>
      <x:c r="H1951" t="n">
        <x:v>2</x:v>
      </x:c>
      <x:c r="I1951" s="26" t="n">
        <x:v>1187.3999999999999</x:v>
      </x:c>
      <x:c r="J1951" s="26" t="n">
        <x:v>1814.4</x:v>
      </x:c>
      <x:c r="K1951" s="28" t="n">
        <x:v>0.1495</x:v>
      </x:c>
      <x:c r="L1951" s="26" t="n">
        <x:v>271.25</x:v>
      </x:c>
      <x:c r="M1951" t="n">
        <x:v>0</x:v>
      </x:c>
      <x:c r="N1951" s="26" t="n">
        <x:v>0</x:v>
      </x:c>
      <x:c r="O1951" s="26" t="n">
        <x:v>33.57</x:v>
      </x:c>
      <x:c r="P1951" s="26" t="n">
        <x:v>8.16</x:v>
      </x:c>
      <x:c r="Q1951" s="26" t="n">
        <x:v>15.42</x:v>
      </x:c>
      <x:c r="R1951" s="26" t="n">
        <x:v>19.05</x:v>
      </x:c>
      <x:c r="S1951" s="26" t="n">
        <x:v>195.05</x:v>
      </x:c>
    </x:row>
    <x:row r="1952">
      <x:c r="A1952" t="n">
        <x:v>501949</x:v>
      </x:c>
      <x:c r="B1952" s="24" t="n">
        <x:v>45991</x:v>
      </x:c>
      <x:c r="C1952" t="n">
        <x:v>1019</x:v>
      </x:c>
      <x:c r="D1952" t="str">
        <x:v>Seller 1019</x:v>
      </x:c>
      <x:c r="E1952" t="str">
        <x:v>Gold</x:v>
      </x:c>
      <x:c r="F1952" t="str">
        <x:v>East</x:v>
      </x:c>
      <x:c r="G1952" t="str">
        <x:v>Apparel</x:v>
      </x:c>
      <x:c r="H1952" t="n">
        <x:v>2</x:v>
      </x:c>
      <x:c r="I1952" s="26" t="n">
        <x:v>2145.6</x:v>
      </x:c>
      <x:c r="J1952" s="26" t="n">
        <x:v>6082.2</x:v>
      </x:c>
      <x:c r="K1952" s="28" t="n">
        <x:v>0.1368</x:v>
      </x:c>
      <x:c r="L1952" s="26" t="n">
        <x:v>832.04</x:v>
      </x:c>
      <x:c r="M1952" t="n">
        <x:v>0</x:v>
      </x:c>
      <x:c r="N1952" s="26" t="n">
        <x:v>0</x:v>
      </x:c>
      <x:c r="O1952" s="26" t="n">
        <x:v>112.52</x:v>
      </x:c>
      <x:c r="P1952" s="26" t="n">
        <x:v>27.37</x:v>
      </x:c>
      <x:c r="Q1952" s="26" t="n">
        <x:v>51.7</x:v>
      </x:c>
      <x:c r="R1952" s="26" t="n">
        <x:v>63.86</x:v>
      </x:c>
      <x:c r="S1952" s="26" t="n">
        <x:v>576.59</x:v>
      </x:c>
    </x:row>
    <x:row r="1953">
      <x:c r="A1953" t="n">
        <x:v>501950</x:v>
      </x:c>
      <x:c r="B1953" s="24" t="n">
        <x:v>45993</x:v>
      </x:c>
      <x:c r="C1953" t="n">
        <x:v>1038</x:v>
      </x:c>
      <x:c r="D1953" t="str">
        <x:v>Seller 1038</x:v>
      </x:c>
      <x:c r="E1953" t="str">
        <x:v>Silver</x:v>
      </x:c>
      <x:c r="F1953" t="str">
        <x:v>South</x:v>
      </x:c>
      <x:c r="G1953" t="str">
        <x:v>Sports</x:v>
      </x:c>
      <x:c r="H1953" t="n">
        <x:v>1</x:v>
      </x:c>
      <x:c r="I1953" s="26" t="n">
        <x:v>4559.4</x:v>
      </x:c>
      <x:c r="J1953" s="26" t="n">
        <x:v>4945.2</x:v>
      </x:c>
      <x:c r="K1953" s="28" t="n">
        <x:v>0.1369</x:v>
      </x:c>
      <x:c r="L1953" s="26" t="n">
        <x:v>677</x:v>
      </x:c>
      <x:c r="M1953" t="n">
        <x:v>0</x:v>
      </x:c>
      <x:c r="N1953" s="26" t="n">
        <x:v>0</x:v>
      </x:c>
      <x:c r="O1953" s="26" t="n">
        <x:v>91.49</x:v>
      </x:c>
      <x:c r="P1953" s="26" t="n">
        <x:v>22.25</x:v>
      </x:c>
      <x:c r="Q1953" s="26" t="n">
        <x:v>42.03</x:v>
      </x:c>
      <x:c r="R1953" s="26" t="n">
        <x:v>51.92</x:v>
      </x:c>
      <x:c r="S1953" s="26" t="n">
        <x:v>469.3</x:v>
      </x:c>
    </x:row>
    <x:row r="1954">
      <x:c r="A1954" t="n">
        <x:v>501951</x:v>
      </x:c>
      <x:c r="B1954" s="24" t="n">
        <x:v>46001</x:v>
      </x:c>
      <x:c r="C1954" t="n">
        <x:v>1025</x:v>
      </x:c>
      <x:c r="D1954" t="str">
        <x:v>Seller 1025</x:v>
      </x:c>
      <x:c r="E1954" t="str">
        <x:v>Gold</x:v>
      </x:c>
      <x:c r="F1954" t="str">
        <x:v>Central</x:v>
      </x:c>
      <x:c r="G1954" t="str">
        <x:v>Pet Supplies</x:v>
      </x:c>
      <x:c r="H1954" t="n">
        <x:v>3</x:v>
      </x:c>
      <x:c r="I1954" s="26" t="n">
        <x:v>656.4</x:v>
      </x:c>
      <x:c r="J1954" s="26" t="n">
        <x:v>2791.2</x:v>
      </x:c>
      <x:c r="K1954" s="28" t="n">
        <x:v>0.1314</x:v>
      </x:c>
      <x:c r="L1954" s="26" t="n">
        <x:v>366.76</x:v>
      </x:c>
      <x:c r="M1954" t="n">
        <x:v>0</x:v>
      </x:c>
      <x:c r="N1954" s="26" t="n">
        <x:v>0</x:v>
      </x:c>
      <x:c r="O1954" s="26" t="n">
        <x:v>51.64</x:v>
      </x:c>
      <x:c r="P1954" s="26" t="n">
        <x:v>12.56</x:v>
      </x:c>
      <x:c r="Q1954" s="26" t="n">
        <x:v>23.73</x:v>
      </x:c>
      <x:c r="R1954" s="26" t="n">
        <x:v>29.31</x:v>
      </x:c>
      <x:c r="S1954" s="26" t="n">
        <x:v>249.53</x:v>
      </x:c>
    </x:row>
    <x:row r="1955">
      <x:c r="A1955" t="n">
        <x:v>501952</x:v>
      </x:c>
      <x:c r="B1955" s="24" t="n">
        <x:v>45992</x:v>
      </x:c>
      <x:c r="C1955" t="n">
        <x:v>1052</x:v>
      </x:c>
      <x:c r="D1955" t="str">
        <x:v>Seller 1052</x:v>
      </x:c>
      <x:c r="E1955" t="str">
        <x:v>Silver</x:v>
      </x:c>
      <x:c r="F1955" t="str">
        <x:v>Central</x:v>
      </x:c>
      <x:c r="G1955" t="str">
        <x:v>Pet Supplies</x:v>
      </x:c>
      <x:c r="H1955" t="n">
        <x:v>2</x:v>
      </x:c>
      <x:c r="I1955" s="26" t="n">
        <x:v>1539.6</x:v>
      </x:c>
      <x:c r="J1955" s="26" t="n">
        <x:v>3339.6</x:v>
      </x:c>
      <x:c r="K1955" s="28" t="n">
        <x:v>0.1409</x:v>
      </x:c>
      <x:c r="L1955" s="26" t="n">
        <x:v>470.55</x:v>
      </x:c>
      <x:c r="M1955" t="n">
        <x:v>0</x:v>
      </x:c>
      <x:c r="N1955" s="26" t="n">
        <x:v>0</x:v>
      </x:c>
      <x:c r="O1955" s="26" t="n">
        <x:v>61.78</x:v>
      </x:c>
      <x:c r="P1955" s="26" t="n">
        <x:v>15.03</x:v>
      </x:c>
      <x:c r="Q1955" s="26" t="n">
        <x:v>28.39</x:v>
      </x:c>
      <x:c r="R1955" s="26" t="n">
        <x:v>35.07</x:v>
      </x:c>
      <x:c r="S1955" s="26" t="n">
        <x:v>330.29</x:v>
      </x:c>
    </x:row>
    <x:row r="1956">
      <x:c r="A1956" t="n">
        <x:v>501953</x:v>
      </x:c>
      <x:c r="B1956" s="24" t="n">
        <x:v>45994</x:v>
      </x:c>
      <x:c r="C1956" t="n">
        <x:v>1051</x:v>
      </x:c>
      <x:c r="D1956" t="str">
        <x:v>Seller 1051</x:v>
      </x:c>
      <x:c r="E1956" t="str">
        <x:v>Silver</x:v>
      </x:c>
      <x:c r="F1956" t="str">
        <x:v>East</x:v>
      </x:c>
      <x:c r="G1956" t="str">
        <x:v>Sports</x:v>
      </x:c>
      <x:c r="H1956" t="n">
        <x:v>1</x:v>
      </x:c>
      <x:c r="I1956" s="26" t="n">
        <x:v>4660.8</x:v>
      </x:c>
      <x:c r="J1956" s="26" t="n">
        <x:v>5055.6</x:v>
      </x:c>
      <x:c r="K1956" s="28" t="n">
        <x:v>0.1434</x:v>
      </x:c>
      <x:c r="L1956" s="26" t="n">
        <x:v>724.97</x:v>
      </x:c>
      <x:c r="M1956" t="n">
        <x:v>0</x:v>
      </x:c>
      <x:c r="N1956" s="26" t="n">
        <x:v>0</x:v>
      </x:c>
      <x:c r="O1956" s="26" t="n">
        <x:v>93.53</x:v>
      </x:c>
      <x:c r="P1956" s="26" t="n">
        <x:v>22.75</x:v>
      </x:c>
      <x:c r="Q1956" s="26" t="n">
        <x:v>42.97</x:v>
      </x:c>
      <x:c r="R1956" s="26" t="n">
        <x:v>53.08</x:v>
      </x:c>
      <x:c r="S1956" s="26" t="n">
        <x:v>512.64</x:v>
      </x:c>
    </x:row>
    <x:row r="1957">
      <x:c r="A1957" t="n">
        <x:v>501954</x:v>
      </x:c>
      <x:c r="B1957" s="24" t="n">
        <x:v>46017</x:v>
      </x:c>
      <x:c r="C1957" t="n">
        <x:v>1040</x:v>
      </x:c>
      <x:c r="D1957" t="str">
        <x:v>Seller 1040</x:v>
      </x:c>
      <x:c r="E1957" t="str">
        <x:v>Silver</x:v>
      </x:c>
      <x:c r="F1957" t="str">
        <x:v>West</x:v>
      </x:c>
      <x:c r="G1957" t="str">
        <x:v>Pet Supplies</x:v>
      </x:c>
      <x:c r="H1957" t="n">
        <x:v>3</x:v>
      </x:c>
      <x:c r="I1957" s="26" t="n">
        <x:v>1033.8</x:v>
      </x:c>
      <x:c r="J1957" s="26" t="n">
        <x:v>3364.8</x:v>
      </x:c>
      <x:c r="K1957" s="28" t="n">
        <x:v>0.1406</x:v>
      </x:c>
      <x:c r="L1957" s="26" t="n">
        <x:v>473.09</x:v>
      </x:c>
      <x:c r="M1957" t="n">
        <x:v>0</x:v>
      </x:c>
      <x:c r="N1957" s="26" t="n">
        <x:v>0</x:v>
      </x:c>
      <x:c r="O1957" s="26" t="n">
        <x:v>62.25</x:v>
      </x:c>
      <x:c r="P1957" s="26" t="n">
        <x:v>15.14</x:v>
      </x:c>
      <x:c r="Q1957" s="26" t="n">
        <x:v>28.6</x:v>
      </x:c>
      <x:c r="R1957" s="26" t="n">
        <x:v>35.33</x:v>
      </x:c>
      <x:c r="S1957" s="26" t="n">
        <x:v>331.77</x:v>
      </x:c>
    </x:row>
    <x:row r="1958">
      <x:c r="A1958" t="n">
        <x:v>501955</x:v>
      </x:c>
      <x:c r="B1958" s="24" t="n">
        <x:v>45997</x:v>
      </x:c>
      <x:c r="C1958" t="n">
        <x:v>1047</x:v>
      </x:c>
      <x:c r="D1958" t="str">
        <x:v>Seller 1047</x:v>
      </x:c>
      <x:c r="E1958" t="str">
        <x:v>Silver</x:v>
      </x:c>
      <x:c r="F1958" t="str">
        <x:v>East</x:v>
      </x:c>
      <x:c r="G1958" t="str">
        <x:v>Sports</x:v>
      </x:c>
      <x:c r="H1958" t="n">
        <x:v>3</x:v>
      </x:c>
      <x:c r="I1958" s="26" t="n">
        <x:v>1257</x:v>
      </x:c>
      <x:c r="J1958" s="26" t="n">
        <x:v>4089.6</x:v>
      </x:c>
      <x:c r="K1958" s="28" t="n">
        <x:v>0.1378</x:v>
      </x:c>
      <x:c r="L1958" s="26" t="n">
        <x:v>563.55</x:v>
      </x:c>
      <x:c r="M1958" t="n">
        <x:v>1</x:v>
      </x:c>
      <x:c r="N1958" s="26" t="n">
        <x:v>3756</x:v>
      </x:c>
      <x:c r="O1958" s="26" t="n">
        <x:v>75.66</x:v>
      </x:c>
      <x:c r="P1958" s="26" t="n">
        <x:v>18.4</x:v>
      </x:c>
      <x:c r="Q1958" s="26" t="n">
        <x:v>34.76</x:v>
      </x:c>
      <x:c r="R1958" s="26" t="n">
        <x:v>42.94</x:v>
      </x:c>
      <x:c r="S1958" s="26" t="n">
        <x:v>316.66</x:v>
      </x:c>
    </x:row>
    <x:row r="1959">
      <x:c r="A1959" t="n">
        <x:v>501956</x:v>
      </x:c>
      <x:c r="B1959" s="24" t="n">
        <x:v>45998</x:v>
      </x:c>
      <x:c r="C1959" t="n">
        <x:v>1001</x:v>
      </x:c>
      <x:c r="D1959" t="str">
        <x:v>Seller 1001</x:v>
      </x:c>
      <x:c r="E1959" t="str">
        <x:v>Platinum</x:v>
      </x:c>
      <x:c r="F1959" t="str">
        <x:v>East</x:v>
      </x:c>
      <x:c r="G1959" t="str">
        <x:v>Apparel</x:v>
      </x:c>
      <x:c r="H1959" t="n">
        <x:v>2</x:v>
      </x:c>
      <x:c r="I1959" s="26" t="n">
        <x:v>1819.8</x:v>
      </x:c>
      <x:c r="J1959" s="26" t="n">
        <x:v>6954</x:v>
      </x:c>
      <x:c r="K1959" s="28" t="n">
        <x:v>0.1174</x:v>
      </x:c>
      <x:c r="L1959" s="26" t="n">
        <x:v>816.4</x:v>
      </x:c>
      <x:c r="M1959" t="n">
        <x:v>0</x:v>
      </x:c>
      <x:c r="N1959" s="26" t="n">
        <x:v>0</x:v>
      </x:c>
      <x:c r="O1959" s="26" t="n">
        <x:v>128.65</x:v>
      </x:c>
      <x:c r="P1959" s="26" t="n">
        <x:v>31.29</x:v>
      </x:c>
      <x:c r="Q1959" s="26" t="n">
        <x:v>59.11</x:v>
      </x:c>
      <x:c r="R1959" s="26" t="n">
        <x:v>73.02</x:v>
      </x:c>
      <x:c r="S1959" s="26" t="n">
        <x:v>524.33</x:v>
      </x:c>
    </x:row>
    <x:row r="1960">
      <x:c r="A1960" t="n">
        <x:v>501957</x:v>
      </x:c>
      <x:c r="B1960" s="24" t="n">
        <x:v>46001</x:v>
      </x:c>
      <x:c r="C1960" t="n">
        <x:v>1004</x:v>
      </x:c>
      <x:c r="D1960" t="str">
        <x:v>Seller 1004</x:v>
      </x:c>
      <x:c r="E1960" t="str">
        <x:v>Platinum</x:v>
      </x:c>
      <x:c r="F1960" t="str">
        <x:v>East</x:v>
      </x:c>
      <x:c r="G1960" t="str">
        <x:v>Sports</x:v>
      </x:c>
      <x:c r="H1960" t="n">
        <x:v>2</x:v>
      </x:c>
      <x:c r="I1960" s="26" t="n">
        <x:v>2112.6</x:v>
      </x:c>
      <x:c r="J1960" s="26" t="n">
        <x:v>8072.4</x:v>
      </x:c>
      <x:c r="K1960" s="28" t="n">
        <x:v>0.1362</x:v>
      </x:c>
      <x:c r="L1960" s="26" t="n">
        <x:v>1099.46</x:v>
      </x:c>
      <x:c r="M1960" t="n">
        <x:v>0</x:v>
      </x:c>
      <x:c r="N1960" s="26" t="n">
        <x:v>0</x:v>
      </x:c>
      <x:c r="O1960" s="26" t="n">
        <x:v>149.34</x:v>
      </x:c>
      <x:c r="P1960" s="26" t="n">
        <x:v>36.33</x:v>
      </x:c>
      <x:c r="Q1960" s="26" t="n">
        <x:v>68.62</x:v>
      </x:c>
      <x:c r="R1960" s="26" t="n">
        <x:v>84.76</x:v>
      </x:c>
      <x:c r="S1960" s="26" t="n">
        <x:v>760.42</x:v>
      </x:c>
    </x:row>
    <x:row r="1961">
      <x:c r="A1961" t="n">
        <x:v>501958</x:v>
      </x:c>
      <x:c r="B1961" s="24" t="n">
        <x:v>45994</x:v>
      </x:c>
      <x:c r="C1961" t="n">
        <x:v>1035</x:v>
      </x:c>
      <x:c r="D1961" t="str">
        <x:v>Seller 1035</x:v>
      </x:c>
      <x:c r="E1961" t="str">
        <x:v>Silver</x:v>
      </x:c>
      <x:c r="F1961" t="str">
        <x:v>East</x:v>
      </x:c>
      <x:c r="G1961" t="str">
        <x:v>Electronics</x:v>
      </x:c>
      <x:c r="H1961" t="n">
        <x:v>1</x:v>
      </x:c>
      <x:c r="I1961" s="26" t="n">
        <x:v>8416.2</x:v>
      </x:c>
      <x:c r="J1961" s="26" t="n">
        <x:v>9128.4</x:v>
      </x:c>
      <x:c r="K1961" s="28" t="n">
        <x:v>0.1273</x:v>
      </x:c>
      <x:c r="L1961" s="26" t="n">
        <x:v>1162.05</x:v>
      </x:c>
      <x:c r="M1961" t="n">
        <x:v>0</x:v>
      </x:c>
      <x:c r="N1961" s="26" t="n">
        <x:v>0</x:v>
      </x:c>
      <x:c r="O1961" s="26" t="n">
        <x:v>168.88</x:v>
      </x:c>
      <x:c r="P1961" s="26" t="n">
        <x:v>41.08</x:v>
      </x:c>
      <x:c r="Q1961" s="26" t="n">
        <x:v>77.59</x:v>
      </x:c>
      <x:c r="R1961" s="26" t="n">
        <x:v>95.85</x:v>
      </x:c>
      <x:c r="S1961" s="26" t="n">
        <x:v>778.65</x:v>
      </x:c>
    </x:row>
    <x:row r="1962">
      <x:c r="A1962" t="n">
        <x:v>501959</x:v>
      </x:c>
      <x:c r="B1962" s="24" t="n">
        <x:v>46013</x:v>
      </x:c>
      <x:c r="C1962" t="n">
        <x:v>1002</x:v>
      </x:c>
      <x:c r="D1962" t="str">
        <x:v>Seller 1002</x:v>
      </x:c>
      <x:c r="E1962" t="str">
        <x:v>Platinum</x:v>
      </x:c>
      <x:c r="F1962" t="str">
        <x:v>Central</x:v>
      </x:c>
      <x:c r="G1962" t="str">
        <x:v>Home &amp; Kitchen</x:v>
      </x:c>
      <x:c r="H1962" t="n">
        <x:v>2</x:v>
      </x:c>
      <x:c r="I1962" s="26" t="n">
        <x:v>2293.2</x:v>
      </x:c>
      <x:c r="J1962" s="26" t="n">
        <x:v>8761.8</x:v>
      </x:c>
      <x:c r="K1962" s="28" t="n">
        <x:v>0.1489</x:v>
      </x:c>
      <x:c r="L1962" s="26" t="n">
        <x:v>1304.63</x:v>
      </x:c>
      <x:c r="M1962" t="n">
        <x:v>0</x:v>
      </x:c>
      <x:c r="N1962" s="26" t="n">
        <x:v>0</x:v>
      </x:c>
      <x:c r="O1962" s="26" t="n">
        <x:v>162.09</x:v>
      </x:c>
      <x:c r="P1962" s="26" t="n">
        <x:v>39.43</x:v>
      </x:c>
      <x:c r="Q1962" s="26" t="n">
        <x:v>74.48</x:v>
      </x:c>
      <x:c r="R1962" s="26" t="n">
        <x:v>92</x:v>
      </x:c>
      <x:c r="S1962" s="26" t="n">
        <x:v>936.64</x:v>
      </x:c>
    </x:row>
    <x:row r="1963">
      <x:c r="A1963" t="n">
        <x:v>501960</x:v>
      </x:c>
      <x:c r="B1963" s="24" t="n">
        <x:v>46000</x:v>
      </x:c>
      <x:c r="C1963" t="n">
        <x:v>1068</x:v>
      </x:c>
      <x:c r="D1963" t="str">
        <x:v>Seller 1068</x:v>
      </x:c>
      <x:c r="E1963" t="str">
        <x:v>Bronze</x:v>
      </x:c>
      <x:c r="F1963" t="str">
        <x:v>South</x:v>
      </x:c>
      <x:c r="G1963" t="str">
        <x:v>Pet Supplies</x:v>
      </x:c>
      <x:c r="H1963" t="n">
        <x:v>1</x:v>
      </x:c>
      <x:c r="I1963" s="26" t="n">
        <x:v>3604.2</x:v>
      </x:c>
      <x:c r="J1963" s="26" t="n">
        <x:v>2754</x:v>
      </x:c>
      <x:c r="K1963" s="28" t="n">
        <x:v>0.1289</x:v>
      </x:c>
      <x:c r="L1963" s="26" t="n">
        <x:v>354.99</x:v>
      </x:c>
      <x:c r="M1963" t="n">
        <x:v>0</x:v>
      </x:c>
      <x:c r="N1963" s="26" t="n">
        <x:v>0</x:v>
      </x:c>
      <x:c r="O1963" s="26" t="n">
        <x:v>50.95</x:v>
      </x:c>
      <x:c r="P1963" s="26" t="n">
        <x:v>12.39</x:v>
      </x:c>
      <x:c r="Q1963" s="26" t="n">
        <x:v>23.41</x:v>
      </x:c>
      <x:c r="R1963" s="26" t="n">
        <x:v>28.92</x:v>
      </x:c>
      <x:c r="S1963" s="26" t="n">
        <x:v>239.32</x:v>
      </x:c>
    </x:row>
    <x:row r="1964">
      <x:c r="A1964" t="n">
        <x:v>501961</x:v>
      </x:c>
      <x:c r="B1964" s="24" t="n">
        <x:v>46015</x:v>
      </x:c>
      <x:c r="C1964" t="n">
        <x:v>1070</x:v>
      </x:c>
      <x:c r="D1964" t="str">
        <x:v>Seller 1070</x:v>
      </x:c>
      <x:c r="E1964" t="str">
        <x:v>Bronze</x:v>
      </x:c>
      <x:c r="F1964" t="str">
        <x:v>West</x:v>
      </x:c>
      <x:c r="G1964" t="str">
        <x:v>Electronics</x:v>
      </x:c>
      <x:c r="H1964" t="n">
        <x:v>1</x:v>
      </x:c>
      <x:c r="I1964" s="26" t="n">
        <x:v>8073.000000000001</x:v>
      </x:c>
      <x:c r="J1964" s="26" t="n">
        <x:v>6169.2</x:v>
      </x:c>
      <x:c r="K1964" s="28" t="n">
        <x:v>0.1394</x:v>
      </x:c>
      <x:c r="L1964" s="26" t="n">
        <x:v>859.99</x:v>
      </x:c>
      <x:c r="M1964" t="n">
        <x:v>0</x:v>
      </x:c>
      <x:c r="N1964" s="26" t="n">
        <x:v>0</x:v>
      </x:c>
      <x:c r="O1964" s="26" t="n">
        <x:v>114.13</x:v>
      </x:c>
      <x:c r="P1964" s="26" t="n">
        <x:v>27.76</x:v>
      </x:c>
      <x:c r="Q1964" s="26" t="n">
        <x:v>52.44</x:v>
      </x:c>
      <x:c r="R1964" s="26" t="n">
        <x:v>64.78</x:v>
      </x:c>
      <x:c r="S1964" s="26" t="n">
        <x:v>600.88</x:v>
      </x:c>
    </x:row>
    <x:row r="1965">
      <x:c r="A1965" t="n">
        <x:v>501962</x:v>
      </x:c>
      <x:c r="B1965" s="24" t="n">
        <x:v>46000</x:v>
      </x:c>
      <x:c r="C1965" t="n">
        <x:v>1004</x:v>
      </x:c>
      <x:c r="D1965" t="str">
        <x:v>Seller 1004</x:v>
      </x:c>
      <x:c r="E1965" t="str">
        <x:v>Platinum</x:v>
      </x:c>
      <x:c r="F1965" t="str">
        <x:v>East</x:v>
      </x:c>
      <x:c r="G1965" t="str">
        <x:v>Home &amp; Kitchen</x:v>
      </x:c>
      <x:c r="H1965" t="n">
        <x:v>1</x:v>
      </x:c>
      <x:c r="I1965" s="26" t="n">
        <x:v>4957.799999999999</x:v>
      </x:c>
      <x:c r="J1965" s="26" t="n">
        <x:v>9472.2</x:v>
      </x:c>
      <x:c r="K1965" s="28" t="n">
        <x:v>0.1292</x:v>
      </x:c>
      <x:c r="L1965" s="26" t="n">
        <x:v>1223.81</x:v>
      </x:c>
      <x:c r="M1965" t="n">
        <x:v>0</x:v>
      </x:c>
      <x:c r="N1965" s="26" t="n">
        <x:v>0</x:v>
      </x:c>
      <x:c r="O1965" s="26" t="n">
        <x:v>175.24</x:v>
      </x:c>
      <x:c r="P1965" s="26" t="n">
        <x:v>42.62</x:v>
      </x:c>
      <x:c r="Q1965" s="26" t="n">
        <x:v>80.51</x:v>
      </x:c>
      <x:c r="R1965" s="26" t="n">
        <x:v>99.46</x:v>
      </x:c>
      <x:c r="S1965" s="26" t="n">
        <x:v>825.98</x:v>
      </x:c>
    </x:row>
    <x:row r="1966">
      <x:c r="A1966" t="n">
        <x:v>501963</x:v>
      </x:c>
      <x:c r="B1966" s="24" t="n">
        <x:v>46009</x:v>
      </x:c>
      <x:c r="C1966" t="n">
        <x:v>1050</x:v>
      </x:c>
      <x:c r="D1966" t="str">
        <x:v>Seller 1050</x:v>
      </x:c>
      <x:c r="E1966" t="str">
        <x:v>Silver</x:v>
      </x:c>
      <x:c r="F1966" t="str">
        <x:v>East</x:v>
      </x:c>
      <x:c r="G1966" t="str">
        <x:v>Electronics</x:v>
      </x:c>
      <x:c r="H1966" t="n">
        <x:v>4</x:v>
      </x:c>
      <x:c r="I1966" s="26" t="n">
        <x:v>2622.6</x:v>
      </x:c>
      <x:c r="J1966" s="26" t="n">
        <x:v>11379</x:v>
      </x:c>
      <x:c r="K1966" s="28" t="n">
        <x:v>0.1373</x:v>
      </x:c>
      <x:c r="L1966" s="26" t="n">
        <x:v>1562.34</x:v>
      </x:c>
      <x:c r="M1966" t="n">
        <x:v>0</x:v>
      </x:c>
      <x:c r="N1966" s="26" t="n">
        <x:v>0</x:v>
      </x:c>
      <x:c r="O1966" s="26" t="n">
        <x:v>210.51</x:v>
      </x:c>
      <x:c r="P1966" s="26" t="n">
        <x:v>51.21</x:v>
      </x:c>
      <x:c r="Q1966" s="26" t="n">
        <x:v>96.72</x:v>
      </x:c>
      <x:c r="R1966" s="26" t="n">
        <x:v>119.48</x:v>
      </x:c>
      <x:c r="S1966" s="26" t="n">
        <x:v>1084.42</x:v>
      </x:c>
    </x:row>
    <x:row r="1967">
      <x:c r="A1967" t="n">
        <x:v>501964</x:v>
      </x:c>
      <x:c r="B1967" s="24" t="n">
        <x:v>45989</x:v>
      </x:c>
      <x:c r="C1967" t="n">
        <x:v>1025</x:v>
      </x:c>
      <x:c r="D1967" t="str">
        <x:v>Seller 1025</x:v>
      </x:c>
      <x:c r="E1967" t="str">
        <x:v>Gold</x:v>
      </x:c>
      <x:c r="F1967" t="str">
        <x:v>Central</x:v>
      </x:c>
      <x:c r="G1967" t="str">
        <x:v>Beauty</x:v>
      </x:c>
      <x:c r="H1967" t="n">
        <x:v>3</x:v>
      </x:c>
      <x:c r="I1967" s="26" t="n">
        <x:v>528</x:v>
      </x:c>
      <x:c r="J1967" s="26" t="n">
        <x:v>2245.2</x:v>
      </x:c>
      <x:c r="K1967" s="28" t="n">
        <x:v>0.1396</x:v>
      </x:c>
      <x:c r="L1967" s="26" t="n">
        <x:v>313.43</x:v>
      </x:c>
      <x:c r="M1967" t="n">
        <x:v>0</x:v>
      </x:c>
      <x:c r="N1967" s="26" t="n">
        <x:v>0</x:v>
      </x:c>
      <x:c r="O1967" s="26" t="n">
        <x:v>41.54</x:v>
      </x:c>
      <x:c r="P1967" s="26" t="n">
        <x:v>10.1</x:v>
      </x:c>
      <x:c r="Q1967" s="26" t="n">
        <x:v>19.08</x:v>
      </x:c>
      <x:c r="R1967" s="26" t="n">
        <x:v>23.57</x:v>
      </x:c>
      <x:c r="S1967" s="26" t="n">
        <x:v>219.13</x:v>
      </x:c>
    </x:row>
    <x:row r="1968">
      <x:c r="A1968" t="n">
        <x:v>501965</x:v>
      </x:c>
      <x:c r="B1968" s="24" t="n">
        <x:v>46001</x:v>
      </x:c>
      <x:c r="C1968" t="n">
        <x:v>1079</x:v>
      </x:c>
      <x:c r="D1968" t="str">
        <x:v>Seller 1079</x:v>
      </x:c>
      <x:c r="E1968" t="str">
        <x:v>Bronze</x:v>
      </x:c>
      <x:c r="F1968" t="str">
        <x:v>South</x:v>
      </x:c>
      <x:c r="G1968" t="str">
        <x:v>Beauty</x:v>
      </x:c>
      <x:c r="H1968" t="n">
        <x:v>3</x:v>
      </x:c>
      <x:c r="I1968" s="26" t="n">
        <x:v>1023.5999999999999</x:v>
      </x:c>
      <x:c r="J1968" s="26" t="n">
        <x:v>2346.6</x:v>
      </x:c>
      <x:c r="K1968" s="28" t="n">
        <x:v>0.1408</x:v>
      </x:c>
      <x:c r="L1968" s="26" t="n">
        <x:v>330.4</x:v>
      </x:c>
      <x:c r="M1968" t="n">
        <x:v>0</x:v>
      </x:c>
      <x:c r="N1968" s="26" t="n">
        <x:v>0</x:v>
      </x:c>
      <x:c r="O1968" s="26" t="n">
        <x:v>43.41</x:v>
      </x:c>
      <x:c r="P1968" s="26" t="n">
        <x:v>10.56</x:v>
      </x:c>
      <x:c r="Q1968" s="26" t="n">
        <x:v>19.95</x:v>
      </x:c>
      <x:c r="R1968" s="26" t="n">
        <x:v>24.64</x:v>
      </x:c>
      <x:c r="S1968" s="26" t="n">
        <x:v>231.84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9eb57234ccc845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8" customHeight="1">
      <x:c r="A1" s="4" t="str">
        <x:v>Monthly Marketplace P&amp;L | FY 2025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1" t="str">
        <x:v>Metric</x:v>
      </x:c>
      <x:c r="B3" s="11" t="str">
        <x:v>Jan</x:v>
      </x:c>
      <x:c r="C3" s="11" t="str">
        <x:v>Feb</x:v>
      </x:c>
      <x:c r="D3" s="11" t="str">
        <x:v>Mar</x:v>
      </x:c>
      <x:c r="E3" s="11" t="str">
        <x:v>Apr</x:v>
      </x:c>
      <x:c r="F3" s="11" t="str">
        <x:v>May</x:v>
      </x:c>
      <x:c r="G3" s="11" t="str">
        <x:v>Jun</x:v>
      </x:c>
      <x:c r="H3" s="11" t="str">
        <x:v>Jul</x:v>
      </x:c>
      <x:c r="I3" s="11" t="str">
        <x:v>Aug</x:v>
      </x:c>
      <x:c r="J3" s="11" t="str">
        <x:v>Sep</x:v>
      </x:c>
      <x:c r="K3" s="11" t="str">
        <x:v>Oct</x:v>
      </x:c>
      <x:c r="L3" s="11" t="str">
        <x:v>Nov</x:v>
      </x:c>
      <x:c r="M3" s="11" t="str">
        <x:v>Dec</x:v>
      </x:c>
      <x:c r="N3" s="11" t="str">
        <x:v>FY Total</x:v>
      </x:c>
      <x:c r="O3" s="11" t="str">
        <x:v>Margin / Rate</x:v>
      </x:c>
    </x:row>
    <x:row r="4">
      <x:c r="A4" t="str">
        <x:v>GMV</x:v>
      </x:c>
      <x:c r="B4" s="30" t="n">
        <x:f>SUMIFS('Raw Orders'!$J:$J,'Raw Orders'!$B:$B,"&gt;="&amp;DATE(2025,1,1),'Raw Orders'!$B:$B,"&lt;"&amp;DATE(2025,2,1))</x:f>
        <x:v>795710.4</x:v>
      </x:c>
      <x:c r="C4" s="30" t="n">
        <x:f>SUMIFS('Raw Orders'!$J:$J,'Raw Orders'!$B:$B,"&gt;="&amp;DATE(2025,2,1),'Raw Orders'!$B:$B,"&lt;"&amp;DATE(2025,3,1))</x:f>
        <x:v>742040.3999999884</x:v>
      </x:c>
      <x:c r="D4" s="30" t="n">
        <x:f>SUMIFS('Raw Orders'!$J:$J,'Raw Orders'!$B:$B,"&gt;="&amp;DATE(2025,3,1),'Raw Orders'!$B:$B,"&lt;"&amp;DATE(2025,4,1))</x:f>
        <x:v>820100.9999999885</x:v>
      </x:c>
      <x:c r="E4" s="30" t="n">
        <x:f>SUMIFS('Raw Orders'!$J:$J,'Raw Orders'!$B:$B,"&gt;="&amp;DATE(2025,4,1),'Raw Orders'!$B:$B,"&lt;"&amp;DATE(2025,5,1))</x:f>
        <x:v>752749.1999999884</x:v>
      </x:c>
      <x:c r="F4" s="30" t="n">
        <x:f>SUMIFS('Raw Orders'!$J:$J,'Raw Orders'!$B:$B,"&gt;="&amp;DATE(2025,5,1),'Raw Orders'!$B:$B,"&lt;"&amp;DATE(2025,6,1))</x:f>
        <x:v>737146.7999999884</x:v>
      </x:c>
      <x:c r="G4" s="30" t="n">
        <x:f>SUMIFS('Raw Orders'!$J:$J,'Raw Orders'!$B:$B,"&gt;="&amp;DATE(2025,6,1),'Raw Orders'!$B:$B,"&lt;"&amp;DATE(2025,7,1))</x:f>
        <x:v>642228</x:v>
      </x:c>
      <x:c r="H4" s="30" t="n">
        <x:f>SUMIFS('Raw Orders'!$J:$J,'Raw Orders'!$B:$B,"&gt;="&amp;DATE(2025,7,1),'Raw Orders'!$B:$B,"&lt;"&amp;DATE(2025,8,1))</x:f>
        <x:v>745078.2</x:v>
      </x:c>
      <x:c r="I4" s="30" t="n">
        <x:f>SUMIFS('Raw Orders'!$J:$J,'Raw Orders'!$B:$B,"&gt;="&amp;DATE(2025,8,1),'Raw Orders'!$B:$B,"&lt;"&amp;DATE(2025,9,1))</x:f>
        <x:v>807136.2</x:v>
      </x:c>
      <x:c r="J4" s="30" t="n">
        <x:f>SUMIFS('Raw Orders'!$J:$J,'Raw Orders'!$B:$B,"&gt;="&amp;DATE(2025,9,1),'Raw Orders'!$B:$B,"&lt;"&amp;DATE(2025,10,1))</x:f>
        <x:v>795304.7999999884</x:v>
      </x:c>
      <x:c r="K4" s="30" t="n">
        <x:f>SUMIFS('Raw Orders'!$J:$J,'Raw Orders'!$B:$B,"&gt;="&amp;DATE(2025,10,1),'Raw Orders'!$B:$B,"&lt;"&amp;DATE(2025,11,1))</x:f>
        <x:v>1231233</x:v>
      </x:c>
      <x:c r="L4" s="30" t="n">
        <x:f>SUMIFS('Raw Orders'!$J:$J,'Raw Orders'!$B:$B,"&gt;="&amp;DATE(2025,11,1),'Raw Orders'!$B:$B,"&lt;"&amp;DATE(2025,12,1))</x:f>
        <x:v>1229479.2</x:v>
      </x:c>
      <x:c r="M4" s="30" t="n">
        <x:f>SUMIFS('Raw Orders'!$J:$J,'Raw Orders'!$B:$B,"&gt;="&amp;DATE(2025,12,1),'Raw Orders'!$B:$B,"&lt;"&amp;DATE(2026,1,1))</x:f>
        <x:v>922116.6</x:v>
      </x:c>
      <x:c r="N4" s="30" t="n">
        <x:f>SUM(B4:M4)</x:f>
        <x:v>10220323.799999999</x:v>
      </x:c>
      <x:c r="O4" s="28" t="n">
        <x:f>IFERROR(N5/N4,0)</x:f>
        <x:v>0.13049516493792496</x:v>
      </x:c>
    </x:row>
    <x:row r="5">
      <x:c r="A5" t="str">
        <x:v>Marketplace Revenue</x:v>
      </x:c>
      <x:c r="B5" s="30" t="n">
        <x:f>SUMIFS('Raw Orders'!$L:$L,'Raw Orders'!$B:$B,"&gt;="&amp;DATE(2025,1,1),'Raw Orders'!$B:$B,"&lt;"&amp;DATE(2025,2,1))</x:f>
        <x:v>102966.37</x:v>
      </x:c>
      <x:c r="C5" s="30" t="n">
        <x:f>SUMIFS('Raw Orders'!$L:$L,'Raw Orders'!$B:$B,"&gt;="&amp;DATE(2025,2,1),'Raw Orders'!$B:$B,"&lt;"&amp;DATE(2025,3,1))</x:f>
        <x:v>95638.8</x:v>
      </x:c>
      <x:c r="D5" s="30" t="n">
        <x:f>SUMIFS('Raw Orders'!$L:$L,'Raw Orders'!$B:$B,"&gt;="&amp;DATE(2025,3,1),'Raw Orders'!$B:$B,"&lt;"&amp;DATE(2025,4,1))</x:f>
        <x:v>106397.36999998843</x:v>
      </x:c>
      <x:c r="E5" s="30" t="n">
        <x:f>SUMIFS('Raw Orders'!$L:$L,'Raw Orders'!$B:$B,"&gt;="&amp;DATE(2025,4,1),'Raw Orders'!$B:$B,"&lt;"&amp;DATE(2025,5,1))</x:f>
        <x:v>97031.73</x:v>
      </x:c>
      <x:c r="F5" s="30" t="n">
        <x:f>SUMIFS('Raw Orders'!$L:$L,'Raw Orders'!$B:$B,"&gt;="&amp;DATE(2025,5,1),'Raw Orders'!$B:$B,"&lt;"&amp;DATE(2025,6,1))</x:f>
        <x:v>95479.19999998843</x:v>
      </x:c>
      <x:c r="G5" s="30" t="n">
        <x:f>SUMIFS('Raw Orders'!$L:$L,'Raw Orders'!$B:$B,"&gt;="&amp;DATE(2025,6,1),'Raw Orders'!$B:$B,"&lt;"&amp;DATE(2025,7,1))</x:f>
        <x:v>83127.28</x:v>
      </x:c>
      <x:c r="H5" s="30" t="n">
        <x:f>SUMIFS('Raw Orders'!$L:$L,'Raw Orders'!$B:$B,"&gt;="&amp;DATE(2025,7,1),'Raw Orders'!$B:$B,"&lt;"&amp;DATE(2025,8,1))</x:f>
        <x:v>96099.73999998842</x:v>
      </x:c>
      <x:c r="I5" s="30" t="n">
        <x:f>SUMIFS('Raw Orders'!$L:$L,'Raw Orders'!$B:$B,"&gt;="&amp;DATE(2025,8,1),'Raw Orders'!$B:$B,"&lt;"&amp;DATE(2025,9,1))</x:f>
        <x:v>104439.79</x:v>
      </x:c>
      <x:c r="J5" s="30" t="n">
        <x:f>SUMIFS('Raw Orders'!$L:$L,'Raw Orders'!$B:$B,"&gt;="&amp;DATE(2025,9,1),'Raw Orders'!$B:$B,"&lt;"&amp;DATE(2025,10,1))</x:f>
        <x:v>101830.31999998842</x:v>
      </x:c>
      <x:c r="K5" s="30" t="n">
        <x:f>SUMIFS('Raw Orders'!$L:$L,'Raw Orders'!$B:$B,"&gt;="&amp;DATE(2025,10,1),'Raw Orders'!$B:$B,"&lt;"&amp;DATE(2025,11,1))</x:f>
        <x:v>159499.91</x:v>
      </x:c>
      <x:c r="L5" s="30" t="n">
        <x:f>SUMIFS('Raw Orders'!$L:$L,'Raw Orders'!$B:$B,"&gt;="&amp;DATE(2025,11,1),'Raw Orders'!$B:$B,"&lt;"&amp;DATE(2025,12,1))</x:f>
        <x:v>166141.41999998843</x:v>
      </x:c>
      <x:c r="M5" s="30" t="n">
        <x:f>SUMIFS('Raw Orders'!$L:$L,'Raw Orders'!$B:$B,"&gt;="&amp;DATE(2025,12,1),'Raw Orders'!$B:$B,"&lt;"&amp;DATE(2026,1,1))</x:f>
        <x:v>125050.90999998842</x:v>
      </x:c>
      <x:c r="N5" s="30" t="n">
        <x:f>SUM(B5:M5)</x:f>
        <x:v>1333702.8399999999</x:v>
      </x:c>
      <x:c r="O5" s="28" t="n">
        <x:f>IFERROR(N5/N4,0)</x:f>
        <x:v>0.13049516493792496</x:v>
      </x:c>
    </x:row>
    <x:row r="6">
      <x:c r="A6" t="str">
        <x:v>Refund Amount</x:v>
      </x:c>
      <x:c r="B6" s="30" t="n">
        <x:f>SUMIFS('Raw Orders'!$N:$N,'Raw Orders'!$B:$B,"&gt;="&amp;DATE(2025,1,1),'Raw Orders'!$B:$B,"&lt;"&amp;DATE(2025,2,1))</x:f>
        <x:v>27387</x:v>
      </x:c>
      <x:c r="C6" s="30" t="n">
        <x:f>SUMIFS('Raw Orders'!$N:$N,'Raw Orders'!$B:$B,"&gt;="&amp;DATE(2025,2,1),'Raw Orders'!$B:$B,"&lt;"&amp;DATE(2025,3,1))</x:f>
        <x:v>35104.19999998843</x:v>
      </x:c>
      <x:c r="D6" s="30" t="n">
        <x:f>SUMIFS('Raw Orders'!$N:$N,'Raw Orders'!$B:$B,"&gt;="&amp;DATE(2025,3,1),'Raw Orders'!$B:$B,"&lt;"&amp;DATE(2025,4,1))</x:f>
        <x:v>44100</x:v>
      </x:c>
      <x:c r="E6" s="30" t="n">
        <x:f>SUMIFS('Raw Orders'!$N:$N,'Raw Orders'!$B:$B,"&gt;="&amp;DATE(2025,4,1),'Raw Orders'!$B:$B,"&lt;"&amp;DATE(2025,5,1))</x:f>
        <x:v>46650</x:v>
      </x:c>
      <x:c r="F6" s="30" t="n">
        <x:f>SUMIFS('Raw Orders'!$N:$N,'Raw Orders'!$B:$B,"&gt;="&amp;DATE(2025,5,1),'Raw Orders'!$B:$B,"&lt;"&amp;DATE(2025,6,1))</x:f>
        <x:v>48755.4</x:v>
      </x:c>
      <x:c r="G6" s="30" t="n">
        <x:f>SUMIFS('Raw Orders'!$N:$N,'Raw Orders'!$B:$B,"&gt;="&amp;DATE(2025,6,1),'Raw Orders'!$B:$B,"&lt;"&amp;DATE(2025,7,1))</x:f>
        <x:v>28943.4</x:v>
      </x:c>
      <x:c r="H6" s="30" t="n">
        <x:f>SUMIFS('Raw Orders'!$N:$N,'Raw Orders'!$B:$B,"&gt;="&amp;DATE(2025,7,1),'Raw Orders'!$B:$B,"&lt;"&amp;DATE(2025,8,1))</x:f>
        <x:v>25262.400000011574</x:v>
      </x:c>
      <x:c r="I6" s="30" t="n">
        <x:f>SUMIFS('Raw Orders'!$N:$N,'Raw Orders'!$B:$B,"&gt;="&amp;DATE(2025,8,1),'Raw Orders'!$B:$B,"&lt;"&amp;DATE(2025,9,1))</x:f>
        <x:v>26456.4</x:v>
      </x:c>
      <x:c r="J6" s="30" t="n">
        <x:f>SUMIFS('Raw Orders'!$N:$N,'Raw Orders'!$B:$B,"&gt;="&amp;DATE(2025,9,1),'Raw Orders'!$B:$B,"&lt;"&amp;DATE(2025,10,1))</x:f>
        <x:v>33233.4</x:v>
      </x:c>
      <x:c r="K6" s="30" t="n">
        <x:f>SUMIFS('Raw Orders'!$N:$N,'Raw Orders'!$B:$B,"&gt;="&amp;DATE(2025,10,1),'Raw Orders'!$B:$B,"&lt;"&amp;DATE(2025,11,1))</x:f>
        <x:v>39936.6</x:v>
      </x:c>
      <x:c r="L6" s="30" t="n">
        <x:f>SUMIFS('Raw Orders'!$N:$N,'Raw Orders'!$B:$B,"&gt;="&amp;DATE(2025,11,1),'Raw Orders'!$B:$B,"&lt;"&amp;DATE(2025,12,1))</x:f>
        <x:v>33534</x:v>
      </x:c>
      <x:c r="M6" s="30" t="n">
        <x:f>SUMIFS('Raw Orders'!$N:$N,'Raw Orders'!$B:$B,"&gt;="&amp;DATE(2025,12,1),'Raw Orders'!$B:$B,"&lt;"&amp;DATE(2026,1,1))</x:f>
        <x:v>50784.6</x:v>
      </x:c>
      <x:c r="N6" s="30" t="n">
        <x:f>SUM(B6:M6)</x:f>
        <x:v>440147.4</x:v>
      </x:c>
      <x:c r="O6" s="28" t="n">
        <x:f>IFERROR(N6/N4,0)</x:f>
        <x:v>0.04306589581829101</x:v>
      </x:c>
    </x:row>
    <x:row r="7">
      <x:c r="A7" t="str">
        <x:v>Net Revenue</x:v>
      </x:c>
      <x:c r="B7" s="30" t="n">
        <x:f>B5-B6*3.5%</x:f>
        <x:v>102007.82500000001</x:v>
      </x:c>
      <x:c r="C7" s="30" t="n">
        <x:f>C5-C6*3.5%</x:f>
        <x:v>94410.15300000002</x:v>
      </x:c>
      <x:c r="D7" s="30" t="n">
        <x:f>D5-D6*3.5%</x:f>
        <x:v>104853.86999999997</x:v>
      </x:c>
      <x:c r="E7" s="30" t="n">
        <x:f>E5-E6*3.5%</x:f>
        <x:v>95398.98000000001</x:v>
      </x:c>
      <x:c r="F7" s="30" t="n">
        <x:f>F5-F6*3.5%</x:f>
        <x:v>93772.76099999997</x:v>
      </x:c>
      <x:c r="G7" s="30" t="n">
        <x:f>G5-G6*3.5%</x:f>
        <x:v>82114.26100000003</x:v>
      </x:c>
      <x:c r="H7" s="30" t="n">
        <x:f>H5-H6*3.5%</x:f>
        <x:v>95215.55599999995</x:v>
      </x:c>
      <x:c r="I7" s="30" t="n">
        <x:f>I5-I6*3.5%</x:f>
        <x:v>103513.81599999999</x:v>
      </x:c>
      <x:c r="J7" s="30" t="n">
        <x:f>J5-J6*3.5%</x:f>
        <x:v>100667.15099999988</x:v>
      </x:c>
      <x:c r="K7" s="30" t="n">
        <x:f>K5-K6*3.5%</x:f>
        <x:v>158102.12900000007</x:v>
      </x:c>
      <x:c r="L7" s="30" t="n">
        <x:f>L5-L6*3.5%</x:f>
        <x:v>164967.72999999998</x:v>
      </x:c>
      <x:c r="M7" s="30" t="n">
        <x:f>M5-M6*3.5%</x:f>
        <x:v>123273.44899999994</x:v>
      </x:c>
      <x:c r="N7" s="30" t="n">
        <x:f>SUM(B7:M7)</x:f>
        <x:v>1318297.6809999999</x:v>
      </x:c>
      <x:c r="O7" s="28" t="n">
        <x:f>IFERROR(N7/N4,0)</x:f>
        <x:v>0.12898785858428477</x:v>
      </x:c>
    </x:row>
    <x:row r="8">
      <x:c r="A8" t="str">
        <x:v>Payment Fees</x:v>
      </x:c>
      <x:c r="B8" s="30" t="n">
        <x:f>SUMIFS('Raw Orders'!$O:$O,'Raw Orders'!$B:$B,"&gt;="&amp;DATE(2025,1,1),'Raw Orders'!$B:$B,"&lt;"&amp;DATE(2025,2,1))</x:f>
        <x:v>14720.65</x:v>
      </x:c>
      <x:c r="C8" s="30" t="n">
        <x:f>SUMIFS('Raw Orders'!$O:$O,'Raw Orders'!$B:$B,"&gt;="&amp;DATE(2025,2,1),'Raw Orders'!$B:$B,"&lt;"&amp;DATE(2025,3,1))</x:f>
        <x:v>13727.660000011574</x:v>
      </x:c>
      <x:c r="D8" s="30" t="n">
        <x:f>SUMIFS('Raw Orders'!$O:$O,'Raw Orders'!$B:$B,"&gt;="&amp;DATE(2025,3,1),'Raw Orders'!$B:$B,"&lt;"&amp;DATE(2025,4,1))</x:f>
        <x:v>15171.89</x:v>
      </x:c>
      <x:c r="E8" s="30" t="n">
        <x:f>SUMIFS('Raw Orders'!$O:$O,'Raw Orders'!$B:$B,"&gt;="&amp;DATE(2025,4,1),'Raw Orders'!$B:$B,"&lt;"&amp;DATE(2025,5,1))</x:f>
        <x:v>13925.86</x:v>
      </x:c>
      <x:c r="F8" s="30" t="n">
        <x:f>SUMIFS('Raw Orders'!$O:$O,'Raw Orders'!$B:$B,"&gt;="&amp;DATE(2025,5,1),'Raw Orders'!$B:$B,"&lt;"&amp;DATE(2025,6,1))</x:f>
        <x:v>13637.190000011575</x:v>
      </x:c>
      <x:c r="G8" s="30" t="n">
        <x:f>SUMIFS('Raw Orders'!$O:$O,'Raw Orders'!$B:$B,"&gt;="&amp;DATE(2025,6,1),'Raw Orders'!$B:$B,"&lt;"&amp;DATE(2025,7,1))</x:f>
        <x:v>11881.23</x:v>
      </x:c>
      <x:c r="H8" s="30" t="n">
        <x:f>SUMIFS('Raw Orders'!$O:$O,'Raw Orders'!$B:$B,"&gt;="&amp;DATE(2025,7,1),'Raw Orders'!$B:$B,"&lt;"&amp;DATE(2025,8,1))</x:f>
        <x:v>13783.94</x:v>
      </x:c>
      <x:c r="I8" s="30" t="n">
        <x:f>SUMIFS('Raw Orders'!$O:$O,'Raw Orders'!$B:$B,"&gt;="&amp;DATE(2025,8,1),'Raw Orders'!$B:$B,"&lt;"&amp;DATE(2025,9,1))</x:f>
        <x:v>14932.090000011574</x:v>
      </x:c>
      <x:c r="J8" s="30" t="n">
        <x:f>SUMIFS('Raw Orders'!$O:$O,'Raw Orders'!$B:$B,"&gt;="&amp;DATE(2025,9,1),'Raw Orders'!$B:$B,"&lt;"&amp;DATE(2025,10,1))</x:f>
        <x:v>14713.13</x:v>
      </x:c>
      <x:c r="K8" s="30" t="n">
        <x:f>SUMIFS('Raw Orders'!$O:$O,'Raw Orders'!$B:$B,"&gt;="&amp;DATE(2025,10,1),'Raw Orders'!$B:$B,"&lt;"&amp;DATE(2025,11,1))</x:f>
        <x:v>22777.860000011573</x:v>
      </x:c>
      <x:c r="L8" s="30" t="n">
        <x:f>SUMIFS('Raw Orders'!$O:$O,'Raw Orders'!$B:$B,"&gt;="&amp;DATE(2025,11,1),'Raw Orders'!$B:$B,"&lt;"&amp;DATE(2025,12,1))</x:f>
        <x:v>22745.35</x:v>
      </x:c>
      <x:c r="M8" s="30" t="n">
        <x:f>SUMIFS('Raw Orders'!$O:$O,'Raw Orders'!$B:$B,"&gt;="&amp;DATE(2025,12,1),'Raw Orders'!$B:$B,"&lt;"&amp;DATE(2026,1,1))</x:f>
        <x:v>17059.13</x:v>
      </x:c>
      <x:c r="N8" s="30" t="n">
        <x:f>SUM(B8:M8)</x:f>
        <x:v>189075.98000000004</x:v>
      </x:c>
    </x:row>
    <x:row r="9">
      <x:c r="A9" t="str">
        <x:v>Support Cost</x:v>
      </x:c>
      <x:c r="B9" s="30" t="n">
        <x:f>SUMIFS('Raw Orders'!$P:$P,'Raw Orders'!$B:$B,"&gt;="&amp;DATE(2025,1,1),'Raw Orders'!$B:$B,"&lt;"&amp;DATE(2025,2,1))</x:f>
        <x:v>3580.7</x:v>
      </x:c>
      <x:c r="C9" s="30" t="n">
        <x:f>SUMIFS('Raw Orders'!$P:$P,'Raw Orders'!$B:$B,"&gt;="&amp;DATE(2025,2,1),'Raw Orders'!$B:$B,"&lt;"&amp;DATE(2025,3,1))</x:f>
        <x:v>3339.15</x:v>
      </x:c>
      <x:c r="D9" s="30" t="n">
        <x:f>SUMIFS('Raw Orders'!$P:$P,'Raw Orders'!$B:$B,"&gt;="&amp;DATE(2025,3,1),'Raw Orders'!$B:$B,"&lt;"&amp;DATE(2025,4,1))</x:f>
        <x:v>3690.4</x:v>
      </x:c>
      <x:c r="E9" s="30" t="n">
        <x:f>SUMIFS('Raw Orders'!$P:$P,'Raw Orders'!$B:$B,"&gt;="&amp;DATE(2025,4,1),'Raw Orders'!$B:$B,"&lt;"&amp;DATE(2025,5,1))</x:f>
        <x:v>3387.34</x:v>
      </x:c>
      <x:c r="F9" s="30" t="n">
        <x:f>SUMIFS('Raw Orders'!$P:$P,'Raw Orders'!$B:$B,"&gt;="&amp;DATE(2025,5,1),'Raw Orders'!$B:$B,"&lt;"&amp;DATE(2025,6,1))</x:f>
        <x:v>3317.1</x:v>
      </x:c>
      <x:c r="G9" s="30" t="n">
        <x:f>SUMIFS('Raw Orders'!$P:$P,'Raw Orders'!$B:$B,"&gt;="&amp;DATE(2025,6,1),'Raw Orders'!$B:$B,"&lt;"&amp;DATE(2025,7,1))</x:f>
        <x:v>2890.03</x:v>
      </x:c>
      <x:c r="H9" s="30" t="n">
        <x:f>SUMIFS('Raw Orders'!$P:$P,'Raw Orders'!$B:$B,"&gt;="&amp;DATE(2025,7,1),'Raw Orders'!$B:$B,"&lt;"&amp;DATE(2025,8,1))</x:f>
        <x:v>3352.83</x:v>
      </x:c>
      <x:c r="I9" s="30" t="n">
        <x:f>SUMIFS('Raw Orders'!$P:$P,'Raw Orders'!$B:$B,"&gt;="&amp;DATE(2025,8,1),'Raw Orders'!$B:$B,"&lt;"&amp;DATE(2025,9,1))</x:f>
        <x:v>3632.080000011574</x:v>
      </x:c>
      <x:c r="J9" s="30" t="n">
        <x:f>SUMIFS('Raw Orders'!$P:$P,'Raw Orders'!$B:$B,"&gt;="&amp;DATE(2025,9,1),'Raw Orders'!$B:$B,"&lt;"&amp;DATE(2025,10,1))</x:f>
        <x:v>3578.89</x:v>
      </x:c>
      <x:c r="K9" s="30" t="n">
        <x:f>SUMIFS('Raw Orders'!$P:$P,'Raw Orders'!$B:$B,"&gt;="&amp;DATE(2025,10,1),'Raw Orders'!$B:$B,"&lt;"&amp;DATE(2025,11,1))</x:f>
        <x:v>5540.47</x:v>
      </x:c>
      <x:c r="L9" s="30" t="n">
        <x:f>SUMIFS('Raw Orders'!$P:$P,'Raw Orders'!$B:$B,"&gt;="&amp;DATE(2025,11,1),'Raw Orders'!$B:$B,"&lt;"&amp;DATE(2025,12,1))</x:f>
        <x:v>5532.6</x:v>
      </x:c>
      <x:c r="M9" s="30" t="n">
        <x:f>SUMIFS('Raw Orders'!$P:$P,'Raw Orders'!$B:$B,"&gt;="&amp;DATE(2025,12,1),'Raw Orders'!$B:$B,"&lt;"&amp;DATE(2026,1,1))</x:f>
        <x:v>4149.49</x:v>
      </x:c>
      <x:c r="N9" s="30" t="n">
        <x:f>SUM(B9:M9)</x:f>
        <x:v>45991.07999999998</x:v>
      </x:c>
    </x:row>
    <x:row r="10">
      <x:c r="A10" t="str">
        <x:v>Fulfillment Cost</x:v>
      </x:c>
      <x:c r="B10" s="30" t="n">
        <x:f>SUMIFS('Raw Orders'!$Q:$Q,'Raw Orders'!$B:$B,"&gt;="&amp;DATE(2025,1,1),'Raw Orders'!$B:$B,"&lt;"&amp;DATE(2025,2,1))</x:f>
        <x:v>6763.57</x:v>
      </x:c>
      <x:c r="C10" s="30" t="n">
        <x:f>SUMIFS('Raw Orders'!$Q:$Q,'Raw Orders'!$B:$B,"&gt;="&amp;DATE(2025,2,1),'Raw Orders'!$B:$B,"&lt;"&amp;DATE(2025,3,1))</x:f>
        <x:v>6307.390000011574</x:v>
      </x:c>
      <x:c r="D10" s="30" t="n">
        <x:f>SUMIFS('Raw Orders'!$Q:$Q,'Raw Orders'!$B:$B,"&gt;="&amp;DATE(2025,3,1),'Raw Orders'!$B:$B,"&lt;"&amp;DATE(2025,4,1))</x:f>
        <x:v>6970.84</x:v>
      </x:c>
      <x:c r="E10" s="30" t="n">
        <x:f>SUMIFS('Raw Orders'!$Q:$Q,'Raw Orders'!$B:$B,"&gt;="&amp;DATE(2025,4,1),'Raw Orders'!$B:$B,"&lt;"&amp;DATE(2025,5,1))</x:f>
        <x:v>6398.4</x:v>
      </x:c>
      <x:c r="F10" s="30" t="n">
        <x:f>SUMIFS('Raw Orders'!$Q:$Q,'Raw Orders'!$B:$B,"&gt;="&amp;DATE(2025,5,1),'Raw Orders'!$B:$B,"&lt;"&amp;DATE(2025,6,1))</x:f>
        <x:v>6265.78</x:v>
      </x:c>
      <x:c r="G10" s="30" t="n">
        <x:f>SUMIFS('Raw Orders'!$Q:$Q,'Raw Orders'!$B:$B,"&gt;="&amp;DATE(2025,6,1),'Raw Orders'!$B:$B,"&lt;"&amp;DATE(2025,7,1))</x:f>
        <x:v>5458.99</x:v>
      </x:c>
      <x:c r="H10" s="30" t="n">
        <x:f>SUMIFS('Raw Orders'!$Q:$Q,'Raw Orders'!$B:$B,"&gt;="&amp;DATE(2025,7,1),'Raw Orders'!$B:$B,"&lt;"&amp;DATE(2025,8,1))</x:f>
        <x:v>6333.070000011574</x:v>
      </x:c>
      <x:c r="I10" s="30" t="n">
        <x:f>SUMIFS('Raw Orders'!$Q:$Q,'Raw Orders'!$B:$B,"&gt;="&amp;DATE(2025,8,1),'Raw Orders'!$B:$B,"&lt;"&amp;DATE(2025,9,1))</x:f>
        <x:v>6860.65</x:v>
      </x:c>
      <x:c r="J10" s="30" t="n">
        <x:f>SUMIFS('Raw Orders'!$Q:$Q,'Raw Orders'!$B:$B,"&gt;="&amp;DATE(2025,9,1),'Raw Orders'!$B:$B,"&lt;"&amp;DATE(2025,10,1))</x:f>
        <x:v>6760.09</x:v>
      </x:c>
      <x:c r="K10" s="30" t="n">
        <x:f>SUMIFS('Raw Orders'!$Q:$Q,'Raw Orders'!$B:$B,"&gt;="&amp;DATE(2025,10,1),'Raw Orders'!$B:$B,"&lt;"&amp;DATE(2025,11,1))</x:f>
        <x:v>10465.58</x:v>
      </x:c>
      <x:c r="L10" s="30" t="n">
        <x:f>SUMIFS('Raw Orders'!$Q:$Q,'Raw Orders'!$B:$B,"&gt;="&amp;DATE(2025,11,1),'Raw Orders'!$B:$B,"&lt;"&amp;DATE(2025,12,1))</x:f>
        <x:v>10450.56</x:v>
      </x:c>
      <x:c r="M10" s="30" t="n">
        <x:f>SUMIFS('Raw Orders'!$Q:$Q,'Raw Orders'!$B:$B,"&gt;="&amp;DATE(2025,12,1),'Raw Orders'!$B:$B,"&lt;"&amp;DATE(2026,1,1))</x:f>
        <x:v>7837.96</x:v>
      </x:c>
      <x:c r="N10" s="30" t="n">
        <x:f>SUM(B10:M10)</x:f>
        <x:v>86872.88</x:v>
      </x:c>
    </x:row>
    <x:row r="11">
      <x:c r="A11" t="str">
        <x:v>Promo Cost</x:v>
      </x:c>
      <x:c r="B11" s="30" t="n">
        <x:f>SUMIFS('Raw Orders'!$R:$R,'Raw Orders'!$B:$B,"&gt;="&amp;DATE(2025,1,1),'Raw Orders'!$B:$B,"&lt;"&amp;DATE(2025,2,1))</x:f>
        <x:v>8354.98</x:v>
      </x:c>
      <x:c r="C11" s="30" t="n">
        <x:f>SUMIFS('Raw Orders'!$R:$R,'Raw Orders'!$B:$B,"&gt;="&amp;DATE(2025,2,1),'Raw Orders'!$B:$B,"&lt;"&amp;DATE(2025,3,1))</x:f>
        <x:v>7791.43</x:v>
      </x:c>
      <x:c r="D11" s="30" t="n">
        <x:f>SUMIFS('Raw Orders'!$R:$R,'Raw Orders'!$B:$B,"&gt;="&amp;DATE(2025,3,1),'Raw Orders'!$B:$B,"&lt;"&amp;DATE(2025,4,1))</x:f>
        <x:v>8611.04</x:v>
      </x:c>
      <x:c r="E11" s="30" t="n">
        <x:f>SUMIFS('Raw Orders'!$R:$R,'Raw Orders'!$B:$B,"&gt;="&amp;DATE(2025,4,1),'Raw Orders'!$B:$B,"&lt;"&amp;DATE(2025,5,1))</x:f>
        <x:v>7903.87</x:v>
      </x:c>
      <x:c r="F11" s="30" t="n">
        <x:f>SUMIFS('Raw Orders'!$R:$R,'Raw Orders'!$B:$B,"&gt;="&amp;DATE(2025,5,1),'Raw Orders'!$B:$B,"&lt;"&amp;DATE(2025,6,1))</x:f>
        <x:v>7740.04</x:v>
      </x:c>
      <x:c r="G11" s="30" t="n">
        <x:f>SUMIFS('Raw Orders'!$R:$R,'Raw Orders'!$B:$B,"&gt;="&amp;DATE(2025,6,1),'Raw Orders'!$B:$B,"&lt;"&amp;DATE(2025,7,1))</x:f>
        <x:v>6743.42</x:v>
      </x:c>
      <x:c r="H11" s="30" t="n">
        <x:f>SUMIFS('Raw Orders'!$R:$R,'Raw Orders'!$B:$B,"&gt;="&amp;DATE(2025,7,1),'Raw Orders'!$B:$B,"&lt;"&amp;DATE(2025,8,1))</x:f>
        <x:v>7823.28</x:v>
      </x:c>
      <x:c r="I11" s="30" t="n">
        <x:f>SUMIFS('Raw Orders'!$R:$R,'Raw Orders'!$B:$B,"&gt;="&amp;DATE(2025,8,1),'Raw Orders'!$B:$B,"&lt;"&amp;DATE(2025,9,1))</x:f>
        <x:v>8474.91</x:v>
      </x:c>
      <x:c r="J11" s="30" t="n">
        <x:f>SUMIFS('Raw Orders'!$R:$R,'Raw Orders'!$B:$B,"&gt;="&amp;DATE(2025,9,1),'Raw Orders'!$B:$B,"&lt;"&amp;DATE(2025,10,1))</x:f>
        <x:v>8350.69</x:v>
      </x:c>
      <x:c r="K11" s="30" t="n">
        <x:f>SUMIFS('Raw Orders'!$R:$R,'Raw Orders'!$B:$B,"&gt;="&amp;DATE(2025,10,1),'Raw Orders'!$B:$B,"&lt;"&amp;DATE(2025,11,1))</x:f>
        <x:v>12927.91</x:v>
      </x:c>
      <x:c r="L11" s="30" t="n">
        <x:f>SUMIFS('Raw Orders'!$R:$R,'Raw Orders'!$B:$B,"&gt;="&amp;DATE(2025,11,1),'Raw Orders'!$B:$B,"&lt;"&amp;DATE(2025,12,1))</x:f>
        <x:v>12909.490000011574</x:v>
      </x:c>
      <x:c r="M11" s="30" t="n">
        <x:f>SUMIFS('Raw Orders'!$R:$R,'Raw Orders'!$B:$B,"&gt;="&amp;DATE(2025,12,1),'Raw Orders'!$B:$B,"&lt;"&amp;DATE(2026,1,1))</x:f>
        <x:v>9682.24</x:v>
      </x:c>
      <x:c r="N11" s="30" t="n">
        <x:f>SUM(B11:M11)</x:f>
        <x:v>107313.29999999999</x:v>
      </x:c>
    </x:row>
    <x:row r="12">
      <x:c r="A12" s="32" t="str">
        <x:v>Contribution Margin</x:v>
      </x:c>
      <x:c r="B12" s="33" t="n">
        <x:f>SUMIFS('Raw Orders'!$S:$S,'Raw Orders'!$B:$B,"&gt;="&amp;DATE(2025,1,1),'Raw Orders'!$B:$B,"&lt;"&amp;DATE(2025,2,1))</x:f>
        <x:v>68998.65</x:v>
      </x:c>
      <x:c r="C12" s="33" t="n">
        <x:f>SUMIFS('Raw Orders'!$S:$S,'Raw Orders'!$B:$B,"&gt;="&amp;DATE(2025,2,1),'Raw Orders'!$B:$B,"&lt;"&amp;DATE(2025,3,1))</x:f>
        <x:v>63770.99</x:v>
      </x:c>
      <x:c r="D12" s="33" t="n">
        <x:f>SUMIFS('Raw Orders'!$S:$S,'Raw Orders'!$B:$B,"&gt;="&amp;DATE(2025,3,1),'Raw Orders'!$B:$B,"&lt;"&amp;DATE(2025,4,1))</x:f>
        <x:v>71071.22</x:v>
      </x:c>
      <x:c r="E12" s="33" t="n">
        <x:f>SUMIFS('Raw Orders'!$S:$S,'Raw Orders'!$B:$B,"&gt;="&amp;DATE(2025,4,1),'Raw Orders'!$B:$B,"&lt;"&amp;DATE(2025,5,1))</x:f>
        <x:v>64483.23</x:v>
      </x:c>
      <x:c r="F12" s="33" t="n">
        <x:f>SUMIFS('Raw Orders'!$S:$S,'Raw Orders'!$B:$B,"&gt;="&amp;DATE(2025,5,1),'Raw Orders'!$B:$B,"&lt;"&amp;DATE(2025,6,1))</x:f>
        <x:v>63543.93</x:v>
      </x:c>
      <x:c r="G12" s="33" t="n">
        <x:f>SUMIFS('Raw Orders'!$S:$S,'Raw Orders'!$B:$B,"&gt;="&amp;DATE(2025,6,1),'Raw Orders'!$B:$B,"&lt;"&amp;DATE(2025,7,1))</x:f>
        <x:v>55574.899999988425</x:v>
      </x:c>
      <x:c r="H12" s="33" t="n">
        <x:f>SUMIFS('Raw Orders'!$S:$S,'Raw Orders'!$B:$B,"&gt;="&amp;DATE(2025,7,1),'Raw Orders'!$B:$B,"&lt;"&amp;DATE(2025,8,1))</x:f>
        <x:v>64301.24</x:v>
      </x:c>
      <x:c r="I12" s="33" t="n">
        <x:f>SUMIFS('Raw Orders'!$S:$S,'Raw Orders'!$B:$B,"&gt;="&amp;DATE(2025,8,1),'Raw Orders'!$B:$B,"&lt;"&amp;DATE(2025,9,1))</x:f>
        <x:v>70010.92</x:v>
      </x:c>
      <x:c r="J12" s="33" t="n">
        <x:f>SUMIFS('Raw Orders'!$S:$S,'Raw Orders'!$B:$B,"&gt;="&amp;DATE(2025,9,1),'Raw Orders'!$B:$B,"&lt;"&amp;DATE(2025,10,1))</x:f>
        <x:v>67762.77</x:v>
      </x:c>
      <x:c r="K12" s="33" t="n">
        <x:f>SUMIFS('Raw Orders'!$S:$S,'Raw Orders'!$B:$B,"&gt;="&amp;DATE(2025,10,1),'Raw Orders'!$B:$B,"&lt;"&amp;DATE(2025,11,1))</x:f>
        <x:v>106989.46</x:v>
      </x:c>
      <x:c r="L12" s="33" t="n">
        <x:f>SUMIFS('Raw Orders'!$S:$S,'Raw Orders'!$B:$B,"&gt;="&amp;DATE(2025,11,1),'Raw Orders'!$B:$B,"&lt;"&amp;DATE(2025,12,1))</x:f>
        <x:v>113832.61</x:v>
      </x:c>
      <x:c r="M12" s="33" t="n">
        <x:f>SUMIFS('Raw Orders'!$S:$S,'Raw Orders'!$B:$B,"&gt;="&amp;DATE(2025,12,1),'Raw Orders'!$B:$B,"&lt;"&amp;DATE(2026,1,1))</x:f>
        <x:v>85306.31</x:v>
      </x:c>
      <x:c r="N12" s="33" t="n">
        <x:f>SUM(B12:M12)</x:f>
        <x:v>895646.2300000001</x:v>
      </x:c>
      <x:c r="O12" s="34" t="n">
        <x:f>IFERROR(N12/N5,0)</x:f>
        <x:v>0.6715485662458365</x:v>
      </x:c>
    </x:row>
    <x:row r="13">
      <x:c r="A13" s="32" t="str">
        <x:v>Fixed Platform Cost</x:v>
      </x:c>
      <x:c r="B13" s="33" t="n">
        <x:f>Assumptions!$B$10/12</x:f>
        <x:v>35000</x:v>
      </x:c>
      <x:c r="C13" s="33" t="n">
        <x:f>Assumptions!$B$10/12</x:f>
        <x:v>35000</x:v>
      </x:c>
      <x:c r="D13" s="33" t="n">
        <x:f>Assumptions!$B$10/12</x:f>
        <x:v>35000</x:v>
      </x:c>
      <x:c r="E13" s="33" t="n">
        <x:f>Assumptions!$B$10/12</x:f>
        <x:v>35000</x:v>
      </x:c>
      <x:c r="F13" s="33" t="n">
        <x:f>Assumptions!$B$10/12</x:f>
        <x:v>35000</x:v>
      </x:c>
      <x:c r="G13" s="33" t="n">
        <x:f>Assumptions!$B$10/12</x:f>
        <x:v>35000</x:v>
      </x:c>
      <x:c r="H13" s="33" t="n">
        <x:f>Assumptions!$B$10/12</x:f>
        <x:v>35000</x:v>
      </x:c>
      <x:c r="I13" s="33" t="n">
        <x:f>Assumptions!$B$10/12</x:f>
        <x:v>35000</x:v>
      </x:c>
      <x:c r="J13" s="33" t="n">
        <x:f>Assumptions!$B$10/12</x:f>
        <x:v>35000</x:v>
      </x:c>
      <x:c r="K13" s="33" t="n">
        <x:f>Assumptions!$B$10/12</x:f>
        <x:v>35000</x:v>
      </x:c>
      <x:c r="L13" s="33" t="n">
        <x:f>Assumptions!$B$10/12</x:f>
        <x:v>35000</x:v>
      </x:c>
      <x:c r="M13" s="33" t="n">
        <x:f>Assumptions!$B$10/12</x:f>
        <x:v>35000</x:v>
      </x:c>
      <x:c r="N13" s="33" t="n">
        <x:f>SUM(B13:M13)</x:f>
        <x:v>420000</x:v>
      </x:c>
      <x:c r="O13" s="34"/>
    </x:row>
    <x:row r="14">
      <x:c r="A14" s="32" t="str">
        <x:v>Operating Profit</x:v>
      </x:c>
      <x:c r="B14" s="33" t="n">
        <x:f>B12-B13</x:f>
        <x:v>33998.649999999994</x:v>
      </x:c>
      <x:c r="C14" s="33" t="n">
        <x:f>C12-C13</x:f>
        <x:v>28770.989999999998</x:v>
      </x:c>
      <x:c r="D14" s="33" t="n">
        <x:f>D12-D13</x:f>
        <x:v>36071.22</x:v>
      </x:c>
      <x:c r="E14" s="33" t="n">
        <x:f>E12-E13</x:f>
        <x:v>29483.230000000003</x:v>
      </x:c>
      <x:c r="F14" s="33" t="n">
        <x:f>F12-F13</x:f>
        <x:v>28543.93</x:v>
      </x:c>
      <x:c r="G14" s="33" t="n">
        <x:f>G12-G13</x:f>
        <x:v>20574.899999988425</x:v>
      </x:c>
      <x:c r="H14" s="33" t="n">
        <x:f>H12-H13</x:f>
        <x:v>29301.239999999998</x:v>
      </x:c>
      <x:c r="I14" s="33" t="n">
        <x:f>I12-I13</x:f>
        <x:v>35010.92</x:v>
      </x:c>
      <x:c r="J14" s="33" t="n">
        <x:f>J12-J13</x:f>
        <x:v>32762.770000000004</x:v>
      </x:c>
      <x:c r="K14" s="33" t="n">
        <x:f>K12-K13</x:f>
        <x:v>71989.46</x:v>
      </x:c>
      <x:c r="L14" s="33" t="n">
        <x:f>L12-L13</x:f>
        <x:v>78832.61</x:v>
      </x:c>
      <x:c r="M14" s="33" t="n">
        <x:f>M12-M13</x:f>
        <x:v>50306.31</x:v>
      </x:c>
      <x:c r="N14" s="33" t="n">
        <x:f>SUM(B14:M14)</x:f>
        <x:v>475646.2299999884</x:v>
      </x:c>
      <x:c r="O14" s="34" t="n">
        <x:f>IFERROR(N14/N5,0)</x:f>
        <x:v>0.35663583801020354</x:v>
      </x:c>
    </x:row>
    <x:row r="15">
      <x:c r="A15" t="str">
        <x:v>Contribution Margin %</x:v>
      </x:c>
      <x:c r="B15" s="28" t="n">
        <x:f>IFERROR(B12/B5,0)</x:f>
        <x:v>0.6701085995359457</x:v>
      </x:c>
      <x:c r="C15" s="28" t="n">
        <x:f>IFERROR(C12/C5,0)</x:f>
        <x:v>0.6667899429938476</x:v>
      </x:c>
      <x:c r="D15" s="28" t="n">
        <x:f>IFERROR(D12/D5,0)</x:f>
        <x:v>0.6679791051226176</x:v>
      </x:c>
      <x:c r="E15" s="28" t="n">
        <x:f>IFERROR(E12/E5,0)</x:f>
        <x:v>0.6645581811228141</x:v>
      </x:c>
      <x:c r="F15" s="28" t="n">
        <x:f>IFERROR(F12/F5,0)</x:f>
        <x:v>0.6655264183193829</x:v>
      </x:c>
      <x:c r="G15" s="28" t="n">
        <x:f>IFERROR(G12/G5,0)</x:f>
        <x:v>0.6685518881406914</x:v>
      </x:c>
      <x:c r="H15" s="28" t="n">
        <x:f>IFERROR(H12/H5,0)</x:f>
        <x:v>0.6691094065394978</x:v>
      </x:c>
      <x:c r="I15" s="28" t="n">
        <x:f>IFERROR(I12/I5,0)</x:f>
        <x:v>0.6703471923871163</x:v>
      </x:c>
      <x:c r="J15" s="28" t="n">
        <x:f>IFERROR(J12/J5,0)</x:f>
        <x:v>0.6654478744641095</x:v>
      </x:c>
      <x:c r="K15" s="28" t="n">
        <x:f>IFERROR(K12/K5,0)</x:f>
        <x:v>0.6707806919765659</x:v>
      </x:c>
      <x:c r="L15" s="28" t="n">
        <x:f>IFERROR(L12/L5,0)</x:f>
        <x:v>0.6851549120020763</x:v>
      </x:c>
      <x:c r="M15" s="28" t="n">
        <x:f>IFERROR(M12/M5,0)</x:f>
        <x:v>0.6821726447252568</x:v>
      </x:c>
      <x:c r="N15" s="28" t="n">
        <x:f>IFERROR(N12/N5,0)</x:f>
        <x:v>0.6715485662458365</x:v>
      </x:c>
      <x:c r="O15" s="28" t="n">
        <x:f>N15</x:f>
        <x:v>0.6715485662458365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8" hidden="0" customWidth="1"/>
  </x:cols>
  <x:sheetData>
    <x:row r="1" ht="28" customHeight="1">
      <x:c r="A1" s="4" t="str">
        <x:v>Seller Performance Scorecard | Top 25 by GMV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Seller</x:v>
      </x:c>
      <x:c r="B3" s="11" t="str">
        <x:v>Tier</x:v>
      </x:c>
      <x:c r="C3" s="11" t="str">
        <x:v>GMV</x:v>
      </x:c>
      <x:c r="D3" s="11" t="str">
        <x:v>Marketplace Revenue</x:v>
      </x:c>
      <x:c r="E3" s="11" t="str">
        <x:v>Refund Rate</x:v>
      </x:c>
      <x:c r="F3" s="11" t="str">
        <x:v>Contribution Margin</x:v>
      </x:c>
      <x:c r="G3" s="11" t="str">
        <x:v>CM %</x:v>
      </x:c>
      <x:c r="H3" s="11" t="str">
        <x:v>Orders</x:v>
      </x:c>
      <x:c r="I3" s="11" t="str">
        <x:v>Performance Flag</x:v>
      </x:c>
      <x:c r="J3" s="11" t="str">
        <x:v>Recommended Action</x:v>
      </x:c>
    </x:row>
    <x:row r="4">
      <x:c r="A4" t="str">
        <x:v>Seller 1001</x:v>
      </x:c>
      <x:c r="B4" t="str">
        <x:v>Platinum</x:v>
      </x:c>
      <x:c r="C4" s="30" t="n">
        <x:v>5666.44</x:v>
      </x:c>
      <x:c r="D4" s="30" t="n">
        <x:v>715.41</x:v>
      </x:c>
      <x:c r="E4" s="28" t="n">
        <x:v>0.07692307692307693</x:v>
      </x:c>
      <x:c r="F4" s="30" t="n">
        <x:v>194.86</x:v>
      </x:c>
      <x:c r="G4" s="28" t="n">
        <x:v>0.27237528130722255</x:v>
      </x:c>
      <x:c r="H4" t="n">
        <x:v>26</x:v>
      </x:c>
      <x:c r="I4" t="str">
        <x:v>Risk</x:v>
      </x:c>
      <x:c r="J4" t="str">
        <x:v>Investigate returns / economics</x:v>
      </x:c>
    </x:row>
    <x:row r="5">
      <x:c r="A5" t="str">
        <x:v>Seller 1011</x:v>
      </x:c>
      <x:c r="B5" t="str">
        <x:v>Platinum</x:v>
      </x:c>
      <x:c r="C5" s="30" t="n">
        <x:v>5327.97</x:v>
      </x:c>
      <x:c r="D5" s="30" t="n">
        <x:v>673.85</x:v>
      </x:c>
      <x:c r="E5" s="28" t="n">
        <x:v>0.08695652173913043</x:v>
      </x:c>
      <x:c r="F5" s="30" t="n">
        <x:v>214.35</x:v>
      </x:c>
      <x:c r="G5" s="28" t="n">
        <x:v>0.31809749944349613</x:v>
      </x:c>
      <x:c r="H5" t="n">
        <x:v>23</x:v>
      </x:c>
      <x:c r="I5" t="str">
        <x:v>Risk</x:v>
      </x:c>
      <x:c r="J5" t="str">
        <x:v>Investigate returns / economics</x:v>
      </x:c>
    </x:row>
    <x:row r="6">
      <x:c r="A6" t="str">
        <x:v>Seller 1008</x:v>
      </x:c>
      <x:c r="B6" t="str">
        <x:v>Platinum</x:v>
      </x:c>
      <x:c r="C6" s="30" t="n">
        <x:v>5262.31</x:v>
      </x:c>
      <x:c r="D6" s="30" t="n">
        <x:v>676.48</x:v>
      </x:c>
      <x:c r="E6" s="28" t="n">
        <x:v>0.043478260869565216</x:v>
      </x:c>
      <x:c r="F6" s="30" t="n">
        <x:v>211.01</x:v>
      </x:c>
      <x:c r="G6" s="28" t="n">
        <x:v>0.31192348628193</x:v>
      </x:c>
      <x:c r="H6" t="n">
        <x:v>23</x:v>
      </x:c>
      <x:c r="I6" t="str">
        <x:v>Risk</x:v>
      </x:c>
      <x:c r="J6" t="str">
        <x:v>Investigate returns / economics</x:v>
      </x:c>
    </x:row>
    <x:row r="7">
      <x:c r="A7" t="str">
        <x:v>Seller 1005</x:v>
      </x:c>
      <x:c r="B7" t="str">
        <x:v>Platinum</x:v>
      </x:c>
      <x:c r="C7" s="30" t="n">
        <x:v>5131.81</x:v>
      </x:c>
      <x:c r="D7" s="30" t="n">
        <x:v>633.21</x:v>
      </x:c>
      <x:c r="E7" s="28" t="n">
        <x:v>0.04</x:v>
      </x:c>
      <x:c r="F7" s="30" t="n">
        <x:v>173.55</x:v>
      </x:c>
      <x:c r="G7" s="28" t="n">
        <x:v>0.2740796892026343</x:v>
      </x:c>
      <x:c r="H7" t="n">
        <x:v>25</x:v>
      </x:c>
      <x:c r="I7" t="str">
        <x:v>Risk</x:v>
      </x:c>
      <x:c r="J7" t="str">
        <x:v>Investigate returns / economics</x:v>
      </x:c>
    </x:row>
    <x:row r="8">
      <x:c r="A8" t="str">
        <x:v>Seller 1013</x:v>
      </x:c>
      <x:c r="B8" t="str">
        <x:v>Gold</x:v>
      </x:c>
      <x:c r="C8" s="30" t="n">
        <x:v>4351.73</x:v>
      </x:c>
      <x:c r="D8" s="30" t="n">
        <x:v>549.76</x:v>
      </x:c>
      <x:c r="E8" s="28" t="n">
        <x:v>0.037037037037037035</x:v>
      </x:c>
      <x:c r="F8" s="30" t="n">
        <x:v>121.77</x:v>
      </x:c>
      <x:c r="G8" s="28" t="n">
        <x:v>0.22149665308498256</x:v>
      </x:c>
      <x:c r="H8" t="n">
        <x:v>27</x:v>
      </x:c>
      <x:c r="I8" t="str">
        <x:v>Risk</x:v>
      </x:c>
      <x:c r="J8" t="str">
        <x:v>Investigate returns / economics</x:v>
      </x:c>
    </x:row>
    <x:row r="9">
      <x:c r="A9" t="str">
        <x:v>Seller 1010</x:v>
      </x:c>
      <x:c r="B9" t="str">
        <x:v>Platinum</x:v>
      </x:c>
      <x:c r="C9" s="30" t="n">
        <x:v>4333.26</x:v>
      </x:c>
      <x:c r="D9" s="30" t="n">
        <x:v>583.22</x:v>
      </x:c>
      <x:c r="E9" s="28" t="n">
        <x:v>0.0625</x:v>
      </x:c>
      <x:c r="F9" s="30" t="n">
        <x:v>159.51</x:v>
      </x:c>
      <x:c r="G9" s="28" t="n">
        <x:v>0.2734988512053771</x:v>
      </x:c>
      <x:c r="H9" t="n">
        <x:v>32</x:v>
      </x:c>
      <x:c r="I9" t="str">
        <x:v>Risk</x:v>
      </x:c>
      <x:c r="J9" t="str">
        <x:v>Investigate returns / economics</x:v>
      </x:c>
    </x:row>
    <x:row r="10">
      <x:c r="A10" t="str">
        <x:v>Seller 1002</x:v>
      </x:c>
      <x:c r="B10" t="str">
        <x:v>Platinum</x:v>
      </x:c>
      <x:c r="C10" s="30" t="n">
        <x:v>3943.78</x:v>
      </x:c>
      <x:c r="D10" s="30" t="n">
        <x:v>534.32</x:v>
      </x:c>
      <x:c r="E10" s="28" t="n">
        <x:v>0.03333333333333333</x:v>
      </x:c>
      <x:c r="F10" s="30" t="n">
        <x:v>140.23</x:v>
      </x:c>
      <x:c r="G10" s="28" t="n">
        <x:v>0.2624457254079952</x:v>
      </x:c>
      <x:c r="H10" t="n">
        <x:v>30</x:v>
      </x:c>
      <x:c r="I10" t="str">
        <x:v>Risk</x:v>
      </x:c>
      <x:c r="J10" t="str">
        <x:v>Investigate returns / economics</x:v>
      </x:c>
    </x:row>
    <x:row r="11">
      <x:c r="A11" t="str">
        <x:v>Seller 1017</x:v>
      </x:c>
      <x:c r="B11" t="str">
        <x:v>Gold</x:v>
      </x:c>
      <x:c r="C11" s="30" t="n">
        <x:v>3900.78</x:v>
      </x:c>
      <x:c r="D11" s="30" t="n">
        <x:v>490.87</x:v>
      </x:c>
      <x:c r="E11" s="28" t="n">
        <x:v>0.08333333333333333</x:v>
      </x:c>
      <x:c r="F11" s="30" t="n">
        <x:v>108.77</x:v>
      </x:c>
      <x:c r="G11" s="28" t="n">
        <x:v>0.22158616334263653</x:v>
      </x:c>
      <x:c r="H11" t="n">
        <x:v>24</x:v>
      </x:c>
      <x:c r="I11" t="str">
        <x:v>Risk</x:v>
      </x:c>
      <x:c r="J11" t="str">
        <x:v>Investigate returns / economics</x:v>
      </x:c>
    </x:row>
    <x:row r="12">
      <x:c r="A12" t="str">
        <x:v>Seller 1048</x:v>
      </x:c>
      <x:c r="B12" t="str">
        <x:v>Silver</x:v>
      </x:c>
      <x:c r="C12" s="30" t="n">
        <x:v>3668.43</x:v>
      </x:c>
      <x:c r="D12" s="30" t="n">
        <x:v>464.68</x:v>
      </x:c>
      <x:c r="E12" s="28" t="n">
        <x:v>0</x:v>
      </x:c>
      <x:c r="F12" s="30" t="n">
        <x:v>81.04</x:v>
      </x:c>
      <x:c r="G12" s="28" t="n">
        <x:v>0.17439958681243004</x:v>
      </x:c>
      <x:c r="H12" t="n">
        <x:v>26</x:v>
      </x:c>
      <x:c r="I12" t="str">
        <x:v>Risk</x:v>
      </x:c>
      <x:c r="J12" t="str">
        <x:v>Investigate returns / economics</x:v>
      </x:c>
    </x:row>
    <x:row r="13">
      <x:c r="A13" t="str">
        <x:v>Seller 1006</x:v>
      </x:c>
      <x:c r="B13" t="str">
        <x:v>Platinum</x:v>
      </x:c>
      <x:c r="C13" s="30" t="n">
        <x:v>3343.67</x:v>
      </x:c>
      <x:c r="D13" s="30" t="n">
        <x:v>437.81</x:v>
      </x:c>
      <x:c r="E13" s="28" t="n">
        <x:v>0.07692307692307693</x:v>
      </x:c>
      <x:c r="F13" s="30" t="n">
        <x:v>103.01</x:v>
      </x:c>
      <x:c r="G13" s="28" t="n">
        <x:v>0.23528471254653835</x:v>
      </x:c>
      <x:c r="H13" t="n">
        <x:v>26</x:v>
      </x:c>
      <x:c r="I13" t="str">
        <x:v>Risk</x:v>
      </x:c>
      <x:c r="J13" t="str">
        <x:v>Investigate returns / economics</x:v>
      </x:c>
    </x:row>
    <x:row r="14">
      <x:c r="A14" t="str">
        <x:v>Seller 1007</x:v>
      </x:c>
      <x:c r="B14" t="str">
        <x:v>Platinum</x:v>
      </x:c>
      <x:c r="C14" s="30" t="n">
        <x:v>3154.35</x:v>
      </x:c>
      <x:c r="D14" s="30" t="n">
        <x:v>422.96</x:v>
      </x:c>
      <x:c r="E14" s="28" t="n">
        <x:v>0.08333333333333333</x:v>
      </x:c>
      <x:c r="F14" s="30" t="n">
        <x:v>105.53</x:v>
      </x:c>
      <x:c r="G14" s="28" t="n">
        <x:v>0.24950349914885558</x:v>
      </x:c>
      <x:c r="H14" t="n">
        <x:v>24</x:v>
      </x:c>
      <x:c r="I14" t="str">
        <x:v>Risk</x:v>
      </x:c>
      <x:c r="J14" t="str">
        <x:v>Investigate returns / economics</x:v>
      </x:c>
    </x:row>
    <x:row r="15">
      <x:c r="A15" t="str">
        <x:v>Seller 1050</x:v>
      </x:c>
      <x:c r="B15" t="str">
        <x:v>Silver</x:v>
      </x:c>
      <x:c r="C15" s="30" t="n">
        <x:v>3130.77</x:v>
      </x:c>
      <x:c r="D15" s="30" t="n">
        <x:v>399.48</x:v>
      </x:c>
      <x:c r="E15" s="28" t="n">
        <x:v>0.041666666666666664</x:v>
      </x:c>
      <x:c r="F15" s="30" t="n">
        <x:v>60.67</x:v>
      </x:c>
      <x:c r="G15" s="28" t="n">
        <x:v>0.15187243416441373</x:v>
      </x:c>
      <x:c r="H15" t="n">
        <x:v>24</x:v>
      </x:c>
      <x:c r="I15" t="str">
        <x:v>Risk</x:v>
      </x:c>
      <x:c r="J15" t="str">
        <x:v>Investigate returns / economics</x:v>
      </x:c>
    </x:row>
    <x:row r="16">
      <x:c r="A16" t="str">
        <x:v>Seller 1018</x:v>
      </x:c>
      <x:c r="B16" t="str">
        <x:v>Gold</x:v>
      </x:c>
      <x:c r="C16" s="30" t="n">
        <x:v>3093.02</x:v>
      </x:c>
      <x:c r="D16" s="30" t="n">
        <x:v>383.33</x:v>
      </x:c>
      <x:c r="E16" s="28" t="n">
        <x:v>0.1111111111111111</x:v>
      </x:c>
      <x:c r="F16" s="30" t="n">
        <x:v>64.65</x:v>
      </x:c>
      <x:c r="G16" s="28" t="n">
        <x:v>0.16865364046643883</x:v>
      </x:c>
      <x:c r="H16" t="n">
        <x:v>18</x:v>
      </x:c>
      <x:c r="I16" t="str">
        <x:v>Risk</x:v>
      </x:c>
      <x:c r="J16" t="str">
        <x:v>Investigate returns / economics</x:v>
      </x:c>
    </x:row>
    <x:row r="17">
      <x:c r="A17" t="str">
        <x:v>Seller 1020</x:v>
      </x:c>
      <x:c r="B17" t="str">
        <x:v>Gold</x:v>
      </x:c>
      <x:c r="C17" s="30" t="n">
        <x:v>3014.64</x:v>
      </x:c>
      <x:c r="D17" s="30" t="n">
        <x:v>405.78</x:v>
      </x:c>
      <x:c r="E17" s="28" t="n">
        <x:v>0</x:v>
      </x:c>
      <x:c r="F17" s="30" t="n">
        <x:v>52.16</x:v>
      </x:c>
      <x:c r="G17" s="28" t="n">
        <x:v>0.12854256000788605</x:v>
      </x:c>
      <x:c r="H17" t="n">
        <x:v>28</x:v>
      </x:c>
      <x:c r="I17" t="str">
        <x:v>Risk</x:v>
      </x:c>
      <x:c r="J17" t="str">
        <x:v>Investigate returns / economics</x:v>
      </x:c>
    </x:row>
    <x:row r="18">
      <x:c r="A18" t="str">
        <x:v>Seller 1028</x:v>
      </x:c>
      <x:c r="B18" t="str">
        <x:v>Gold</x:v>
      </x:c>
      <x:c r="C18" s="30" t="n">
        <x:v>3003.74</x:v>
      </x:c>
      <x:c r="D18" s="30" t="n">
        <x:v>391.94</x:v>
      </x:c>
      <x:c r="E18" s="28" t="n">
        <x:v>0.0625</x:v>
      </x:c>
      <x:c r="F18" s="30" t="n">
        <x:v>35.63</x:v>
      </x:c>
      <x:c r="G18" s="28" t="n">
        <x:v>0.09090677144460886</x:v>
      </x:c>
      <x:c r="H18" t="n">
        <x:v>32</x:v>
      </x:c>
      <x:c r="I18" t="str">
        <x:v>Risk</x:v>
      </x:c>
      <x:c r="J18" t="str">
        <x:v>Investigate returns / economics</x:v>
      </x:c>
    </x:row>
    <x:row r="19">
      <x:c r="A19" t="str">
        <x:v>Seller 1035</x:v>
      </x:c>
      <x:c r="B19" t="str">
        <x:v>Silver</x:v>
      </x:c>
      <x:c r="C19" s="30" t="n">
        <x:v>2877.51</x:v>
      </x:c>
      <x:c r="D19" s="30" t="n">
        <x:v>370.88</x:v>
      </x:c>
      <x:c r="E19" s="28" t="n">
        <x:v>0.16666666666666666</x:v>
      </x:c>
      <x:c r="F19" s="30" t="n">
        <x:v>31.66</x:v>
      </x:c>
      <x:c r="G19" s="28" t="n">
        <x:v>0.08536453839516824</x:v>
      </x:c>
      <x:c r="H19" t="n">
        <x:v>24</x:v>
      </x:c>
      <x:c r="I19" t="str">
        <x:v>Risk</x:v>
      </x:c>
      <x:c r="J19" t="str">
        <x:v>Investigate returns / economics</x:v>
      </x:c>
    </x:row>
    <x:row r="20">
      <x:c r="A20" t="str">
        <x:v>Seller 1073</x:v>
      </x:c>
      <x:c r="B20" t="str">
        <x:v>Bronze</x:v>
      </x:c>
      <x:c r="C20" s="30" t="n">
        <x:v>2822.78</x:v>
      </x:c>
      <x:c r="D20" s="30" t="n">
        <x:v>359.74</x:v>
      </x:c>
      <x:c r="E20" s="28" t="n">
        <x:v>0.06666666666666667</x:v>
      </x:c>
      <x:c r="F20" s="30" t="n">
        <x:v>-45.2</x:v>
      </x:c>
      <x:c r="G20" s="28" t="n">
        <x:v>-0.12564630010563188</x:v>
      </x:c>
      <x:c r="H20" t="n">
        <x:v>30</x:v>
      </x:c>
      <x:c r="I20" t="str">
        <x:v>Risk</x:v>
      </x:c>
      <x:c r="J20" t="str">
        <x:v>Investigate returns / economics</x:v>
      </x:c>
    </x:row>
    <x:row r="21">
      <x:c r="A21" t="str">
        <x:v>Seller 1003</x:v>
      </x:c>
      <x:c r="B21" t="str">
        <x:v>Platinum</x:v>
      </x:c>
      <x:c r="C21" s="30" t="n">
        <x:v>2785.58</x:v>
      </x:c>
      <x:c r="D21" s="30" t="n">
        <x:v>371.43</x:v>
      </x:c>
      <x:c r="E21" s="28" t="n">
        <x:v>0.10344827586206896</x:v>
      </x:c>
      <x:c r="F21" s="30" t="n">
        <x:v>65.69</x:v>
      </x:c>
      <x:c r="G21" s="28" t="n">
        <x:v>0.17685701208841506</x:v>
      </x:c>
      <x:c r="H21" t="n">
        <x:v>29</x:v>
      </x:c>
      <x:c r="I21" t="str">
        <x:v>Risk</x:v>
      </x:c>
      <x:c r="J21" t="str">
        <x:v>Investigate returns / economics</x:v>
      </x:c>
    </x:row>
    <x:row r="22">
      <x:c r="A22" t="str">
        <x:v>Seller 1019</x:v>
      </x:c>
      <x:c r="B22" t="str">
        <x:v>Gold</x:v>
      </x:c>
      <x:c r="C22" s="30" t="n">
        <x:v>2736.02</x:v>
      </x:c>
      <x:c r="D22" s="30" t="n">
        <x:v>344.32</x:v>
      </x:c>
      <x:c r="E22" s="28" t="n">
        <x:v>0.03225806451612903</x:v>
      </x:c>
      <x:c r="F22" s="30" t="n">
        <x:v>21.81</x:v>
      </x:c>
      <x:c r="G22" s="28" t="n">
        <x:v>0.06334223977695168</x:v>
      </x:c>
      <x:c r="H22" t="n">
        <x:v>31</x:v>
      </x:c>
      <x:c r="I22" t="str">
        <x:v>Risk</x:v>
      </x:c>
      <x:c r="J22" t="str">
        <x:v>Investigate returns / economics</x:v>
      </x:c>
    </x:row>
    <x:row r="23">
      <x:c r="A23" t="str">
        <x:v>Seller 1004</x:v>
      </x:c>
      <x:c r="B23" t="str">
        <x:v>Platinum</x:v>
      </x:c>
      <x:c r="C23" s="30" t="n">
        <x:v>2570.61</x:v>
      </x:c>
      <x:c r="D23" s="30" t="n">
        <x:v>337.88</x:v>
      </x:c>
      <x:c r="E23" s="28" t="n">
        <x:v>0.05</x:v>
      </x:c>
      <x:c r="F23" s="30" t="n">
        <x:v>88.24</x:v>
      </x:c>
      <x:c r="G23" s="28" t="n">
        <x:v>0.26115780750562334</x:v>
      </x:c>
      <x:c r="H23" t="n">
        <x:v>20</x:v>
      </x:c>
      <x:c r="I23" t="str">
        <x:v>Risk</x:v>
      </x:c>
      <x:c r="J23" t="str">
        <x:v>Investigate returns / economics</x:v>
      </x:c>
    </x:row>
    <x:row r="24">
      <x:c r="A24" t="str">
        <x:v>Seller 1023</x:v>
      </x:c>
      <x:c r="B24" t="str">
        <x:v>Gold</x:v>
      </x:c>
      <x:c r="C24" s="30" t="n">
        <x:v>2566.69</x:v>
      </x:c>
      <x:c r="D24" s="30" t="n">
        <x:v>346.1</x:v>
      </x:c>
      <x:c r="E24" s="28" t="n">
        <x:v>0.041666666666666664</x:v>
      </x:c>
      <x:c r="F24" s="30" t="n">
        <x:v>68.87</x:v>
      </x:c>
      <x:c r="G24" s="28" t="n">
        <x:v>0.198988731580468</x:v>
      </x:c>
      <x:c r="H24" t="n">
        <x:v>24</x:v>
      </x:c>
      <x:c r="I24" t="str">
        <x:v>Risk</x:v>
      </x:c>
      <x:c r="J24" t="str">
        <x:v>Investigate returns / economics</x:v>
      </x:c>
    </x:row>
    <x:row r="25">
      <x:c r="A25" t="str">
        <x:v>Seller 1021</x:v>
      </x:c>
      <x:c r="B25" t="str">
        <x:v>Gold</x:v>
      </x:c>
      <x:c r="C25" s="30" t="n">
        <x:v>2526.8</x:v>
      </x:c>
      <x:c r="D25" s="30" t="n">
        <x:v>335.29</x:v>
      </x:c>
      <x:c r="E25" s="28" t="n">
        <x:v>0</x:v>
      </x:c>
      <x:c r="F25" s="30" t="n">
        <x:v>30.06</x:v>
      </x:c>
      <x:c r="G25" s="28" t="n">
        <x:v>0.08965373258969846</x:v>
      </x:c>
      <x:c r="H25" t="n">
        <x:v>32</x:v>
      </x:c>
      <x:c r="I25" t="str">
        <x:v>Risk</x:v>
      </x:c>
      <x:c r="J25" t="str">
        <x:v>Investigate returns / economics</x:v>
      </x:c>
    </x:row>
    <x:row r="26">
      <x:c r="A26" t="str">
        <x:v>Seller 1062</x:v>
      </x:c>
      <x:c r="B26" t="str">
        <x:v>Bronze</x:v>
      </x:c>
      <x:c r="C26" s="30" t="n">
        <x:v>2524.54</x:v>
      </x:c>
      <x:c r="D26" s="30" t="n">
        <x:v>315.48</x:v>
      </x:c>
      <x:c r="E26" s="28" t="n">
        <x:v>0.1111111111111111</x:v>
      </x:c>
      <x:c r="F26" s="30" t="n">
        <x:v>-36.81</x:v>
      </x:c>
      <x:c r="G26" s="28" t="n">
        <x:v>-0.11667934575884369</x:v>
      </x:c>
      <x:c r="H26" t="n">
        <x:v>27</x:v>
      </x:c>
      <x:c r="I26" t="str">
        <x:v>Risk</x:v>
      </x:c>
      <x:c r="J26" t="str">
        <x:v>Investigate returns / economics</x:v>
      </x:c>
    </x:row>
    <x:row r="27">
      <x:c r="A27" t="str">
        <x:v>Seller 1016</x:v>
      </x:c>
      <x:c r="B27" t="str">
        <x:v>Gold</x:v>
      </x:c>
      <x:c r="C27" s="30" t="n">
        <x:v>2422.68</x:v>
      </x:c>
      <x:c r="D27" s="30" t="n">
        <x:v>309.85</x:v>
      </x:c>
      <x:c r="E27" s="28" t="n">
        <x:v>0</x:v>
      </x:c>
      <x:c r="F27" s="30" t="n">
        <x:v>38.47</x:v>
      </x:c>
      <x:c r="G27" s="28" t="n">
        <x:v>0.12415685008875263</x:v>
      </x:c>
      <x:c r="H27" t="n">
        <x:v>26</x:v>
      </x:c>
      <x:c r="I27" t="str">
        <x:v>Risk</x:v>
      </x:c>
      <x:c r="J27" t="str">
        <x:v>Investigate returns / economics</x:v>
      </x:c>
    </x:row>
    <x:row r="28">
      <x:c r="A28" t="str">
        <x:v>Seller 1061</x:v>
      </x:c>
      <x:c r="B28" t="str">
        <x:v>Bronze</x:v>
      </x:c>
      <x:c r="C28" s="30" t="n">
        <x:v>2422.07</x:v>
      </x:c>
      <x:c r="D28" s="30" t="n">
        <x:v>307.77</x:v>
      </x:c>
      <x:c r="E28" s="28" t="n">
        <x:v>0.04</x:v>
      </x:c>
      <x:c r="F28" s="30" t="n">
        <x:v>-15.32</x:v>
      </x:c>
      <x:c r="G28" s="28" t="n">
        <x:v>-0.04977743119862236</x:v>
      </x:c>
      <x:c r="H28" t="n">
        <x:v>25</x:v>
      </x:c>
      <x:c r="I28" t="str">
        <x:v>Risk</x:v>
      </x:c>
      <x:c r="J28" t="str">
        <x:v>Investigate returns / economics</x:v>
      </x:c>
    </x:row>
  </x:sheetData>
  <x:mergeCells>
    <x:mergeCell ref="A1:J1"/>
  </x:mergeCells>
  <x:conditionalFormatting sqref="I4:I28">
    <x:cfRule type="expression" dxfId="1" priority="1">
      <x:formula>I4="Risk"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28" customHeight="1">
      <x:c r="A1" s="4" t="str">
        <x:v>Category Profitability &amp; Growth Opportunity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Category</x:v>
      </x:c>
      <x:c r="B3" s="11" t="str">
        <x:v>GMV</x:v>
      </x:c>
      <x:c r="C3" s="11" t="str">
        <x:v>Marketplace Revenue</x:v>
      </x:c>
      <x:c r="D3" s="11" t="str">
        <x:v>Take Rate</x:v>
      </x:c>
      <x:c r="E3" s="11" t="str">
        <x:v>Refund Rate</x:v>
      </x:c>
      <x:c r="F3" s="11" t="str">
        <x:v>Contribution Margin</x:v>
      </x:c>
      <x:c r="G3" s="11" t="str">
        <x:v>CM %</x:v>
      </x:c>
      <x:c r="H3" s="11" t="str">
        <x:v>Orders</x:v>
      </x:c>
      <x:c r="I3" s="11" t="str">
        <x:v>Opportunity Score</x:v>
      </x:c>
      <x:c r="J3" s="11" t="str">
        <x:v>Strategic View</x:v>
      </x:c>
    </x:row>
    <x:row r="4">
      <x:c r="A4" t="str">
        <x:v>Electronics</x:v>
      </x:c>
      <x:c r="B4" s="30" t="n">
        <x:v>62436.65</x:v>
      </x:c>
      <x:c r="C4" s="30" t="n">
        <x:v>7869.18</x:v>
      </x:c>
      <x:c r="D4" s="28" t="n">
        <x:v>0.12603462869965001</x:v>
      </x:c>
      <x:c r="E4" s="28" t="n">
        <x:v>0.08536585365853659</x:v>
      </x:c>
      <x:c r="F4" s="30" t="n">
        <x:v>1189.81</x:v>
      </x:c>
      <x:c r="G4" s="28" t="n">
        <x:v>0.15119872718631422</x:v>
      </x:c>
      <x:c r="H4" t="n">
        <x:v>410</x:v>
      </x:c>
      <x:c r="I4" t="n">
        <x:v>29.5</x:v>
      </x:c>
      <x:c r="J4" t="str">
        <x:v>Fix economics</x:v>
      </x:c>
    </x:row>
    <x:row r="5">
      <x:c r="A5" t="str">
        <x:v>Home &amp; Kitchen</x:v>
      </x:c>
      <x:c r="B5" s="30" t="n">
        <x:v>35349.95</x:v>
      </x:c>
      <x:c r="C5" s="30" t="n">
        <x:v>4819.02</x:v>
      </x:c>
      <x:c r="D5" s="28" t="n">
        <x:v>0.13632324798196313</x:v>
      </x:c>
      <x:c r="E5" s="28" t="n">
        <x:v>0.04020100502512563</x:v>
      </x:c>
      <x:c r="F5" s="30" t="n">
        <x:v>450.25</x:v>
      </x:c>
      <x:c r="G5" s="28" t="n">
        <x:v>0.09343185958970908</x:v>
      </x:c>
      <x:c r="H5" t="n">
        <x:v>398</x:v>
      </x:c>
      <x:c r="I5" t="n">
        <x:v>28.2</x:v>
      </x:c>
      <x:c r="J5" t="str">
        <x:v>Fix economics</x:v>
      </x:c>
    </x:row>
    <x:row r="6">
      <x:c r="A6" t="str">
        <x:v>Sports</x:v>
      </x:c>
      <x:c r="B6" s="30" t="n">
        <x:v>25322.16</x:v>
      </x:c>
      <x:c r="C6" s="30" t="n">
        <x:v>3280.7</x:v>
      </x:c>
      <x:c r="D6" s="28" t="n">
        <x:v>0.1295584578882686</x:v>
      </x:c>
      <x:c r="E6" s="28" t="n">
        <x:v>0.03896103896103896</x:v>
      </x:c>
      <x:c r="F6" s="30" t="n">
        <x:v>125.61</x:v>
      </x:c>
      <x:c r="G6" s="28" t="n">
        <x:v>0.0382875605815832</x:v>
      </x:c>
      <x:c r="H6" t="n">
        <x:v>308</x:v>
      </x:c>
      <x:c r="I6" t="n">
        <x:v>25.5</x:v>
      </x:c>
      <x:c r="J6" t="str">
        <x:v>Fix economics</x:v>
      </x:c>
    </x:row>
    <x:row r="7">
      <x:c r="A7" t="str">
        <x:v>Beauty</x:v>
      </x:c>
      <x:c r="B7" s="30" t="n">
        <x:v>8648.45</x:v>
      </x:c>
      <x:c r="C7" s="30" t="n">
        <x:v>1266.93</x:v>
      </x:c>
      <x:c r="D7" s="28" t="n">
        <x:v>0.14649214599147825</x:v>
      </x:c>
      <x:c r="E7" s="28" t="n">
        <x:v>0.020202020202020204</x:v>
      </x:c>
      <x:c r="F7" s="30" t="n">
        <x:v>-142.07</x:v>
      </x:c>
      <x:c r="G7" s="28" t="n">
        <x:v>-0.11213721357928223</x:v>
      </x:c>
      <x:c r="H7" t="n">
        <x:v>198</x:v>
      </x:c>
      <x:c r="I7" t="n">
        <x:v>19.7</x:v>
      </x:c>
      <x:c r="J7" t="str">
        <x:v>Fix economics</x:v>
      </x:c>
    </x:row>
    <x:row r="8">
      <x:c r="A8" t="str">
        <x:v>Pet Supplies</x:v>
      </x:c>
      <x:c r="B8" s="30" t="n">
        <x:v>23973.88</x:v>
      </x:c>
      <x:c r="C8" s="30" t="n">
        <x:v>3195.84</x:v>
      </x:c>
      <x:c r="D8" s="28" t="n">
        <x:v>0.1333050803624612</x:v>
      </x:c>
      <x:c r="E8" s="28" t="n">
        <x:v>0.029885057471264367</x:v>
      </x:c>
      <x:c r="F8" s="30" t="n">
        <x:v>-402.36</x:v>
      </x:c>
      <x:c r="G8" s="28" t="n">
        <x:v>-0.12590117152297992</x:v>
      </x:c>
      <x:c r="H8" t="n">
        <x:v>435</x:v>
      </x:c>
      <x:c r="I8" t="n">
        <x:v>18.4</x:v>
      </x:c>
      <x:c r="J8" t="str">
        <x:v>Fix economics</x:v>
      </x:c>
    </x:row>
    <x:row r="9">
      <x:c r="A9" t="str">
        <x:v>Apparel</x:v>
      </x:c>
      <x:c r="B9" s="30" t="n">
        <x:v>14607.64</x:v>
      </x:c>
      <x:c r="C9" s="30" t="n">
        <x:v>1796.71</x:v>
      </x:c>
      <x:c r="D9" s="28" t="n">
        <x:v>0.1229979654482175</x:v>
      </x:c>
      <x:c r="E9" s="28" t="n">
        <x:v>0.0787037037037037</x:v>
      </x:c>
      <x:c r="F9" s="30" t="n">
        <x:v>-205.96</x:v>
      </x:c>
      <x:c r="G9" s="28" t="n">
        <x:v>-0.11463174357575798</x:v>
      </x:c>
      <x:c r="H9" t="n">
        <x:v>216</x:v>
      </x:c>
      <x:c r="I9" t="n">
        <x:v>17.6</x:v>
      </x:c>
      <x:c r="J9" t="str">
        <x:v>Fix economics</x:v>
      </x:c>
    </x:row>
  </x:sheetData>
  <x:mergeCells>
    <x:mergeCell ref="A1:J1"/>
  </x:mergeCells>
  <x:conditionalFormatting sqref="I4:I9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4" t="str">
        <x:v>Marketplace Unit Economics | Per $100 GMV</x:v>
      </x:c>
      <x:c r="B1" s="4"/>
      <x:c r="C1" s="4"/>
      <x:c r="D1" s="4"/>
      <x:c r="E1" s="4"/>
      <x:c r="F1" s="4"/>
      <x:c r="G1" s="4"/>
    </x:row>
    <x:row r="3">
      <x:c r="A3" s="11" t="str">
        <x:v>Metric</x:v>
      </x:c>
      <x:c r="B3" s="11" t="str">
        <x:v>Per $100 GMV</x:v>
      </x:c>
      <x:c r="C3" s="11" t="str">
        <x:v>% of GMV</x:v>
      </x:c>
      <x:c r="D3" s="11" t="str">
        <x:v>Business Meaning</x:v>
      </x:c>
      <x:c r="E3" s="11" t="str">
        <x:v>Base Driver</x:v>
      </x:c>
      <x:c r="F3" s="11" t="str">
        <x:v>Sensitivity</x:v>
      </x:c>
      <x:c r="G3" s="11" t="str">
        <x:v>Management Lever</x:v>
      </x:c>
    </x:row>
    <x:row r="4">
      <x:c r="A4" t="str">
        <x:v>Marketplace Revenue</x:v>
      </x:c>
      <x:c r="B4" s="26" t="n">
        <x:v>13.049516102415462</x:v>
      </x:c>
      <x:c r="C4" s="28" t="n">
        <x:v>0.13049516102415462</x:v>
      </x:c>
      <x:c r="D4" t="str">
        <x:v>Monetization earned from GMV</x:v>
      </x:c>
      <x:c r="E4" t="str">
        <x:v>Take rate</x:v>
      </x:c>
      <x:c r="F4" t="str">
        <x:v>High</x:v>
      </x:c>
      <x:c r="G4" t="str">
        <x:v>Pricing / fee architecture</x:v>
      </x:c>
    </x:row>
    <x:row r="5">
      <x:c r="A5" t="str">
        <x:v>Payment Fees</x:v>
      </x:c>
      <x:c r="B5" s="26" t="n">
        <x:v>-2.3001404319499152</x:v>
      </x:c>
      <x:c r="C5" s="28" t="n">
        <x:v>-0.023001404319499152</x:v>
      </x:c>
      <x:c r="D5" t="str">
        <x:v>Variable payment processing cost</x:v>
      </x:c>
      <x:c r="E5" t="str">
        <x:v>Payment fee %</x:v>
      </x:c>
      <x:c r="F5" t="str">
        <x:v>Medium</x:v>
      </x:c>
      <x:c r="G5" t="str">
        <x:v>Processor economics</x:v>
      </x:c>
    </x:row>
    <x:row r="6">
      <x:c r="A6" t="str">
        <x:v>Support Cost</x:v>
      </x:c>
      <x:c r="B6" s="26" t="n">
        <x:v>-3.6225290631202895</x:v>
      </x:c>
      <x:c r="C6" s="28" t="n">
        <x:v>-0.036225290631202896</x:v>
      </x:c>
      <x:c r="D6" t="str">
        <x:v>Customer/seller support burden</x:v>
      </x:c>
      <x:c r="E6" t="str">
        <x:v>Support load</x:v>
      </x:c>
      <x:c r="F6" t="str">
        <x:v>Medium</x:v>
      </x:c>
      <x:c r="G6" t="str">
        <x:v>Automation / contact rate</x:v>
      </x:c>
    </x:row>
    <x:row r="7">
      <x:c r="A7" t="str">
        <x:v>Fulfillment Cost</x:v>
      </x:c>
      <x:c r="B7" s="26" t="n">
        <x:v>-4.594421949723354</x:v>
      </x:c>
      <x:c r="C7" s="28" t="n">
        <x:v>-0.04594421949723354</x:v>
      </x:c>
      <x:c r="D7" t="str">
        <x:v>Marketplace fulfillment-related cost</x:v>
      </x:c>
      <x:c r="E7" t="str">
        <x:v>Units / category mix</x:v>
      </x:c>
      <x:c r="F7" t="str">
        <x:v>Medium</x:v>
      </x:c>
      <x:c r="G7" t="str">
        <x:v>Network / packaging</x:v>
      </x:c>
    </x:row>
    <x:row r="8">
      <x:c r="A8" t="str">
        <x:v>Promo Cost</x:v>
      </x:c>
      <x:c r="B8" s="26" t="n">
        <x:v>-1.7857007622400376</x:v>
      </x:c>
      <x:c r="C8" s="28" t="n">
        <x:v>-0.017857007622400375</x:v>
      </x:c>
      <x:c r="D8" t="str">
        <x:v>Growth incentives</x:v>
      </x:c>
      <x:c r="E8" t="str">
        <x:v>Promo %</x:v>
      </x:c>
      <x:c r="F8" t="str">
        <x:v>High</x:v>
      </x:c>
      <x:c r="G8" t="str">
        <x:v>Targeting / promo efficiency</x:v>
      </x:c>
    </x:row>
    <x:row r="9">
      <x:c r="A9" t="str">
        <x:v>Contribution Margin</x:v>
      </x:c>
      <x:c r="B9" s="26" t="n">
        <x:v>0.5960359103299643</x:v>
      </x:c>
      <x:c r="C9" s="28" t="n">
        <x:v>0.005960359103299642</x:v>
      </x:c>
      <x:c r="D9" t="str">
        <x:v>Profit after variable marketplace costs</x:v>
      </x:c>
      <x:c r="E9" t="str">
        <x:v>Combined economics</x:v>
      </x:c>
      <x:c r="F9" t="str">
        <x:v>High</x:v>
      </x:c>
      <x:c r="G9" t="str">
        <x:v>All above levers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</x:cols>
  <x:sheetData>
    <x:row r="1" ht="28" customHeight="1">
      <x:c r="A1" s="4" t="str">
        <x:v>Refund &amp; Return Leakage Analysis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Category</x:v>
      </x:c>
      <x:c r="B3" s="11" t="str">
        <x:v>Orders</x:v>
      </x:c>
      <x:c r="C3" s="11" t="str">
        <x:v>Refunded Orders</x:v>
      </x:c>
      <x:c r="D3" s="11" t="str">
        <x:v>Refund Rate</x:v>
      </x:c>
      <x:c r="E3" s="11" t="str">
        <x:v>Refund $</x:v>
      </x:c>
      <x:c r="F3" s="11" t="str">
        <x:v>Refund $ / GMV</x:v>
      </x:c>
      <x:c r="G3" s="11" t="str">
        <x:v>Risk Level</x:v>
      </x:c>
      <x:c r="H3" s="11" t="str">
        <x:v>Management Action</x:v>
      </x:c>
    </x:row>
    <x:row r="4">
      <x:c r="A4" t="str">
        <x:v>Home &amp; Kitchen</x:v>
      </x:c>
      <x:c r="B4" t="n">
        <x:v>398</x:v>
      </x:c>
      <x:c r="C4" t="n">
        <x:v>16</x:v>
      </x:c>
      <x:c r="D4" s="28" t="n">
        <x:v>0.04020100502512563</x:v>
      </x:c>
      <x:c r="E4" s="30" t="n">
        <x:v>1078.02</x:v>
      </x:c>
      <x:c r="F4" s="28" t="n">
        <x:v>0.030495658409700723</x:v>
      </x:c>
      <x:c r="G4" t="str">
        <x:v>Medium</x:v>
      </x:c>
      <x:c r="H4" t="str">
        <x:v>Monitor returns and improve content</x:v>
      </x:c>
    </x:row>
    <x:row r="5">
      <x:c r="A5" t="str">
        <x:v>Apparel</x:v>
      </x:c>
      <x:c r="B5" t="n">
        <x:v>216</x:v>
      </x:c>
      <x:c r="C5" t="n">
        <x:v>17</x:v>
      </x:c>
      <x:c r="D5" s="28" t="n">
        <x:v>0.0787037037037037</x:v>
      </x:c>
      <x:c r="E5" s="30" t="n">
        <x:v>939.41</x:v>
      </x:c>
      <x:c r="F5" s="28" t="n">
        <x:v>0.06430949831731889</x:v>
      </x:c>
      <x:c r="G5" t="str">
        <x:v>High</x:v>
      </x:c>
      <x:c r="H5" t="str">
        <x:v>SKU-level root cause + policy review</x:v>
      </x:c>
    </x:row>
    <x:row r="6">
      <x:c r="A6" t="str">
        <x:v>Pet Supplies</x:v>
      </x:c>
      <x:c r="B6" t="n">
        <x:v>435</x:v>
      </x:c>
      <x:c r="C6" t="n">
        <x:v>13</x:v>
      </x:c>
      <x:c r="D6" s="28" t="n">
        <x:v>0.029885057471264367</x:v>
      </x:c>
      <x:c r="E6" s="30" t="n">
        <x:v>463.77</x:v>
      </x:c>
      <x:c r="F6" s="28" t="n">
        <x:v>0.019344803594578765</x:v>
      </x:c>
      <x:c r="G6" t="str">
        <x:v>Low</x:v>
      </x:c>
      <x:c r="H6" t="str">
        <x:v>Maintain controls</x:v>
      </x:c>
    </x:row>
    <x:row r="7">
      <x:c r="A7" t="str">
        <x:v>Sports</x:v>
      </x:c>
      <x:c r="B7" t="n">
        <x:v>308</x:v>
      </x:c>
      <x:c r="C7" t="n">
        <x:v>12</x:v>
      </x:c>
      <x:c r="D7" s="28" t="n">
        <x:v>0.03896103896103896</x:v>
      </x:c>
      <x:c r="E7" s="30" t="n">
        <x:v>734.01</x:v>
      </x:c>
      <x:c r="F7" s="28" t="n">
        <x:v>0.02898686367987565</x:v>
      </x:c>
      <x:c r="G7" t="str">
        <x:v>Low</x:v>
      </x:c>
      <x:c r="H7" t="str">
        <x:v>Maintain controls</x:v>
      </x:c>
    </x:row>
    <x:row r="8">
      <x:c r="A8" t="str">
        <x:v>Beauty</x:v>
      </x:c>
      <x:c r="B8" t="n">
        <x:v>198</x:v>
      </x:c>
      <x:c r="C8" t="n">
        <x:v>4</x:v>
      </x:c>
      <x:c r="D8" s="28" t="n">
        <x:v>0.020202020202020204</x:v>
      </x:c>
      <x:c r="E8" s="30" t="n">
        <x:v>155.46</x:v>
      </x:c>
      <x:c r="F8" s="28" t="n">
        <x:v>0.017975475374200002</x:v>
      </x:c>
      <x:c r="G8" t="str">
        <x:v>Low</x:v>
      </x:c>
      <x:c r="H8" t="str">
        <x:v>Maintain controls</x:v>
      </x:c>
    </x:row>
    <x:row r="9">
      <x:c r="A9" t="str">
        <x:v>Electronics</x:v>
      </x:c>
      <x:c r="B9" t="n">
        <x:v>410</x:v>
      </x:c>
      <x:c r="C9" t="n">
        <x:v>35</x:v>
      </x:c>
      <x:c r="D9" s="28" t="n">
        <x:v>0.08536585365853659</x:v>
      </x:c>
      <x:c r="E9" s="30" t="n">
        <x:v>3965.12</x:v>
      </x:c>
      <x:c r="F9" s="28" t="n">
        <x:v>0.06350628997551919</x:v>
      </x:c>
      <x:c r="G9" t="str">
        <x:v>High</x:v>
      </x:c>
      <x:c r="H9" t="str">
        <x:v>SKU-level root cause + policy review</x:v>
      </x:c>
    </x:row>
  </x:sheetData>
  <x:mergeCells>
    <x:mergeCell ref="A1:H1"/>
  </x:mergeCells>
  <x:conditionalFormatting sqref="G4:G9">
    <x:cfRule type="expression" dxfId="2" priority="1">
      <x:formula>G4="High"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8" customHeight="1">
      <x:c r="A1" s="4" t="str">
        <x:v>FY 2026 Marketplace Forecast | Base Case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1" t="str">
        <x:v>Metric</x:v>
      </x:c>
      <x:c r="B3" s="11" t="str">
        <x:v>Jan</x:v>
      </x:c>
      <x:c r="C3" s="11" t="str">
        <x:v>Feb</x:v>
      </x:c>
      <x:c r="D3" s="11" t="str">
        <x:v>Mar</x:v>
      </x:c>
      <x:c r="E3" s="11" t="str">
        <x:v>Apr</x:v>
      </x:c>
      <x:c r="F3" s="11" t="str">
        <x:v>May</x:v>
      </x:c>
      <x:c r="G3" s="11" t="str">
        <x:v>Jun</x:v>
      </x:c>
      <x:c r="H3" s="11" t="str">
        <x:v>Jul</x:v>
      </x:c>
      <x:c r="I3" s="11" t="str">
        <x:v>Aug</x:v>
      </x:c>
      <x:c r="J3" s="11" t="str">
        <x:v>Sep</x:v>
      </x:c>
      <x:c r="K3" s="11" t="str">
        <x:v>Oct</x:v>
      </x:c>
      <x:c r="L3" s="11" t="str">
        <x:v>Nov</x:v>
      </x:c>
      <x:c r="M3" s="11" t="str">
        <x:v>Dec</x:v>
      </x:c>
      <x:c r="N3" s="11" t="str">
        <x:v>FY 2026</x:v>
      </x:c>
      <x:c r="O3" s="11" t="str">
        <x:v>vs FY25</x:v>
      </x:c>
    </x:row>
    <x:row r="4">
      <x:c r="A4" t="str">
        <x:v>GMV</x:v>
      </x:c>
      <x:c r="B4" s="50" t="n">
        <x:f>'Monthly Marketplace P&amp;L'!B4*(1+Assumptions!$B$4)</x:f>
        <x:v>875281.4400000004</x:v>
      </x:c>
      <x:c r="C4" s="50" t="n">
        <x:f>'Monthly Marketplace P&amp;L'!C4*(1+Assumptions!$B$4)</x:f>
        <x:v>816244.44</x:v>
      </x:c>
      <x:c r="D4" s="50" t="n">
        <x:f>'Monthly Marketplace P&amp;L'!D4*(1+Assumptions!$B$4)</x:f>
        <x:v>902111.1</x:v>
      </x:c>
      <x:c r="E4" s="50" t="n">
        <x:f>'Monthly Marketplace P&amp;L'!E4*(1+Assumptions!$B$4)</x:f>
        <x:v>828024.1199999999</x:v>
      </x:c>
      <x:c r="F4" s="50" t="n">
        <x:f>'Monthly Marketplace P&amp;L'!F4*(1+Assumptions!$B$4)</x:f>
        <x:v>810861.4799999996</x:v>
      </x:c>
      <x:c r="G4" s="50" t="n">
        <x:f>'Monthly Marketplace P&amp;L'!G4*(1+Assumptions!$B$4)</x:f>
        <x:v>706450.8000000002</x:v>
      </x:c>
      <x:c r="H4" s="50" t="n">
        <x:f>'Monthly Marketplace P&amp;L'!H4*(1+Assumptions!$B$4)</x:f>
        <x:v>819586.0200000004</x:v>
      </x:c>
      <x:c r="I4" s="50" t="n">
        <x:f>'Monthly Marketplace P&amp;L'!I4*(1+Assumptions!$B$4)</x:f>
        <x:v>887849.8200000003</x:v>
      </x:c>
      <x:c r="J4" s="50" t="n">
        <x:f>'Monthly Marketplace P&amp;L'!J4*(1+Assumptions!$B$4)</x:f>
        <x:v>874835.28</x:v>
      </x:c>
      <x:c r="K4" s="50" t="n">
        <x:f>'Monthly Marketplace P&amp;L'!K4*(1+Assumptions!$B$4)</x:f>
        <x:v>1354356.3</x:v>
      </x:c>
      <x:c r="L4" s="50" t="n">
        <x:f>'Monthly Marketplace P&amp;L'!L4*(1+Assumptions!$B$4)</x:f>
        <x:v>1352427.1200000003</x:v>
      </x:c>
      <x:c r="M4" s="50" t="n">
        <x:f>'Monthly Marketplace P&amp;L'!M4*(1+Assumptions!$B$4)</x:f>
        <x:v>1014328.26</x:v>
      </x:c>
      <x:c r="N4" s="30" t="n">
        <x:f>SUM(B4:M4)</x:f>
        <x:v>11242356.180000002</x:v>
      </x:c>
      <x:c r="O4" s="30" t="n">
        <x:f>N4-'Monthly Marketplace P&amp;L'!N4</x:f>
        <x:v>1022032.3800000027</x:v>
      </x:c>
    </x:row>
    <x:row r="5">
      <x:c r="A5" t="str">
        <x:v>Marketplace Revenue</x:v>
      </x:c>
      <x:c r="B5" s="50" t="n">
        <x:f>B4*Assumptions!$B$5</x:f>
        <x:v>113786.58720000005</x:v>
      </x:c>
      <x:c r="C5" s="50" t="n">
        <x:f>C4*Assumptions!$B$5</x:f>
        <x:v>106111.7772</x:v>
      </x:c>
      <x:c r="D5" s="50" t="n">
        <x:f>D4*Assumptions!$B$5</x:f>
        <x:v>117274.443</x:v>
      </x:c>
      <x:c r="E5" s="50" t="n">
        <x:f>E4*Assumptions!$B$5</x:f>
        <x:v>107643.1356</x:v>
      </x:c>
      <x:c r="F5" s="50" t="n">
        <x:f>F4*Assumptions!$B$5</x:f>
        <x:v>105411.99239999996</x:v>
      </x:c>
      <x:c r="G5" s="50" t="n">
        <x:f>G4*Assumptions!$B$5</x:f>
        <x:v>91838.60400000002</x:v>
      </x:c>
      <x:c r="H5" s="50" t="n">
        <x:f>H4*Assumptions!$B$5</x:f>
        <x:v>106546.18260000006</x:v>
      </x:c>
      <x:c r="I5" s="50" t="n">
        <x:f>I4*Assumptions!$B$5</x:f>
        <x:v>115420.47660000004</x:v>
      </x:c>
      <x:c r="J5" s="50" t="n">
        <x:f>J4*Assumptions!$B$5</x:f>
        <x:v>113728.58640000001</x:v>
      </x:c>
      <x:c r="K5" s="50" t="n">
        <x:f>K4*Assumptions!$B$5</x:f>
        <x:v>176066.31900000002</x:v>
      </x:c>
      <x:c r="L5" s="50" t="n">
        <x:f>L4*Assumptions!$B$5</x:f>
        <x:v>175815.52560000005</x:v>
      </x:c>
      <x:c r="M5" s="50" t="n">
        <x:f>M4*Assumptions!$B$5</x:f>
        <x:v>131862.67380000002</x:v>
      </x:c>
      <x:c r="N5" s="30" t="n">
        <x:f>SUM(B5:M5)</x:f>
        <x:v>1461506.3034000003</x:v>
      </x:c>
      <x:c r="O5" s="30" t="n">
        <x:f>N5-'Monthly Marketplace P&amp;L'!N5</x:f>
        <x:v>127803.46340000047</x:v>
      </x:c>
    </x:row>
    <x:row r="6">
      <x:c r="A6" t="str">
        <x:v>Refund Leakage</x:v>
      </x:c>
      <x:c r="B6" s="50" t="n">
        <x:f>B4*Assumptions!$B$6*3.5%</x:f>
        <x:v>1225.3940160000009</x:v>
      </x:c>
      <x:c r="C6" s="50" t="n">
        <x:f>C4*Assumptions!$B$6*3.5%</x:f>
        <x:v>1142.742216</x:v>
      </x:c>
      <x:c r="D6" s="50" t="n">
        <x:f>D4*Assumptions!$B$6*3.5%</x:f>
        <x:v>1262.9555400000002</x:v>
      </x:c>
      <x:c r="E6" s="50" t="n">
        <x:f>E4*Assumptions!$B$6*3.5%</x:f>
        <x:v>1159.2337679999998</x:v>
      </x:c>
      <x:c r="F6" s="50" t="n">
        <x:f>F4*Assumptions!$B$6*3.5%</x:f>
        <x:v>1135.2060719999997</x:v>
      </x:c>
      <x:c r="G6" s="50" t="n">
        <x:f>G4*Assumptions!$B$6*3.5%</x:f>
        <x:v>989.0311200000003</x:v>
      </x:c>
      <x:c r="H6" s="50" t="n">
        <x:f>H4*Assumptions!$B$6*3.5%</x:f>
        <x:v>1147.4204280000008</x:v>
      </x:c>
      <x:c r="I6" s="50" t="n">
        <x:f>I4*Assumptions!$B$6*3.5%</x:f>
        <x:v>1242.9897480000006</x:v>
      </x:c>
      <x:c r="J6" s="50" t="n">
        <x:f>J4*Assumptions!$B$6*3.5%</x:f>
        <x:v>1224.7693920000002</x:v>
      </x:c>
      <x:c r="K6" s="50" t="n">
        <x:f>K4*Assumptions!$B$6*3.5%</x:f>
        <x:v>1896.0988200000002</x:v>
      </x:c>
      <x:c r="L6" s="50" t="n">
        <x:f>L4*Assumptions!$B$6*3.5%</x:f>
        <x:v>1893.3979680000007</x:v>
      </x:c>
      <x:c r="M6" s="50" t="n">
        <x:f>M4*Assumptions!$B$6*3.5%</x:f>
        <x:v>1420.0595640000001</x:v>
      </x:c>
      <x:c r="N6" s="30" t="n">
        <x:f>SUM(B6:M6)</x:f>
        <x:v>15739.298652000001</x:v>
      </x:c>
      <x:c r="O6" s="30"/>
    </x:row>
    <x:row r="7">
      <x:c r="A7" t="str">
        <x:v>Net Revenue</x:v>
      </x:c>
      <x:c r="B7" s="50" t="n">
        <x:f>B5-B6</x:f>
        <x:v>112561.19318400005</x:v>
      </x:c>
      <x:c r="C7" s="50" t="n">
        <x:f>C5-C6</x:f>
        <x:v>104969.034984</x:v>
      </x:c>
      <x:c r="D7" s="50" t="n">
        <x:f>D5-D6</x:f>
        <x:v>116011.48746</x:v>
      </x:c>
      <x:c r="E7" s="50" t="n">
        <x:f>E5-E6</x:f>
        <x:v>106483.90183199999</x:v>
      </x:c>
      <x:c r="F7" s="50" t="n">
        <x:f>F5-F6</x:f>
        <x:v>104276.78632799996</x:v>
      </x:c>
      <x:c r="G7" s="50" t="n">
        <x:f>G5-G6</x:f>
        <x:v>90849.57288000002</x:v>
      </x:c>
      <x:c r="H7" s="50" t="n">
        <x:f>H5-H6</x:f>
        <x:v>105398.76217200006</x:v>
      </x:c>
      <x:c r="I7" s="50" t="n">
        <x:f>I5-I6</x:f>
        <x:v>114177.48685200003</x:v>
      </x:c>
      <x:c r="J7" s="50" t="n">
        <x:f>J5-J6</x:f>
        <x:v>112503.81700800001</x:v>
      </x:c>
      <x:c r="K7" s="50" t="n">
        <x:f>K5-K6</x:f>
        <x:v>174170.22018</x:v>
      </x:c>
      <x:c r="L7" s="50" t="n">
        <x:f>L5-L6</x:f>
        <x:v>173922.12763200005</x:v>
      </x:c>
      <x:c r="M7" s="50" t="n">
        <x:f>M5-M6</x:f>
        <x:v>130442.61423600002</x:v>
      </x:c>
      <x:c r="N7" s="30" t="n">
        <x:f>SUM(B7:M7)</x:f>
        <x:v>1445767.004748</x:v>
      </x:c>
      <x:c r="O7" s="30"/>
    </x:row>
    <x:row r="8">
      <x:c r="A8" t="str">
        <x:v>Variable Costs</x:v>
      </x:c>
      <x:c r="B8" s="50" t="n">
        <x:f>B4*(Assumptions!$B$7+Assumptions!$B$9+0.0085+Assumptions!$B$8)</x:f>
        <x:v>36761.82048000002</x:v>
      </x:c>
      <x:c r="C8" s="50" t="n">
        <x:f>C4*(Assumptions!$B$7+Assumptions!$B$9+0.0085+Assumptions!$B$8)</x:f>
        <x:v>34282.26648</x:v>
      </x:c>
      <x:c r="D8" s="50" t="n">
        <x:f>D4*(Assumptions!$B$7+Assumptions!$B$9+0.0085+Assumptions!$B$8)</x:f>
        <x:v>37888.6662</x:v>
      </x:c>
      <x:c r="E8" s="50" t="n">
        <x:f>E4*(Assumptions!$B$7+Assumptions!$B$9+0.0085+Assumptions!$B$8)</x:f>
        <x:v>34777.01304</x:v>
      </x:c>
      <x:c r="F8" s="50" t="n">
        <x:f>F4*(Assumptions!$B$7+Assumptions!$B$9+0.0085+Assumptions!$B$8)</x:f>
        <x:v>34056.18215999999</x:v>
      </x:c>
      <x:c r="G8" s="50" t="n">
        <x:f>G4*(Assumptions!$B$7+Assumptions!$B$9+0.0085+Assumptions!$B$8)</x:f>
        <x:v>29670.933600000008</x:v>
      </x:c>
      <x:c r="H8" s="50" t="n">
        <x:f>H4*(Assumptions!$B$7+Assumptions!$B$9+0.0085+Assumptions!$B$8)</x:f>
        <x:v>34422.612840000016</x:v>
      </x:c>
      <x:c r="I8" s="50" t="n">
        <x:f>I4*(Assumptions!$B$7+Assumptions!$B$9+0.0085+Assumptions!$B$8)</x:f>
        <x:v>37289.69244000001</x:v>
      </x:c>
      <x:c r="J8" s="50" t="n">
        <x:f>J4*(Assumptions!$B$7+Assumptions!$B$9+0.0085+Assumptions!$B$8)</x:f>
        <x:v>36743.08176</x:v>
      </x:c>
      <x:c r="K8" s="50" t="n">
        <x:f>K4*(Assumptions!$B$7+Assumptions!$B$9+0.0085+Assumptions!$B$8)</x:f>
        <x:v>56882.96460000001</x:v>
      </x:c>
      <x:c r="L8" s="50" t="n">
        <x:f>L4*(Assumptions!$B$7+Assumptions!$B$9+0.0085+Assumptions!$B$8)</x:f>
        <x:v>56801.93904000002</x:v>
      </x:c>
      <x:c r="M8" s="50" t="n">
        <x:f>M4*(Assumptions!$B$7+Assumptions!$B$9+0.0085+Assumptions!$B$8)</x:f>
        <x:v>42601.786920000006</x:v>
      </x:c>
      <x:c r="N8" s="30" t="n">
        <x:f>SUM(B8:M8)</x:f>
        <x:v>472178.9595600001</x:v>
      </x:c>
      <x:c r="O8" s="30"/>
    </x:row>
    <x:row r="9">
      <x:c r="A9" t="str">
        <x:v>Contribution Margin</x:v>
      </x:c>
      <x:c r="B9" s="50" t="n">
        <x:f>B7-B8</x:f>
        <x:v>75799.37270400004</x:v>
      </x:c>
      <x:c r="C9" s="50" t="n">
        <x:f>C7-C8</x:f>
        <x:v>70686.768504</x:v>
      </x:c>
      <x:c r="D9" s="50" t="n">
        <x:f>D7-D8</x:f>
        <x:v>78122.82126</x:v>
      </x:c>
      <x:c r="E9" s="50" t="n">
        <x:f>E7-E8</x:f>
        <x:v>71706.88879199998</x:v>
      </x:c>
      <x:c r="F9" s="50" t="n">
        <x:f>F7-F8</x:f>
        <x:v>70220.60416799996</x:v>
      </x:c>
      <x:c r="G9" s="50" t="n">
        <x:f>G7-G8</x:f>
        <x:v>61178.63928000002</x:v>
      </x:c>
      <x:c r="H9" s="50" t="n">
        <x:f>H7-H8</x:f>
        <x:v>70976.14933200004</x:v>
      </x:c>
      <x:c r="I9" s="50" t="n">
        <x:f>I7-I8</x:f>
        <x:v>76887.79441200002</x:v>
      </x:c>
      <x:c r="J9" s="50" t="n">
        <x:f>J7-J8</x:f>
        <x:v>75760.73524800001</x:v>
      </x:c>
      <x:c r="K9" s="50" t="n">
        <x:f>K7-K8</x:f>
        <x:v>117287.25558</x:v>
      </x:c>
      <x:c r="L9" s="50" t="n">
        <x:f>L7-L8</x:f>
        <x:v>117120.18859200002</x:v>
      </x:c>
      <x:c r="M9" s="50" t="n">
        <x:f>M7-M8</x:f>
        <x:v>87840.82731600001</x:v>
      </x:c>
      <x:c r="N9" s="30" t="n">
        <x:f>SUM(B9:M9)</x:f>
        <x:v>973588.0451880001</x:v>
      </x:c>
      <x:c r="O9" s="30" t="n">
        <x:f>N9-'Monthly Marketplace P&amp;L'!N12</x:f>
        <x:v>77941.81518799998</x:v>
      </x:c>
    </x:row>
    <x:row r="10">
      <x:c r="A10" t="str">
        <x:v>Fixed Platform Cost</x:v>
      </x:c>
      <x:c r="B10" s="50" t="n">
        <x:f>Assumptions!$B$10/12</x:f>
        <x:v>35000</x:v>
      </x:c>
      <x:c r="C10" s="50" t="n">
        <x:f>Assumptions!$B$10/12</x:f>
        <x:v>35000</x:v>
      </x:c>
      <x:c r="D10" s="50" t="n">
        <x:f>Assumptions!$B$10/12</x:f>
        <x:v>35000</x:v>
      </x:c>
      <x:c r="E10" s="50" t="n">
        <x:f>Assumptions!$B$10/12</x:f>
        <x:v>35000</x:v>
      </x:c>
      <x:c r="F10" s="50" t="n">
        <x:f>Assumptions!$B$10/12</x:f>
        <x:v>35000</x:v>
      </x:c>
      <x:c r="G10" s="50" t="n">
        <x:f>Assumptions!$B$10/12</x:f>
        <x:v>35000</x:v>
      </x:c>
      <x:c r="H10" s="50" t="n">
        <x:f>Assumptions!$B$10/12</x:f>
        <x:v>35000</x:v>
      </x:c>
      <x:c r="I10" s="50" t="n">
        <x:f>Assumptions!$B$10/12</x:f>
        <x:v>35000</x:v>
      </x:c>
      <x:c r="J10" s="50" t="n">
        <x:f>Assumptions!$B$10/12</x:f>
        <x:v>35000</x:v>
      </x:c>
      <x:c r="K10" s="50" t="n">
        <x:f>Assumptions!$B$10/12</x:f>
        <x:v>35000</x:v>
      </x:c>
      <x:c r="L10" s="50" t="n">
        <x:f>Assumptions!$B$10/12</x:f>
        <x:v>35000</x:v>
      </x:c>
      <x:c r="M10" s="50" t="n">
        <x:f>Assumptions!$B$10/12</x:f>
        <x:v>35000</x:v>
      </x:c>
      <x:c r="N10" s="30" t="n">
        <x:f>SUM(B10:M10)</x:f>
        <x:v>420000</x:v>
      </x:c>
      <x:c r="O10" s="30"/>
    </x:row>
    <x:row r="11">
      <x:c r="A11" t="str">
        <x:v>Operating Profit</x:v>
      </x:c>
      <x:c r="B11" s="50" t="n">
        <x:f>B9-B10</x:f>
        <x:v>40799.37270400004</x:v>
      </x:c>
      <x:c r="C11" s="50" t="n">
        <x:f>C9-C10</x:f>
        <x:v>35686.76850400001</x:v>
      </x:c>
      <x:c r="D11" s="50" t="n">
        <x:f>D9-D10</x:f>
        <x:v>43122.82126</x:v>
      </x:c>
      <x:c r="E11" s="50" t="n">
        <x:f>E9-E10</x:f>
        <x:v>36706.88879199998</x:v>
      </x:c>
      <x:c r="F11" s="50" t="n">
        <x:f>F9-F10</x:f>
        <x:v>35220.60416799996</x:v>
      </x:c>
      <x:c r="G11" s="50" t="n">
        <x:f>G9-G10</x:f>
        <x:v>26178.639280000018</x:v>
      </x:c>
      <x:c r="H11" s="50" t="n">
        <x:f>H9-H10</x:f>
        <x:v>35976.149332000045</x:v>
      </x:c>
      <x:c r="I11" s="50" t="n">
        <x:f>I9-I10</x:f>
        <x:v>41887.79441200002</x:v>
      </x:c>
      <x:c r="J11" s="50" t="n">
        <x:f>J9-J10</x:f>
        <x:v>40760.73524800001</x:v>
      </x:c>
      <x:c r="K11" s="50" t="n">
        <x:f>K9-K10</x:f>
        <x:v>82287.25558</x:v>
      </x:c>
      <x:c r="L11" s="50" t="n">
        <x:f>L9-L10</x:f>
        <x:v>82120.18859200002</x:v>
      </x:c>
      <x:c r="M11" s="50" t="n">
        <x:f>M9-M10</x:f>
        <x:v>52840.82731600001</x:v>
      </x:c>
      <x:c r="N11" s="30" t="n">
        <x:f>SUM(B11:M11)</x:f>
        <x:v>553588.0451880002</x:v>
      </x:c>
      <x:c r="O11" s="30" t="n">
        <x:f>N11-'Monthly Marketplace P&amp;L'!N14</x:f>
        <x:v>77941.8151880118</x:v>
      </x:c>
    </x:row>
    <x:row r="12">
      <x:c r="A12" t="str">
        <x:v>Contribution Margin %</x:v>
      </x:c>
      <x:c r="B12" s="51" t="n">
        <x:f>IFERROR(B9/B5,0)</x:f>
        <x:v>0.6661538461538462</x:v>
      </x:c>
      <x:c r="C12" s="51" t="n">
        <x:f>IFERROR(C9/C5,0)</x:f>
        <x:v>0.6661538461538462</x:v>
      </x:c>
      <x:c r="D12" s="51" t="n">
        <x:f>IFERROR(D9/D5,0)</x:f>
        <x:v>0.6661538461538461</x:v>
      </x:c>
      <x:c r="E12" s="51" t="n">
        <x:f>IFERROR(E9/E5,0)</x:f>
        <x:v>0.666153846153846</x:v>
      </x:c>
      <x:c r="F12" s="51" t="n">
        <x:f>IFERROR(F9/F5,0)</x:f>
        <x:v>0.6661538461538461</x:v>
      </x:c>
      <x:c r="G12" s="51" t="n">
        <x:f>IFERROR(G9/G5,0)</x:f>
        <x:v>0.6661538461538462</x:v>
      </x:c>
      <x:c r="H12" s="51" t="n">
        <x:f>IFERROR(H9/H5,0)</x:f>
        <x:v>0.6661538461538462</x:v>
      </x:c>
      <x:c r="I12" s="51" t="n">
        <x:f>IFERROR(I9/I5,0)</x:f>
        <x:v>0.6661538461538461</x:v>
      </x:c>
      <x:c r="J12" s="51" t="n">
        <x:f>IFERROR(J9/J5,0)</x:f>
        <x:v>0.6661538461538462</x:v>
      </x:c>
      <x:c r="K12" s="51" t="n">
        <x:f>IFERROR(K9/K5,0)</x:f>
        <x:v>0.6661538461538461</x:v>
      </x:c>
      <x:c r="L12" s="51" t="n">
        <x:f>IFERROR(L9/L5,0)</x:f>
        <x:v>0.6661538461538461</x:v>
      </x:c>
      <x:c r="M12" s="51" t="n">
        <x:f>IFERROR(M9/M5,0)</x:f>
        <x:v>0.6661538461538461</x:v>
      </x:c>
      <x:c r="N12" s="28" t="n">
        <x:f>IFERROR(N9/N5,0)</x:f>
        <x:v>0.6661538461538461</x:v>
      </x:c>
      <x:c r="O12" s="28" t="n">
        <x:f>N12-'Monthly Marketplace P&amp;L'!N15</x:f>
        <x:v>-0.005394720091990379</x:v>
      </x:c>
    </x:row>
  </x:sheetData>
  <x:mergeCells>
    <x:mergeCell ref="A1:O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8" hidden="0" customWidth="1"/>
  </x:cols>
  <x:sheetData>
    <x:row r="1" ht="28" customHeight="1">
      <x:c r="A1" s="4" t="str">
        <x:v>Marketplace Scenario Planning | FY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Scenario</x:v>
      </x:c>
      <x:c r="B3" s="11" t="str">
        <x:v>GMV Growth</x:v>
      </x:c>
      <x:c r="C3" s="11" t="str">
        <x:v>Take Rate</x:v>
      </x:c>
      <x:c r="D3" s="11" t="str">
        <x:v>Refund Rate</x:v>
      </x:c>
      <x:c r="E3" s="11" t="str">
        <x:v>Promo % GMV</x:v>
      </x:c>
      <x:c r="F3" s="11" t="str">
        <x:v>FY GMV</x:v>
      </x:c>
      <x:c r="G3" s="11" t="str">
        <x:v>Marketplace Revenue</x:v>
      </x:c>
      <x:c r="H3" s="11" t="str">
        <x:v>Contribution Margin</x:v>
      </x:c>
      <x:c r="I3" s="11" t="str">
        <x:v>Operating Profit</x:v>
      </x:c>
      <x:c r="J3" s="11" t="str">
        <x:v>Decision Context</x:v>
      </x:c>
    </x:row>
    <x:row r="4">
      <x:c r="A4" t="str">
        <x:v>Base</x:v>
      </x:c>
      <x:c r="B4" s="51" t="n">
        <x:f>Assumptions!B4</x:f>
        <x:v>0.1</x:v>
      </x:c>
      <x:c r="C4" s="51" t="n">
        <x:f>Assumptions!B5</x:f>
        <x:v>0.13</x:v>
      </x:c>
      <x:c r="D4" s="51" t="n">
        <x:f>Assumptions!B6</x:f>
        <x:v>0.04</x:v>
      </x:c>
      <x:c r="E4" s="51" t="n">
        <x:f>Assumptions!B8</x:f>
        <x:v>0.0105</x:v>
      </x:c>
      <x:c r="F4" s="50" t="n">
        <x:f>'Monthly Marketplace P&amp;L'!N4*(1+B4)</x:f>
        <x:v>11242356.18</x:v>
      </x:c>
      <x:c r="G4" s="50" t="n">
        <x:f>F4*C4</x:f>
        <x:v>1461506.3034</x:v>
      </x:c>
      <x:c r="H4" s="50" t="n">
        <x:f>G4-F4*D4*2%-F4*(Assumptions!B7+Assumptions!B9+0.0085+E4)</x:f>
        <x:v>980333.458896</x:v>
      </x:c>
      <x:c r="I4" s="50" t="n">
        <x:f>H4-Assumptions!B10</x:f>
        <x:v>560333.458896</x:v>
      </x:c>
      <x:c r="J4" t="str">
        <x:v>Expected operating plan</x:v>
      </x:c>
    </x:row>
    <x:row r="5">
      <x:c r="A5" t="str">
        <x:v>Upside</x:v>
      </x:c>
      <x:c r="B5" s="51" t="n">
        <x:f>Assumptions!C4</x:f>
        <x:v>0.16</x:v>
      </x:c>
      <x:c r="C5" s="51" t="n">
        <x:f>Assumptions!C5</x:f>
        <x:v>0.14</x:v>
      </x:c>
      <x:c r="D5" s="51" t="n">
        <x:f>Assumptions!C6</x:f>
        <x:v>0.032</x:v>
      </x:c>
      <x:c r="E5" s="51" t="n">
        <x:f>Assumptions!C8</x:f>
        <x:v>0.0085</x:v>
      </x:c>
      <x:c r="F5" s="50" t="n">
        <x:f>'Monthly Marketplace P&amp;L'!N4*(1+B5)</x:f>
        <x:v>11855575.607999997</x:v>
      </x:c>
      <x:c r="G5" s="50" t="n">
        <x:f>F5*C5</x:f>
        <x:v>1659780.5851199997</x:v>
      </x:c>
      <x:c r="H5" s="50" t="n">
        <x:f>G5-F5*D5*2%-F5*(Assumptions!C7+Assumptions!C9+0.0085+E5)</x:f>
        <x:v>1198124.4709444798</x:v>
      </x:c>
      <x:c r="I5" s="50" t="n">
        <x:f>H5-Assumptions!C10</x:f>
        <x:v>808124.4709444798</x:v>
      </x:c>
      <x:c r="J5" t="str">
        <x:v>Growth investment capacity</x:v>
      </x:c>
    </x:row>
    <x:row r="6">
      <x:c r="A6" t="str">
        <x:v>Downside</x:v>
      </x:c>
      <x:c r="B6" s="51" t="n">
        <x:f>Assumptions!D4</x:f>
        <x:v>0.04</x:v>
      </x:c>
      <x:c r="C6" s="51" t="n">
        <x:f>Assumptions!D5</x:f>
        <x:v>0.12</x:v>
      </x:c>
      <x:c r="D6" s="51" t="n">
        <x:f>Assumptions!D6</x:f>
        <x:v>0.055</x:v>
      </x:c>
      <x:c r="E6" s="51" t="n">
        <x:f>Assumptions!D8</x:f>
        <x:v>0.014</x:v>
      </x:c>
      <x:c r="F6" s="50" t="n">
        <x:f>'Monthly Marketplace P&amp;L'!N4*(1+B6)</x:f>
        <x:v>10629136.751999998</x:v>
      </x:c>
      <x:c r="G6" s="50" t="n">
        <x:f>F6*C6</x:f>
        <x:v>1275496.4102399999</x:v>
      </x:c>
      <x:c r="H6" s="50" t="n">
        <x:f>G6-F6*D6*2%-F6*(Assumptions!D7+Assumptions!D9+0.0085+E6)</x:f>
        <x:v>748291.2273407999</x:v>
      </x:c>
      <x:c r="I6" s="50" t="n">
        <x:f>H6-Assumptions!D10</x:f>
        <x:v>278291.2273407999</x:v>
      </x:c>
      <x:c r="J6" t="str">
        <x:v>Cost / liquidity protection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</x:cols>
  <x:sheetData>
    <x:row r="1" ht="28" customHeight="1">
      <x:c r="A1" s="4" t="str">
        <x:v>Marketing Efficiency &amp; Growth Allocation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Category</x:v>
      </x:c>
      <x:c r="B3" s="11" t="str">
        <x:v>Promo Spend</x:v>
      </x:c>
      <x:c r="C3" s="11" t="str">
        <x:v>GMV</x:v>
      </x:c>
      <x:c r="D3" s="11" t="str">
        <x:v>Marketplace Revenue</x:v>
      </x:c>
      <x:c r="E3" s="11" t="str">
        <x:v>Revenue / Promo $</x:v>
      </x:c>
      <x:c r="F3" s="11" t="str">
        <x:v>CM / Promo $</x:v>
      </x:c>
      <x:c r="G3" s="11" t="str">
        <x:v>Recommendation</x:v>
      </x:c>
      <x:c r="H3" s="11" t="str">
        <x:v>Rationale</x:v>
      </x:c>
    </x:row>
    <x:row r="4">
      <x:c r="A4" t="str">
        <x:v>Home &amp; Kitchen</x:v>
      </x:c>
      <x:c r="B4" s="30" t="n">
        <x:v>626.18</x:v>
      </x:c>
      <x:c r="C4" s="30" t="n">
        <x:v>35349.95</x:v>
      </x:c>
      <x:c r="D4" s="30" t="n">
        <x:v>4819.02</x:v>
      </x:c>
      <x:c r="E4" s="54" t="n">
        <x:v>7.695902136765787</x:v>
      </x:c>
      <x:c r="F4" s="54" t="n">
        <x:v>0.7190424478584433</x:v>
      </x:c>
      <x:c r="G4" t="str">
        <x:v>Reduce / optimize</x:v>
      </x:c>
      <x:c r="H4" t="str">
        <x:v>Low marginal efficiency</x:v>
      </x:c>
    </x:row>
    <x:row r="5">
      <x:c r="A5" t="str">
        <x:v>Apparel</x:v>
      </x:c>
      <x:c r="B5" s="30" t="n">
        <x:v>280.09</x:v>
      </x:c>
      <x:c r="C5" s="30" t="n">
        <x:v>14607.64</x:v>
      </x:c>
      <x:c r="D5" s="30" t="n">
        <x:v>1796.71</x:v>
      </x:c>
      <x:c r="E5" s="54" t="n">
        <x:v>6.414759541575923</x:v>
      </x:c>
      <x:c r="F5" s="54" t="n">
        <x:v>-0.7353350708700775</x:v>
      </x:c>
      <x:c r="G5" t="str">
        <x:v>Reduce / optimize</x:v>
      </x:c>
      <x:c r="H5" t="str">
        <x:v>Low marginal efficiency</x:v>
      </x:c>
    </x:row>
    <x:row r="6">
      <x:c r="A6" t="str">
        <x:v>Pet Supplies</x:v>
      </x:c>
      <x:c r="B6" s="30" t="n">
        <x:v>422.48</x:v>
      </x:c>
      <x:c r="C6" s="30" t="n">
        <x:v>23973.88</x:v>
      </x:c>
      <x:c r="D6" s="30" t="n">
        <x:v>3195.84</x:v>
      </x:c>
      <x:c r="E6" s="54" t="n">
        <x:v>7.564476424919523</x:v>
      </x:c>
      <x:c r="F6" s="54" t="n">
        <x:v>-0.9523764438553304</x:v>
      </x:c>
      <x:c r="G6" t="str">
        <x:v>Reduce / optimize</x:v>
      </x:c>
      <x:c r="H6" t="str">
        <x:v>Low marginal efficiency</x:v>
      </x:c>
    </x:row>
    <x:row r="7">
      <x:c r="A7" t="str">
        <x:v>Sports</x:v>
      </x:c>
      <x:c r="B7" s="30" t="n">
        <x:v>450.36</x:v>
      </x:c>
      <x:c r="C7" s="30" t="n">
        <x:v>25322.16</x:v>
      </x:c>
      <x:c r="D7" s="30" t="n">
        <x:v>3280.7</x:v>
      </x:c>
      <x:c r="E7" s="54" t="n">
        <x:v>7.284616751043609</x:v>
      </x:c>
      <x:c r="F7" s="54" t="n">
        <x:v>0.27891020516919796</x:v>
      </x:c>
      <x:c r="G7" t="str">
        <x:v>Reduce / optimize</x:v>
      </x:c>
      <x:c r="H7" t="str">
        <x:v>Low marginal efficiency</x:v>
      </x:c>
    </x:row>
    <x:row r="8">
      <x:c r="A8" t="str">
        <x:v>Beauty</x:v>
      </x:c>
      <x:c r="B8" s="30" t="n">
        <x:v>153.85</x:v>
      </x:c>
      <x:c r="C8" s="30" t="n">
        <x:v>8648.45</x:v>
      </x:c>
      <x:c r="D8" s="30" t="n">
        <x:v>1266.93</x:v>
      </x:c>
      <x:c r="E8" s="54" t="n">
        <x:v>8.234839129021776</x:v>
      </x:c>
      <x:c r="F8" s="54" t="n">
        <x:v>-0.923431914202145</x:v>
      </x:c>
      <x:c r="G8" t="str">
        <x:v>Reduce / optimize</x:v>
      </x:c>
      <x:c r="H8" t="str">
        <x:v>Low marginal efficiency</x:v>
      </x:c>
    </x:row>
    <x:row r="9">
      <x:c r="A9" t="str">
        <x:v>Electronics</x:v>
      </x:c>
      <x:c r="B9" s="30" t="n">
        <x:v>1108.78</x:v>
      </x:c>
      <x:c r="C9" s="30" t="n">
        <x:v>62436.65</x:v>
      </x:c>
      <x:c r="D9" s="30" t="n">
        <x:v>7869.18</x:v>
      </x:c>
      <x:c r="E9" s="54" t="n">
        <x:v>7.0971518245278595</x:v>
      </x:c>
      <x:c r="F9" s="54" t="n">
        <x:v>1.0730803225166399</x:v>
      </x:c>
      <x:c r="G9" t="str">
        <x:v>Reduce / optimize</x:v>
      </x:c>
      <x:c r="H9" t="str">
        <x:v>Low marginal efficiency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Fulfillment Economics by Category</x:v>
      </x:c>
      <x:c r="B1" s="4"/>
      <x:c r="C1" s="4"/>
      <x:c r="D1" s="4"/>
      <x:c r="E1" s="4"/>
      <x:c r="F1" s="4"/>
      <x:c r="G1" s="4"/>
    </x:row>
    <x:row r="3">
      <x:c r="A3" s="11" t="str">
        <x:v>Category</x:v>
      </x:c>
      <x:c r="B3" s="11" t="str">
        <x:v>Units</x:v>
      </x:c>
      <x:c r="C3" s="11" t="str">
        <x:v>Fulfillment Cost</x:v>
      </x:c>
      <x:c r="D3" s="11" t="str">
        <x:v>Cost / Unit</x:v>
      </x:c>
      <x:c r="E3" s="11" t="str">
        <x:v>Cost / $100 GMV</x:v>
      </x:c>
      <x:c r="F3" s="11" t="str">
        <x:v>Contribution Margin %</x:v>
      </x:c>
      <x:c r="G3" s="11" t="str">
        <x:v>Action</x:v>
      </x:c>
    </x:row>
    <x:row r="4">
      <x:c r="A4" t="str">
        <x:v>Home &amp; Kitchen</x:v>
      </x:c>
      <x:c r="B4" t="n">
        <x:v>850</x:v>
      </x:c>
      <x:c r="C4" s="26" t="n">
        <x:v>1632</x:v>
      </x:c>
      <x:c r="D4" s="26" t="n">
        <x:v>1.92</x:v>
      </x:c>
      <x:c r="E4" s="26" t="n">
        <x:v>4.616696770433905</x:v>
      </x:c>
      <x:c r="F4" s="28" t="n">
        <x:v>0.09343185958970911</x:v>
      </x:c>
      <x:c r="G4" t="str">
        <x:v>Optimize packaging/network</x:v>
      </x:c>
    </x:row>
    <x:row r="5">
      <x:c r="A5" t="str">
        <x:v>Apparel</x:v>
      </x:c>
      <x:c r="B5" t="n">
        <x:v>453</x:v>
      </x:c>
      <x:c r="C5" s="26" t="n">
        <x:v>724.8</x:v>
      </x:c>
      <x:c r="D5" s="26" t="n">
        <x:v>1.6</x:v>
      </x:c>
      <x:c r="E5" s="26" t="n">
        <x:v>4.961787119616859</x:v>
      </x:c>
      <x:c r="F5" s="28" t="n">
        <x:v>-0.11463174357575792</x:v>
      </x:c>
      <x:c r="G5" t="str">
        <x:v>Optimize packaging/network</x:v>
      </x:c>
    </x:row>
    <x:row r="6">
      <x:c r="A6" t="str">
        <x:v>Pet Supplies</x:v>
      </x:c>
      <x:c r="B6" t="n">
        <x:v>977</x:v>
      </x:c>
      <x:c r="C6" s="26" t="n">
        <x:v>1406.88</x:v>
      </x:c>
      <x:c r="D6" s="26" t="n">
        <x:v>1.4400000000000002</x:v>
      </x:c>
      <x:c r="E6" s="26" t="n">
        <x:v>5.868386760924807</x:v>
      </x:c>
      <x:c r="F6" s="28" t="n">
        <x:v>-0.12590117152297986</x:v>
      </x:c>
      <x:c r="G6" t="str">
        <x:v>Optimize packaging/network</x:v>
      </x:c>
    </x:row>
    <x:row r="7">
      <x:c r="A7" t="str">
        <x:v>Sports</x:v>
      </x:c>
      <x:c r="B7" t="n">
        <x:v>651</x:v>
      </x:c>
      <x:c r="C7" s="26" t="n">
        <x:v>1145.76</x:v>
      </x:c>
      <x:c r="D7" s="26" t="n">
        <x:v>1.76</x:v>
      </x:c>
      <x:c r="E7" s="26" t="n">
        <x:v>4.524732487275966</x:v>
      </x:c>
      <x:c r="F7" s="28" t="n">
        <x:v>0.0382875605815832</x:v>
      </x:c>
      <x:c r="G7" t="str">
        <x:v>Optimize packaging/network</x:v>
      </x:c>
    </x:row>
    <x:row r="8">
      <x:c r="A8" t="str">
        <x:v>Beauty</x:v>
      </x:c>
      <x:c r="B8" t="n">
        <x:v>415</x:v>
      </x:c>
      <x:c r="C8" s="26" t="n">
        <x:v>531.2</x:v>
      </x:c>
      <x:c r="D8" s="26" t="n">
        <x:v>1.28</x:v>
      </x:c>
      <x:c r="E8" s="26" t="n">
        <x:v>6.1421410773028695</x:v>
      </x:c>
      <x:c r="F8" s="28" t="n">
        <x:v>-0.11213721357928219</x:v>
      </x:c>
      <x:c r="G8" t="str">
        <x:v>Optimize packaging/network</x:v>
      </x:c>
    </x:row>
    <x:row r="9">
      <x:c r="A9" t="str">
        <x:v>Electronics</x:v>
      </x:c>
      <x:c r="B9" t="n">
        <x:v>877</x:v>
      </x:c>
      <x:c r="C9" s="26" t="n">
        <x:v>2385.44</x:v>
      </x:c>
      <x:c r="D9" s="26" t="n">
        <x:v>2.72</x:v>
      </x:c>
      <x:c r="E9" s="26" t="n">
        <x:v>3.8205765363772723</x:v>
      </x:c>
      <x:c r="F9" s="28" t="n">
        <x:v>0.1511987271863142</x:v>
      </x:c>
      <x:c r="G9" t="str">
        <x:v>Optimize packaging/network</x:v>
      </x:c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Marketplace Working Capital &amp; Cash Timing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Metric</x:v>
      </x:c>
      <x:c r="B3" s="11" t="str">
        <x:v>Base Days</x:v>
      </x:c>
      <x:c r="C3" s="11" t="str">
        <x:v>Scenario Days</x:v>
      </x:c>
      <x:c r="D3" s="11" t="str">
        <x:v>Annual Flow ($)</x:v>
      </x:c>
      <x:c r="E3" s="11" t="str">
        <x:v>Base Cash Impact ($)</x:v>
      </x:c>
      <x:c r="F3" s="11" t="str">
        <x:v>Scenario Cash Impact ($)</x:v>
      </x:c>
      <x:c r="G3" s="11" t="str">
        <x:v>Cash Benefit / (Use)</x:v>
      </x:c>
      <x:c r="H3" s="11" t="str">
        <x:v>Management Lever</x:v>
      </x:c>
    </x:row>
    <x:row r="4">
      <x:c r="A4" t="str">
        <x:v>Seller payout timing</x:v>
      </x:c>
      <x:c r="B4" s="16" t="n">
        <x:v>14</x:v>
      </x:c>
      <x:c r="C4" s="18" t="n">
        <x:v>16</x:v>
      </x:c>
      <x:c r="D4" s="30" t="n">
        <x:v>170338.73</x:v>
      </x:c>
      <x:c r="E4" s="30" t="n">
        <x:v>6533.540328767123</x:v>
      </x:c>
      <x:c r="F4" s="30" t="n">
        <x:v>7466.9032328767125</x:v>
      </x:c>
      <x:c r="G4" s="30" t="n">
        <x:f>F4-E4</x:f>
        <x:v>933.3629041095892</x:v>
      </x:c>
      <x:c r="H4" t="str">
        <x:v>Payout terms</x:v>
      </x:c>
    </x:row>
    <x:row r="5">
      <x:c r="A5" t="str">
        <x:v>Payment processor settlement</x:v>
      </x:c>
      <x:c r="B5" s="16" t="n">
        <x:v>2</x:v>
      </x:c>
      <x:c r="C5" s="18" t="n">
        <x:v>1</x:v>
      </x:c>
      <x:c r="D5" s="30" t="n">
        <x:v>170338.73</x:v>
      </x:c>
      <x:c r="E5" s="30" t="n">
        <x:v>933.3629041095891</x:v>
      </x:c>
      <x:c r="F5" s="30" t="n">
        <x:v>466.68145205479453</x:v>
      </x:c>
      <x:c r="G5" s="30" t="n">
        <x:f>F5-E5</x:f>
        <x:v>-466.68145205479453</x:v>
      </x:c>
      <x:c r="H5" t="str">
        <x:v>Processor settlement</x:v>
      </x:c>
    </x:row>
    <x:row r="6">
      <x:c r="A6" t="str">
        <x:v>Refund reserve</x:v>
      </x:c>
      <x:c r="B6" s="16" t="n">
        <x:v>7</x:v>
      </x:c>
      <x:c r="C6" s="18" t="n">
        <x:v>5</x:v>
      </x:c>
      <x:c r="D6" s="30" t="n">
        <x:v>7335.79</x:v>
      </x:c>
      <x:c r="E6" s="30" t="n">
        <x:v>140.68638356164382</x:v>
      </x:c>
      <x:c r="F6" s="30" t="n">
        <x:v>100.49027397260274</x:v>
      </x:c>
      <x:c r="G6" s="30" t="n">
        <x:f>F6-E6</x:f>
        <x:v>-40.196109589041086</x:v>
      </x:c>
      <x:c r="H6" t="str">
        <x:v>Reserve policy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1" hidden="0" customWidth="1"/>
    <x:col min="8" max="8" width="21" hidden="0" customWidth="1"/>
  </x:cols>
  <x:sheetData>
    <x:row r="1" ht="28" customHeight="1">
      <x:c r="A1" s="4" t="str">
        <x:v>Marketplace Management Commentary</x:v>
      </x:c>
      <x:c r="B1" s="4"/>
      <x:c r="C1" s="4"/>
      <x:c r="D1" s="4"/>
      <x:c r="E1" s="4"/>
      <x:c r="F1" s="4"/>
      <x:c r="G1" s="4"/>
      <x:c r="H1" s="4"/>
    </x:row>
    <x:row r="3">
      <x:c r="A3" s="40" t="str">
        <x:v>Priority</x:v>
      </x:c>
      <x:c r="B3" s="40" t="str">
        <x:v>Area</x:v>
      </x:c>
      <x:c r="C3" s="40" t="str">
        <x:v>Finding</x:v>
      </x:c>
      <x:c r="D3" s="40" t="str">
        <x:v>Financial Impact</x:v>
      </x:c>
      <x:c r="E3" s="40" t="str">
        <x:v>Root Cause / Driver</x:v>
      </x:c>
      <x:c r="F3" s="40" t="str">
        <x:v>Recommended Action</x:v>
      </x:c>
      <x:c r="G3" s="40" t="str">
        <x:v>Owner</x:v>
      </x:c>
      <x:c r="H3" s="40" t="str">
        <x:v>Cadence</x:v>
      </x:c>
    </x:row>
    <x:row r="4">
      <x:c r="A4" s="41" t="str">
        <x:v>High</x:v>
      </x:c>
      <x:c r="B4" s="41" t="str">
        <x:v>Refund Leakage</x:v>
      </x:c>
      <x:c r="C4" s="41" t="str">
        <x:v>Electronics and Apparel carry the highest refund risk.</x:v>
      </x:c>
      <x:c r="D4" s="41" t="str">
        <x:v>Revenue leakage + support cost</x:v>
      </x:c>
      <x:c r="E4" s="41" t="str">
        <x:v>Warranty/fit-related returns</x:v>
      </x:c>
      <x:c r="F4" s="41" t="str">
        <x:v>SKU-level root cause analysis; improve content and policy controls</x:v>
      </x:c>
      <x:c r="G4" s="41" t="str">
        <x:v>Marketplace Ops</x:v>
      </x:c>
      <x:c r="H4" s="41" t="str">
        <x:v>Monthly</x:v>
      </x:c>
    </x:row>
    <x:row r="5">
      <x:c r="A5" s="41" t="str">
        <x:v>High</x:v>
      </x:c>
      <x:c r="B5" s="41" t="str">
        <x:v>Seller Mix</x:v>
      </x:c>
      <x:c r="C5" s="41" t="str">
        <x:v>Platinum sellers drive disproportionate GMV and healthier economics.</x:v>
      </x:c>
      <x:c r="D5" s="41" t="str">
        <x:v>Concentration + growth opportunity</x:v>
      </x:c>
      <x:c r="E5" s="41" t="str">
        <x:v>Quality, scale, lower refund behavior</x:v>
      </x:c>
      <x:c r="F5" s="41" t="str">
        <x:v>Protect top sellers and graduate high-potential Gold sellers</x:v>
      </x:c>
      <x:c r="G5" s="41" t="str">
        <x:v>Seller Growth</x:v>
      </x:c>
      <x:c r="H5" s="41" t="str">
        <x:v>Monthly</x:v>
      </x:c>
    </x:row>
    <x:row r="6">
      <x:c r="A6" s="41" t="str">
        <x:v>High</x:v>
      </x:c>
      <x:c r="B6" s="41" t="str">
        <x:v>Contribution Margin</x:v>
      </x:c>
      <x:c r="C6" s="41" t="str">
        <x:v>Marketplace profitability is sensitive to take rate and promo spend.</x:v>
      </x:c>
      <x:c r="D6" s="41" t="str">
        <x:v>Margin volatility</x:v>
      </x:c>
      <x:c r="E6" s="41" t="str">
        <x:v>Monetization and variable-cost mix</x:v>
      </x:c>
      <x:c r="F6" s="41" t="str">
        <x:v>Use scenario analysis before broad promotional changes</x:v>
      </x:c>
      <x:c r="G6" s="41" t="str">
        <x:v>Finance</x:v>
      </x:c>
      <x:c r="H6" s="41" t="str">
        <x:v>Monthly</x:v>
      </x:c>
    </x:row>
    <x:row r="7">
      <x:c r="A7" s="41" t="str">
        <x:v>Medium</x:v>
      </x:c>
      <x:c r="B7" s="41" t="str">
        <x:v>Category Growth</x:v>
      </x:c>
      <x:c r="C7" s="41" t="str">
        <x:v>Home &amp; Kitchen and Beauty offer attractive economics.</x:v>
      </x:c>
      <x:c r="D7" s="41" t="str">
        <x:v>Efficient growth opportunity</x:v>
      </x:c>
      <x:c r="E7" s="41" t="str">
        <x:v>Higher take rate / lower returns</x:v>
      </x:c>
      <x:c r="F7" s="41" t="str">
        <x:v>Shift incremental growth spend toward higher-quality categories</x:v>
      </x:c>
      <x:c r="G7" s="41" t="str">
        <x:v>Commercial</x:v>
      </x:c>
      <x:c r="H7" s="41" t="str">
        <x:v>Quarterly</x:v>
      </x:c>
    </x:row>
    <x:row r="8">
      <x:c r="A8" s="41" t="str">
        <x:v>Medium</x:v>
      </x:c>
      <x:c r="B8" s="41" t="str">
        <x:v>Fulfillment</x:v>
      </x:c>
      <x:c r="C8" s="41" t="str">
        <x:v>Category mix changes fulfillment cost per unit and per GMV.</x:v>
      </x:c>
      <x:c r="D8" s="41" t="str">
        <x:v>Variable cost pressure</x:v>
      </x:c>
      <x:c r="E8" s="41" t="str">
        <x:v>Product size/units/order mix</x:v>
      </x:c>
      <x:c r="F8" s="41" t="str">
        <x:v>Track category fulfillment economics in growth decisions</x:v>
      </x:c>
      <x:c r="G8" s="41" t="str">
        <x:v>Operations</x:v>
      </x:c>
      <x:c r="H8" s="41" t="str">
        <x:v>Monthly</x:v>
      </x:c>
    </x:row>
  </x:sheetData>
  <x:mergeCells>
    <x:mergeCell ref="A1:H1"/>
  </x:mergeCells>
  <x:dataValidations count="1">
    <x:dataValidation type="list" sqref="A4:A8">
      <x:formula1>"High,Medium,Low"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Marketplace Analytics Controls &amp; Governance</x:v>
      </x:c>
      <x:c r="B1" s="4"/>
      <x:c r="C1" s="4"/>
      <x:c r="D1" s="4"/>
      <x:c r="E1" s="4"/>
      <x:c r="F1" s="4"/>
      <x:c r="G1" s="4"/>
    </x:row>
    <x:row r="3">
      <x:c r="A3" s="40" t="str">
        <x:v>Control ID</x:v>
      </x:c>
      <x:c r="B3" s="40" t="str">
        <x:v>Process</x:v>
      </x:c>
      <x:c r="C3" s="40" t="str">
        <x:v>Control</x:v>
      </x:c>
      <x:c r="D3" s="40" t="str">
        <x:v>Evidence</x:v>
      </x:c>
      <x:c r="E3" s="40" t="str">
        <x:v>Frequency</x:v>
      </x:c>
      <x:c r="F3" s="40" t="str">
        <x:v>Owner</x:v>
      </x:c>
      <x:c r="G3" s="40" t="str">
        <x:v>Status</x:v>
      </x:c>
    </x:row>
    <x:row r="4">
      <x:c r="A4" s="41" t="str">
        <x:v>MKT-01</x:v>
      </x:c>
      <x:c r="B4" s="41" t="str">
        <x:v>Data load</x:v>
      </x:c>
      <x:c r="C4" s="41" t="str">
        <x:v>Validate order count, required columns, and duplicate OrderID.</x:v>
      </x:c>
      <x:c r="D4" s="41" t="str">
        <x:v>QA output</x:v>
      </x:c>
      <x:c r="E4" s="41" t="str">
        <x:v>Monthly</x:v>
      </x:c>
      <x:c r="F4" s="41" t="str">
        <x:v>Analyst</x:v>
      </x:c>
      <x:c r="G4" s="41" t="str">
        <x:v>Complete</x:v>
      </x:c>
    </x:row>
    <x:row r="5">
      <x:c r="A5" s="41" t="str">
        <x:v>MKT-02</x:v>
      </x:c>
      <x:c r="B5" s="41" t="str">
        <x:v>Seller dimension</x:v>
      </x:c>
      <x:c r="C5" s="41" t="str">
        <x:v>Confirm every order SellerID maps to seller dimension.</x:v>
      </x:c>
      <x:c r="D5" s="41" t="str">
        <x:v>Unmatched seller check</x:v>
      </x:c>
      <x:c r="E5" s="41" t="str">
        <x:v>Monthly</x:v>
      </x:c>
      <x:c r="F5" s="41" t="str">
        <x:v>Analyst</x:v>
      </x:c>
      <x:c r="G5" s="41" t="str">
        <x:v>Complete</x:v>
      </x:c>
    </x:row>
    <x:row r="6">
      <x:c r="A6" s="41" t="str">
        <x:v>MKT-03</x:v>
      </x:c>
      <x:c r="B6" s="41" t="str">
        <x:v>KPI tie-out</x:v>
      </x:c>
      <x:c r="C6" s="41" t="str">
        <x:v>Reconcile GMV and marketplace revenue between Excel and BI.</x:v>
      </x:c>
      <x:c r="D6" s="41" t="str">
        <x:v>Reconciliation file</x:v>
      </x:c>
      <x:c r="E6" s="41" t="str">
        <x:v>Monthly</x:v>
      </x:c>
      <x:c r="F6" s="41" t="str">
        <x:v>Finance</x:v>
      </x:c>
      <x:c r="G6" s="41" t="str">
        <x:v>Complete</x:v>
      </x:c>
    </x:row>
    <x:row r="7">
      <x:c r="A7" s="41" t="str">
        <x:v>MKT-04</x:v>
      </x:c>
      <x:c r="B7" s="41" t="str">
        <x:v>Refund review</x:v>
      </x:c>
      <x:c r="C7" s="41" t="str">
        <x:v>Escalate category refund rate above 6%.</x:v>
      </x:c>
      <x:c r="D7" s="41" t="str">
        <x:v>Exception report</x:v>
      </x:c>
      <x:c r="E7" s="41" t="str">
        <x:v>Monthly</x:v>
      </x:c>
      <x:c r="F7" s="41" t="str">
        <x:v>Marketplace Ops</x:v>
      </x:c>
      <x:c r="G7" s="41" t="str">
        <x:v>Complete</x:v>
      </x:c>
    </x:row>
    <x:row r="8">
      <x:c r="A8" s="41" t="str">
        <x:v>MKT-05</x:v>
      </x:c>
      <x:c r="B8" s="41" t="str">
        <x:v>Forecast</x:v>
      </x:c>
      <x:c r="C8" s="41" t="str">
        <x:v>Document assumption changes before forecast publication.</x:v>
      </x:c>
      <x:c r="D8" s="41" t="str">
        <x:v>Assumption log</x:v>
      </x:c>
      <x:c r="E8" s="41" t="str">
        <x:v>Monthly</x:v>
      </x:c>
      <x:c r="F8" s="41" t="str">
        <x:v>Finance</x:v>
      </x:c>
      <x:c r="G8" s="41" t="str">
        <x:v>Complete</x:v>
      </x:c>
    </x:row>
    <x:row r="9">
      <x:c r="A9" s="41" t="str">
        <x:v>MKT-06</x:v>
      </x:c>
      <x:c r="B9" s="41" t="str">
        <x:v>Seller concentration</x:v>
      </x:c>
      <x:c r="C9" s="41" t="str">
        <x:v>Review GMV concentration among top sellers.</x:v>
      </x:c>
      <x:c r="D9" s="41" t="str">
        <x:v>Seller scorecard</x:v>
      </x:c>
      <x:c r="E9" s="41" t="str">
        <x:v>Quarterly</x:v>
      </x:c>
      <x:c r="F9" s="41" t="str">
        <x:v>Commercial</x:v>
      </x:c>
      <x:c r="G9" s="41" t="str">
        <x:v>Complete</x:v>
      </x:c>
    </x:row>
    <x:row r="10">
      <x:c r="A10" s="41" t="str">
        <x:v>MKT-07</x:v>
      </x:c>
      <x:c r="B10" s="41" t="str">
        <x:v>Version control</x:v>
      </x:c>
      <x:c r="C10" s="41" t="str">
        <x:v>Archive dated model/reporting package.</x:v>
      </x:c>
      <x:c r="D10" s="41" t="str">
        <x:v>Version history</x:v>
      </x:c>
      <x:c r="E10" s="41" t="str">
        <x:v>Monthly</x:v>
      </x:c>
      <x:c r="F10" s="41" t="str">
        <x:v>Analyst</x:v>
      </x:c>
      <x:c r="G10" s="41" t="str">
        <x:v>Complete</x:v>
      </x:c>
    </x:row>
  </x:sheetData>
  <x:mergeCells>
    <x:mergeCell ref="A1:G1"/>
  </x:mergeCells>
  <x:dataValidations count="1">
    <x:dataValidation type="list" sqref="G4:G10">
      <x:formula1>"Complete,In Progress,Planned,Exception"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0" hidden="0" customWidth="1"/>
    <x:col min="3" max="3" width="40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4" t="str">
        <x:v>Marketplace KPI &amp; Data Dictionary</x:v>
      </x:c>
      <x:c r="B1" s="4"/>
      <x:c r="C1" s="4"/>
      <x:c r="D1" s="4"/>
      <x:c r="E1" s="4"/>
      <x:c r="F1" s="4"/>
    </x:row>
    <x:row r="3">
      <x:c r="A3" s="40" t="str">
        <x:v>Field / KPI</x:v>
      </x:c>
      <x:c r="B3" s="40" t="str">
        <x:v>Definition</x:v>
      </x:c>
      <x:c r="C3" s="40" t="str">
        <x:v>Formula / Logic</x:v>
      </x:c>
      <x:c r="D3" s="40" t="str">
        <x:v>Grain</x:v>
      </x:c>
      <x:c r="E3" s="40" t="str">
        <x:v>Owner</x:v>
      </x:c>
      <x:c r="F3" s="40" t="str">
        <x:v>Decision Use</x:v>
      </x:c>
    </x:row>
    <x:row r="4">
      <x:c r="A4" s="41" t="str">
        <x:v>GMV</x:v>
      </x:c>
      <x:c r="B4" s="41" t="str">
        <x:v>Gross merchandise value transacted through marketplace.</x:v>
      </x:c>
      <x:c r="C4" s="41" t="str">
        <x:v>Units × Unit Price × marketplace scaling</x:v>
      </x:c>
      <x:c r="D4" s="41" t="str">
        <x:v>Order</x:v>
      </x:c>
      <x:c r="E4" s="41" t="str">
        <x:v>Commercial</x:v>
      </x:c>
      <x:c r="F4" s="41" t="str">
        <x:v>Marketplace scale</x:v>
      </x:c>
    </x:row>
    <x:row r="5">
      <x:c r="A5" s="41" t="str">
        <x:v>Take Rate</x:v>
      </x:c>
      <x:c r="B5" s="41" t="str">
        <x:v>Marketplace revenue as a share of GMV.</x:v>
      </x:c>
      <x:c r="C5" s="41" t="str">
        <x:v>Marketplace Revenue / GMV</x:v>
      </x:c>
      <x:c r="D5" s="41" t="str">
        <x:v>Order / Period</x:v>
      </x:c>
      <x:c r="E5" s="41" t="str">
        <x:v>Finance</x:v>
      </x:c>
      <x:c r="F5" s="41" t="str">
        <x:v>Monetization</x:v>
      </x:c>
    </x:row>
    <x:row r="6">
      <x:c r="A6" s="41" t="str">
        <x:v>Marketplace Revenue</x:v>
      </x:c>
      <x:c r="B6" s="41" t="str">
        <x:v>Platform revenue generated from marketplace activity.</x:v>
      </x:c>
      <x:c r="C6" s="41" t="str">
        <x:v>GMV × Take Rate</x:v>
      </x:c>
      <x:c r="D6" s="41" t="str">
        <x:v>Order</x:v>
      </x:c>
      <x:c r="E6" s="41" t="str">
        <x:v>Finance</x:v>
      </x:c>
      <x:c r="F6" s="41" t="str">
        <x:v>Revenue</x:v>
      </x:c>
    </x:row>
    <x:row r="7">
      <x:c r="A7" s="41" t="str">
        <x:v>Refund Rate</x:v>
      </x:c>
      <x:c r="B7" s="41" t="str">
        <x:v>Share of orders with a refund.</x:v>
      </x:c>
      <x:c r="C7" s="41" t="str">
        <x:v>Refunded Orders / Orders</x:v>
      </x:c>
      <x:c r="D7" s="41" t="str">
        <x:v>Category / Seller</x:v>
      </x:c>
      <x:c r="E7" s="41" t="str">
        <x:v>Operations</x:v>
      </x:c>
      <x:c r="F7" s="41" t="str">
        <x:v>Customer experience / leakage</x:v>
      </x:c>
    </x:row>
    <x:row r="8">
      <x:c r="A8" s="41" t="str">
        <x:v>Contribution Margin</x:v>
      </x:c>
      <x:c r="B8" s="41" t="str">
        <x:v>Marketplace revenue less variable transaction costs.</x:v>
      </x:c>
      <x:c r="C8" s="41" t="str">
        <x:v>Revenue - payment - support - fulfillment - promo - refund processing</x:v>
      </x:c>
      <x:c r="D8" s="41" t="str">
        <x:v>Order</x:v>
      </x:c>
      <x:c r="E8" s="41" t="str">
        <x:v>Finance</x:v>
      </x:c>
      <x:c r="F8" s="41" t="str">
        <x:v>Unit economics</x:v>
      </x:c>
    </x:row>
    <x:row r="9">
      <x:c r="A9" s="41" t="str">
        <x:v>Contribution Margin %</x:v>
      </x:c>
      <x:c r="B9" s="41" t="str">
        <x:v>Contribution margin relative to marketplace revenue.</x:v>
      </x:c>
      <x:c r="C9" s="41" t="str">
        <x:v>Contribution Margin / Marketplace Revenue</x:v>
      </x:c>
      <x:c r="D9" s="41" t="str">
        <x:v>Period</x:v>
      </x:c>
      <x:c r="E9" s="41" t="str">
        <x:v>Finance</x:v>
      </x:c>
      <x:c r="F9" s="41" t="str">
        <x:v>Profit quality</x:v>
      </x:c>
    </x:row>
    <x:row r="10">
      <x:c r="A10" s="41" t="str">
        <x:v>AOV</x:v>
      </x:c>
      <x:c r="B10" s="41" t="str">
        <x:v>Average GMV per order.</x:v>
      </x:c>
      <x:c r="C10" s="41" t="str">
        <x:v>GMV / Orders</x:v>
      </x:c>
      <x:c r="D10" s="41" t="str">
        <x:v>Period</x:v>
      </x:c>
      <x:c r="E10" s="41" t="str">
        <x:v>Commercial</x:v>
      </x:c>
      <x:c r="F10" s="41" t="str">
        <x:v>Order quality</x:v>
      </x:c>
    </x:row>
    <x:row r="11">
      <x:c r="A11" s="41" t="str">
        <x:v>Seller Tier</x:v>
      </x:c>
      <x:c r="B11" s="41" t="str">
        <x:v>Performance segment used for seller management.</x:v>
      </x:c>
      <x:c r="C11" s="41" t="str">
        <x:v>Platinum/Gold/Silver/Bronze</x:v>
      </x:c>
      <x:c r="D11" s="41" t="str">
        <x:v>Seller</x:v>
      </x:c>
      <x:c r="E11" s="41" t="str">
        <x:v>Seller Growth</x:v>
      </x:c>
      <x:c r="F11" s="41" t="str">
        <x:v>Segmentation</x:v>
      </x:c>
    </x:row>
    <x:row r="12">
      <x:c r="A12" s="41" t="str">
        <x:v>Opportunity Score</x:v>
      </x:c>
      <x:c r="B12" s="41" t="str">
        <x:v>Composite category score combining monetization, margin, and low refunds.</x:v>
      </x:c>
      <x:c r="C12" s="41" t="str">
        <x:v>Weighted take rate + CM% + inverse refund rate</x:v>
      </x:c>
      <x:c r="D12" s="41" t="str">
        <x:v>Category</x:v>
      </x:c>
      <x:c r="E12" s="41" t="str">
        <x:v>Strategy</x:v>
      </x:c>
      <x:c r="F12" s="41" t="str">
        <x:v>Growth allocation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48" hidden="0" customWidth="1"/>
    <x:col min="4" max="4" width="21" hidden="0" customWidth="1"/>
    <x:col min="5" max="5" width="21" hidden="0" customWidth="1"/>
    <x:col min="6" max="6" width="21" hidden="0" customWidth="1"/>
    <x:col min="7" max="7" width="36" hidden="0" customWidth="1"/>
  </x:cols>
  <x:sheetData>
    <x:row r="1" ht="28" customHeight="1">
      <x:c r="A1" s="4" t="str">
        <x:v>Model Version Control</x:v>
      </x:c>
      <x:c r="B1" s="4"/>
      <x:c r="C1" s="4"/>
      <x:c r="D1" s="4"/>
      <x:c r="E1" s="4"/>
      <x:c r="F1" s="4"/>
      <x:c r="G1" s="4"/>
    </x:row>
    <x:row r="3">
      <x:c r="A3" s="11" t="str">
        <x:v>Version</x:v>
      </x:c>
      <x:c r="B3" s="11" t="str">
        <x:v>Date</x:v>
      </x:c>
      <x:c r="C3" s="11" t="str">
        <x:v>Change Summary</x:v>
      </x:c>
      <x:c r="D3" s="11" t="str">
        <x:v>Prepared By</x:v>
      </x:c>
      <x:c r="E3" s="11" t="str">
        <x:v>Reviewed By</x:v>
      </x:c>
      <x:c r="F3" s="11" t="str">
        <x:v>Status</x:v>
      </x:c>
      <x:c r="G3" s="11" t="str">
        <x:v>Notes</x:v>
      </x:c>
    </x:row>
    <x:row r="4">
      <x:c r="A4" t="str">
        <x:v>v1.0</x:v>
      </x:c>
      <x:c r="B4" t="str">
        <x:v>2026-09-10</x:v>
      </x:c>
      <x:c r="C4" t="str">
        <x:v>Corporate-ready marketplace analytics model created</x:v>
      </x:c>
      <x:c r="D4" t="str">
        <x:v>Jamie Christian</x:v>
      </x:c>
      <x:c r="E4" t="str">
        <x:v>Portfolio QA</x:v>
      </x:c>
      <x:c r="F4" t="str">
        <x:v>Final</x:v>
      </x:c>
      <x:c r="G4" t="str">
        <x:v>Synthetic portfolio dataset</x:v>
      </x:c>
    </x:row>
    <x:row r="5">
      <x:c r="A5" t="str">
        <x:v>v1.1</x:v>
      </x:c>
      <x:c r="B5" t="str">
        <x:v>2026-09-10</x:v>
      </x:c>
      <x:c r="C5" t="str">
        <x:v>Expanded seller/category economics, forecasting, controls, BI handoff and interview materials</x:v>
      </x:c>
      <x:c r="D5" t="str">
        <x:v>Jamie Christian</x:v>
      </x:c>
      <x:c r="E5" t="str">
        <x:v>Portfolio QA</x:v>
      </x:c>
      <x:c r="F5" t="str">
        <x:v>Final</x:v>
      </x:c>
      <x:c r="G5" t="str">
        <x:v>10/10 portfolio release</x:v>
      </x:c>
    </x:row>
  </x:sheetData>
  <x:mergeCells>
    <x:mergeCell ref="A1:G1"/>
  </x:mergeCells>
  <x:dataValidations count="1">
    <x:dataValidation type="list" sqref="F4:F20">
      <x:formula1>"Draft,In Review,Final,Superseded"</x:formula1>
    </x:dataValidation>
  </x:dataValidations>
  <x:pageMargins left="0.7" right="0.7" top="0.75" bottom="0.75" header="0.3" footer="0.3"/>
</x:worksheet>
</file>