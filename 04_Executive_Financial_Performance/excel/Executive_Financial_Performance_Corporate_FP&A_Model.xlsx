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bdacd2145e45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1ea4ad4fba6c48e6"/>
    <x:sheet xmlns:r="http://schemas.openxmlformats.org/officeDocument/2006/relationships" name="Monthly Performance" sheetId="2" r:id="Rbb3b1144b79446f3"/>
    <x:sheet xmlns:r="http://schemas.openxmlformats.org/officeDocument/2006/relationships" name="Variance Analysis" sheetId="3" r:id="Re2cd6590adf448ad"/>
    <x:sheet xmlns:r="http://schemas.openxmlformats.org/officeDocument/2006/relationships" name="Business Unit" sheetId="4" r:id="R89160a1214244b3e"/>
    <x:sheet xmlns:r="http://schemas.openxmlformats.org/officeDocument/2006/relationships" name="Forecast Scenarios" sheetId="5" r:id="Rc2d283ea8e29437c"/>
    <x:sheet xmlns:r="http://schemas.openxmlformats.org/officeDocument/2006/relationships" name="Controls" sheetId="6" r:id="R86cd467544f049ce"/>
    <x:sheet xmlns:r="http://schemas.openxmlformats.org/officeDocument/2006/relationships" name="Assumptions" sheetId="7" r:id="Rc8f6056bdab94fc8"/>
    <x:sheet xmlns:r="http://schemas.openxmlformats.org/officeDocument/2006/relationships" name="KPI Dictionary" sheetId="8" r:id="R2136b9d65c024d8d"/>
    <x:sheet xmlns:r="http://schemas.openxmlformats.org/officeDocument/2006/relationships" name="Data" sheetId="9" r:id="R33884edb70e744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;[Red]($#,##0);-"/>
    <x:numFmt numFmtId="201" formatCode="0.0%;[Red](0.0%);-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0000FF"/>
      <x:name val="Carlito"/>
    </x:font>
    <x:font>
      <x:i/>
      <x:sz val="11"/>
      <x:color rgb="FF555555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201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201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cc1c7c5b6e4489" /><Relationship Type="http://schemas.openxmlformats.org/officeDocument/2006/relationships/theme" Target="/xl/theme/theme1.xml" Id="Ra26b2c9a2cc54a7b" /><Relationship Type="http://schemas.openxmlformats.org/officeDocument/2006/relationships/sharedStrings" Target="/xl/sharedStrings.xml" Id="R92060024012f46fe" /><Relationship Type="http://schemas.openxmlformats.org/officeDocument/2006/relationships/worksheet" Target="/xl/worksheets/sheet1.xml" Id="R1ea4ad4fba6c48e6" /><Relationship Type="http://schemas.openxmlformats.org/officeDocument/2006/relationships/worksheet" Target="/xl/worksheets/sheet2.xml" Id="Rbb3b1144b79446f3" /><Relationship Type="http://schemas.openxmlformats.org/officeDocument/2006/relationships/worksheet" Target="/xl/worksheets/sheet3.xml" Id="Re2cd6590adf448ad" /><Relationship Type="http://schemas.openxmlformats.org/officeDocument/2006/relationships/worksheet" Target="/xl/worksheets/sheet4.xml" Id="R89160a1214244b3e" /><Relationship Type="http://schemas.openxmlformats.org/officeDocument/2006/relationships/worksheet" Target="/xl/worksheets/sheet5.xml" Id="Rc2d283ea8e29437c" /><Relationship Type="http://schemas.openxmlformats.org/officeDocument/2006/relationships/worksheet" Target="/xl/worksheets/sheet6.xml" Id="R86cd467544f049ce" /><Relationship Type="http://schemas.openxmlformats.org/officeDocument/2006/relationships/worksheet" Target="/xl/worksheets/sheet7.xml" Id="Rc8f6056bdab94fc8" /><Relationship Type="http://schemas.openxmlformats.org/officeDocument/2006/relationships/worksheet" Target="/xl/worksheets/sheet8.xml" Id="R2136b9d65c024d8d" /><Relationship Type="http://schemas.openxmlformats.org/officeDocument/2006/relationships/worksheet" Target="/xl/worksheets/sheet9.xml" Id="R33884edb70e7444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924ca0ac458408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acbaa5f1a0cc43f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Revenue: Actual vs Budget</a:t>
            </a:r>
          </a:p>
        </c:rich>
      </c:tx>
    </c:title>
    <c:plotArea>
      <c:lineChart>
        <c:grouping val="standard"/>
        <c:ser>
          <c:idx val="0"/>
          <c:order val="0"/>
          <c:tx>
            <c:v>Actual Revenue</c:v>
          </c:tx>
          <c:marker>
            <c:symbol val="none"/>
          </c:marker>
          <c:cat>
            <c:strRef>
              <c:f>'Monthly Performance'!$A$4:$A$35</c:f>
              <c:strCache>
                <c:ptCount val="0"/>
              </c:strCache>
            </c:strRef>
          </c:cat>
          <c:val>
            <c:numRef>
              <c:f>'Monthly Performance'!$B$4:$B$35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Budget Revenue</c:v>
          </c:tx>
          <c:marker>
            <c:symbol val="none"/>
          </c:marker>
          <c:cat>
            <c:strRef>
              <c:f>'Monthly Performance'!$A$4:$A$35</c:f>
              <c:strCache>
                <c:ptCount val="0"/>
              </c:strCache>
            </c:strRef>
          </c:cat>
          <c:val>
            <c:numRef>
              <c:f>'Monthly Performance'!$C$4:$C$35</c:f>
              <c:numCache>
                <c:formatCode>$#,##0;[Red]($#,##0);-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2026 YTD Revenue by Business Unit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Actual Revenue</c:v>
          </c:tx>
          <c:cat>
            <c:strRef>
              <c:f>'Business Unit'!$A$4:$A$7</c:f>
              <c:strCache>
                <c:ptCount val="0"/>
              </c:strCache>
            </c:strRef>
          </c:cat>
          <c:val>
            <c:numRef>
              <c:f>'Business Unit'!$B$4:$B$7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Budget Revenue</c:v>
          </c:tx>
          <c:cat>
            <c:strRef>
              <c:f>'Business Unit'!$A$4:$A$7</c:f>
              <c:strCache>
                <c:ptCount val="0"/>
              </c:strCache>
            </c:strRef>
          </c:cat>
          <c:val>
            <c:numRef>
              <c:f>'Business Unit'!$C$4:$C$7</c:f>
              <c:numCache>
                <c:formatCode>$#,##0;[Red]($#,##0);-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17</xdr:col>
      <xdr:colOff>0</xdr:colOff>
      <xdr:row>2</xdr:row>
      <xdr:rowOff>0</xdr:rowOff>
    </xdr:from>
    <xdr:to>
      <xdr:col>26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924ca0ac458408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11</xdr:col>
      <xdr:colOff>0</xdr:colOff>
      <xdr:row>2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baa5f1a0cc43f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0e52690293243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18a4fa96e85f4819" /></Relationships>
</file>

<file path=xl/worksheets/sheet1.xml><?xml version="1.0" encoding="utf-8"?>
<x:worksheet xmlns:x="http://schemas.openxmlformats.org/spreadsheetml/2006/main">
  <x:sheetFormatPr defaultRowHeight="15"/>
  <x:cols>
    <x:col min="1" max="1" width="74.12999725341797" hidden="0" customWidth="1"/>
    <x:col min="2" max="2" width="24" hidden="0" customWidth="1"/>
    <x:col min="3" max="3" width="28" hidden="0" customWidth="1"/>
    <x:col min="4" max="4" width="28" hidden="0" customWidth="1"/>
    <x:col min="5" max="5" width="13.380000114440918" hidden="0" customWidth="1"/>
    <x:col min="6" max="6" width="9.880000114440918" hidden="0" customWidth="1"/>
    <x:col min="7" max="7" width="5" hidden="0" customWidth="1"/>
    <x:col min="8" max="8" width="10.75" hidden="0" customWidth="1"/>
    <x:col min="9" max="9" width="7" hidden="0" customWidth="1"/>
    <x:col min="10" max="10" width="42" hidden="0" customWidth="1"/>
  </x:cols>
  <x:sheetData>
    <x:row r="1" ht="28" customHeight="1">
      <x:c r="A1" s="11" t="str">
        <x:v>Executive Financial Performance — CFO Management View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</x:row>
    <x:row r="2">
      <x:c r="A2" s="21" t="str">
        <x:v>Management reporting package | Actual vs Budget | Forecast | Variance | Profitability | Cash Flow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4">
      <x:c r="A4" s="3" t="str">
        <x:v>FY2026 YTD Executive Scorecard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6">
      <x:c r="A6" s="25" t="str">
        <x:v>KPI</x:v>
      </x:c>
      <x:c r="B6" s="25" t="str">
        <x:v>Actual</x:v>
      </x:c>
      <x:c r="C6" s="25" t="str">
        <x:v>Budget</x:v>
      </x:c>
      <x:c r="D6" s="25" t="str">
        <x:v>Variance $</x:v>
      </x:c>
      <x:c r="E6" s="25" t="str">
        <x:v>Variance %</x:v>
      </x:c>
      <x:c r="F6" s="25" t="str">
        <x:v>Prior Year</x:v>
      </x:c>
      <x:c r="G6" s="25" t="str">
        <x:v>YoY %</x:v>
      </x:c>
      <x:c r="H6" s="25" t="str">
        <x:v>Forecast FY</x:v>
      </x:c>
      <x:c r="I6" s="25" t="str">
        <x:v>Status</x:v>
      </x:c>
      <x:c r="J6" s="25" t="str">
        <x:v>Commentary</x:v>
      </x:c>
    </x:row>
    <x:row r="7">
      <x:c r="A7" t="str">
        <x:v>Revenue</x:v>
      </x:c>
      <x:c r="B7" s="6" t="n">
        <x:f>'Monthly Performance'!B28+'Monthly Performance'!B29+'Monthly Performance'!B30+'Monthly Performance'!B31+'Monthly Performance'!B32+'Monthly Performance'!B33+'Monthly Performance'!B34+'Monthly Performance'!B35</x:f>
        <x:v>100309451.47</x:v>
      </x:c>
      <x:c r="C7" s="6" t="n">
        <x:f>'Monthly Performance'!C28+'Monthly Performance'!C29+'Monthly Performance'!C30+'Monthly Performance'!C31+'Monthly Performance'!C32+'Monthly Performance'!C33+'Monthly Performance'!C34+'Monthly Performance'!C35</x:f>
        <x:v>99901513.32999998</x:v>
      </x:c>
      <x:c r="D7" s="6" t="n">
        <x:f>B7-C7</x:f>
        <x:v>407938.1400000155</x:v>
      </x:c>
      <x:c r="E7" s="8" t="n">
        <x:f>IFERROR(D7/C7,0)</x:f>
        <x:v>0.004083403007645065</x:v>
      </x:c>
      <x:c r="F7" s="6" t="n">
        <x:f>'Monthly Performance'!B16+'Monthly Performance'!B17+'Monthly Performance'!B18+'Monthly Performance'!B19+'Monthly Performance'!B20+'Monthly Performance'!B21+'Monthly Performance'!B22+'Monthly Performance'!B23</x:f>
        <x:v>93972492.91999999</x:v>
      </x:c>
      <x:c r="G7" s="8" t="n">
        <x:f>IFERROR(B7/F7-1,0)</x:f>
        <x:v>0.06743418582493876</x:v>
      </x:c>
      <x:c r="H7" s="6" t="n">
        <x:f>SUM('Monthly Performance'!L28:L35)/8*12</x:f>
        <x:v>150680747.64000002</x:v>
      </x:c>
      <x:c r="I7" t="str">
        <x:f>IF(D7&gt;=0,"On Track","Watch")</x:f>
        <x:v>On Track</x:v>
      </x:c>
      <x:c r="J7" s="28" t="str">
        <x:v>Revenue is measured against approved operating plan.</x:v>
      </x:c>
    </x:row>
    <x:row r="8">
      <x:c r="A8" t="str">
        <x:v>Gross Profit</x:v>
      </x:c>
      <x:c r="B8" s="6" t="n">
        <x:f>'Monthly Performance'!G28+'Monthly Performance'!G29+'Monthly Performance'!G30+'Monthly Performance'!G31+'Monthly Performance'!G32+'Monthly Performance'!G33+'Monthly Performance'!G34+'Monthly Performance'!G35</x:f>
        <x:v>53365802.17999999</x:v>
      </x:c>
      <x:c r="C8" s="6" t="n">
        <x:f>('Monthly Performance'!C28-'Monthly Performance'!F28)+('Monthly Performance'!C29-'Monthly Performance'!F29)+('Monthly Performance'!C30-'Monthly Performance'!F30)+('Monthly Performance'!C31-'Monthly Performance'!F31)+('Monthly Performance'!C32-'Monthly Performance'!F32)+('Monthly Performance'!C33-'Monthly Performance'!F33)+('Monthly Performance'!C34-'Monthly Performance'!F34)+('Monthly Performance'!C35-'Monthly Performance'!F35)</x:f>
        <x:v>52957864.04</x:v>
      </x:c>
      <x:c r="D8" s="6" t="n">
        <x:f>B8-C8</x:f>
        <x:v>407938.13999999315</x:v>
      </x:c>
      <x:c r="E8" s="8" t="n">
        <x:f>IFERROR(D8/C8,0)</x:f>
        <x:v>0.007703070118006843</x:v>
      </x:c>
      <x:c r="F8" s="6" t="n">
        <x:f>'Monthly Performance'!G16+'Monthly Performance'!G17+'Monthly Performance'!G18+'Monthly Performance'!G19+'Monthly Performance'!G20+'Monthly Performance'!G21+'Monthly Performance'!G22+'Monthly Performance'!G23</x:f>
        <x:v>50163988.15</x:v>
      </x:c>
      <x:c r="G8" s="8" t="n">
        <x:f>IFERROR(B8/F8-1,0)</x:f>
        <x:v>0.06382694335278827</x:v>
      </x:c>
      <x:c r="H8" s="6" t="n">
        <x:f>H7*Assumptions!$B$5</x:f>
        <x:v>80614199.98740001</x:v>
      </x:c>
      <x:c r="I8" t="str">
        <x:f>IF(D8&gt;=0,"On Track","Watch")</x:f>
        <x:v>On Track</x:v>
      </x:c>
      <x:c r="J8" s="28" t="str">
        <x:v>Gross profit isolates mix and cost-of-revenue performance.</x:v>
      </x:c>
    </x:row>
    <x:row r="9">
      <x:c r="A9" t="str">
        <x:v>EBITDA</x:v>
      </x:c>
      <x:c r="B9" s="6" t="n">
        <x:f>'Monthly Performance'!J28+'Monthly Performance'!J29+'Monthly Performance'!J30+'Monthly Performance'!J31+'Monthly Performance'!J32+'Monthly Performance'!J33+'Monthly Performance'!J34+'Monthly Performance'!J35</x:f>
        <x:v>23614187.769999992</x:v>
      </x:c>
      <x:c r="C9" s="6" t="n">
        <x:f>(('Monthly Performance'!C28-'Monthly Performance'!F28)-'Monthly Performance'!I28)+(('Monthly Performance'!C29-'Monthly Performance'!F29)-'Monthly Performance'!I29)+(('Monthly Performance'!C30-'Monthly Performance'!F30)-'Monthly Performance'!I30)+(('Monthly Performance'!C31-'Monthly Performance'!F31)-'Monthly Performance'!I31)+(('Monthly Performance'!C32-'Monthly Performance'!F32)-'Monthly Performance'!I32)+(('Monthly Performance'!C33-'Monthly Performance'!F33)-'Monthly Performance'!I33)+(('Monthly Performance'!C34-'Monthly Performance'!F34)-'Monthly Performance'!I34)+(('Monthly Performance'!C35-'Monthly Performance'!F35)-'Monthly Performance'!I35)</x:f>
        <x:v>23206249.63</x:v>
      </x:c>
      <x:c r="D9" s="6" t="n">
        <x:f>B9-C9</x:f>
        <x:v>407938.13999999315</x:v>
      </x:c>
      <x:c r="E9" s="8" t="n">
        <x:f>IFERROR(D9/C9,0)</x:f>
        <x:v>0.017578805128107774</x:v>
      </x:c>
      <x:c r="F9" s="6" t="n">
        <x:f>'Monthly Performance'!J16+'Monthly Performance'!J17+'Monthly Performance'!J18+'Monthly Performance'!J19+'Monthly Performance'!J20+'Monthly Performance'!J21+'Monthly Performance'!J22+'Monthly Performance'!J23</x:f>
        <x:v>22344890.229999997</x:v>
      </x:c>
      <x:c r="G9" s="8" t="n">
        <x:f>IFERROR(B9/F9-1,0)</x:f>
        <x:v>0.05680482324750247</x:v>
      </x:c>
      <x:c r="H9" s="6" t="n">
        <x:f>H7*Assumptions!$B$5-H7*Assumptions!$B$6</x:f>
        <x:v>36163379.43360001</x:v>
      </x:c>
      <x:c r="I9" t="str">
        <x:f>IF(D9&gt;=0,"On Track","Watch")</x:f>
        <x:v>On Track</x:v>
      </x:c>
      <x:c r="J9" s="28" t="str">
        <x:v>EBITDA is the primary operating profitability measure.</x:v>
      </x:c>
    </x:row>
    <x:row r="10">
      <x:c r="A10" t="str">
        <x:v>Operating Cash Flow</x:v>
      </x:c>
      <x:c r="B10" s="6" t="n">
        <x:f>'Monthly Performance'!N28+'Monthly Performance'!N29+'Monthly Performance'!N30+'Monthly Performance'!N31+'Monthly Performance'!N32+'Monthly Performance'!N33+'Monthly Performance'!N34+'Monthly Performance'!N35</x:f>
        <x:v>19719247.07</x:v>
      </x:c>
      <x:c r="C10" s="6" t="n">
        <x:f>B10/Assumptions!$B$8</x:f>
        <x:v>24047862.280487806</x:v>
      </x:c>
      <x:c r="D10" s="6" t="n">
        <x:f>B10-C10</x:f>
        <x:v>-4328615.210487805</x:v>
      </x:c>
      <x:c r="E10" s="8" t="n">
        <x:f>IFERROR(D10/C10,0)</x:f>
        <x:v>-0.18000000000000002</x:v>
      </x:c>
      <x:c r="F10" s="6" t="n">
        <x:f>'Monthly Performance'!N16+'Monthly Performance'!N17+'Monthly Performance'!N18+'Monthly Performance'!N19+'Monthly Performance'!N20+'Monthly Performance'!N21+'Monthly Performance'!N22+'Monthly Performance'!N23</x:f>
        <x:v>18067685.990000002</x:v>
      </x:c>
      <x:c r="G10" s="8" t="n">
        <x:f>IFERROR(B10/F10-1,0)</x:f>
        <x:v>0.09140966258291705</x:v>
      </x:c>
      <x:c r="H10" s="6" t="n">
        <x:f>H9*Assumptions!$B$8</x:f>
        <x:v>29653971.135552004</x:v>
      </x:c>
      <x:c r="I10" t="str">
        <x:f>IF(D10&gt;=0,"On Track","Watch")</x:f>
        <x:v>Watch</x:v>
      </x:c>
      <x:c r="J10" s="28" t="str">
        <x:v>Cash conversion highlights earnings quality and liquidity.</x:v>
      </x:c>
    </x:row>
    <x:row r="13">
      <x:c r="A13" s="3" t="str">
        <x:v>Management Interpretation &amp; Actions</x:v>
      </x:c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</x:row>
    <x:row r="15">
      <x:c r="A15" s="25" t="str">
        <x:v>Priority</x:v>
      </x:c>
      <x:c r="B15" s="25" t="str">
        <x:v>Observation</x:v>
      </x:c>
      <x:c r="C15" s="25" t="str">
        <x:v>Business Impact</x:v>
      </x:c>
      <x:c r="D15" s="25" t="str">
        <x:v>Management Action</x:v>
      </x:c>
      <x:c r="E15" s="25" t="str">
        <x:v>Owner</x:v>
      </x:c>
      <x:c r="F15" s="25" t="str">
        <x:v>Timing</x:v>
      </x:c>
    </x:row>
    <x:row r="16">
      <x:c r="A16" t="str">
        <x:v>1</x:v>
      </x:c>
      <x:c r="B16" s="28" t="str">
        <x:v>Digital and Enterprise revenue momentum improved through summer 2026.</x:v>
      </x:c>
      <x:c r="C16" s="28" t="str">
        <x:v>Favorable mix supports revenue and margin expansion.</x:v>
      </x:c>
      <x:c r="D16" s="28" t="str">
        <x:v>Protect pipeline conversion and prioritize high-margin capacity.</x:v>
      </x:c>
      <x:c r="E16" t="str">
        <x:v>Sales / Finance</x:v>
      </x:c>
      <x:c r="F16" t="str">
        <x:v>Immediate</x:v>
      </x:c>
    </x:row>
    <x:row r="17">
      <x:c r="A17" t="str">
        <x:v>2</x:v>
      </x:c>
      <x:c r="B17" s="28" t="str">
        <x:v>SMB and Services underperformed plan early in 2026.</x:v>
      </x:c>
      <x:c r="C17" s="28" t="str">
        <x:v>Pressure on consolidated revenue and operating leverage.</x:v>
      </x:c>
      <x:c r="D17" s="28" t="str">
        <x:v>Run account-level variance review and targeted retention/pricing actions.</x:v>
      </x:c>
      <x:c r="E17" t="str">
        <x:v>BU Leaders</x:v>
      </x:c>
      <x:c r="F17" t="str">
        <x:v>30 days</x:v>
      </x:c>
    </x:row>
    <x:row r="18">
      <x:c r="A18" t="str">
        <x:v>3</x:v>
      </x:c>
      <x:c r="B18" s="28" t="str">
        <x:v>Opex discipline is critical as growth investments continue.</x:v>
      </x:c>
      <x:c r="C18" s="28" t="str">
        <x:v>Uncontrolled cost growth could offset gross profit gains.</x:v>
      </x:c>
      <x:c r="D18" s="28" t="str">
        <x:v>Require monthly spend-to-plan review for discretionary cost centers.</x:v>
      </x:c>
      <x:c r="E18" t="str">
        <x:v>FP&amp;A / Functions</x:v>
      </x:c>
      <x:c r="F18" t="str">
        <x:v>Monthly</x:v>
      </x:c>
    </x:row>
    <x:row r="19">
      <x:c r="A19" t="str">
        <x:v>4</x:v>
      </x:c>
      <x:c r="B19" s="28" t="str">
        <x:v>Cash conversion remains a key quality-of-earnings metric.</x:v>
      </x:c>
      <x:c r="C19" s="28" t="str">
        <x:v>Weak conversion can create liquidity risk despite accounting profit.</x:v>
      </x:c>
      <x:c r="D19" s="28" t="str">
        <x:v>Track collections, working capital and cash conversion beside EBITDA.</x:v>
      </x:c>
      <x:c r="E19" t="str">
        <x:v>Treasury / FP&amp;A</x:v>
      </x:c>
      <x:c r="F19" t="str">
        <x:v>Monthly</x:v>
      </x:c>
    </x:row>
    <x:row r="20">
      <x:c r="A20" t="str">
        <x:v>5</x:v>
      </x:c>
      <x:c r="B20" s="28" t="str">
        <x:v>Forecast accuracy should be measured monthly.</x:v>
      </x:c>
      <x:c r="C20" s="28" t="str">
        <x:v>Bias reduces confidence in executive planning.</x:v>
      </x:c>
      <x:c r="D20" s="28" t="str">
        <x:v>Track forecast variance and update driver assumptions after each close.</x:v>
      </x:c>
      <x:c r="E20" t="str">
        <x:v>FP&amp;A</x:v>
      </x:c>
      <x:c r="F20" t="str">
        <x:v>Monthly</x:v>
      </x:c>
    </x:row>
  </x:sheetData>
  <x:mergeCells>
    <x:mergeCell ref="A1:L1"/>
    <x:mergeCell ref="A2:L2"/>
    <x:mergeCell ref="A4:L4"/>
    <x:mergeCell ref="A13:L13"/>
  </x:mergeCells>
  <x:conditionalFormatting sqref="D7:D10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1.5" hidden="0" customWidth="1"/>
    <x:col min="2" max="2" width="12.380000114440918" hidden="0" customWidth="1"/>
    <x:col min="3" max="3" width="13" hidden="0" customWidth="1"/>
    <x:col min="4" max="4" width="11.380000114440918" hidden="0" customWidth="1"/>
    <x:col min="5" max="5" width="11.880000114440918" hidden="0" customWidth="1"/>
    <x:col min="6" max="6" width="10" hidden="0" customWidth="1"/>
    <x:col min="7" max="7" width="9.5" hidden="0" customWidth="1"/>
    <x:col min="8" max="8" width="10.630000114440918" hidden="0" customWidth="1"/>
    <x:col min="9" max="9" width="9.75" hidden="0" customWidth="1"/>
    <x:col min="10" max="10" width="8.880000114440918" hidden="0" customWidth="1"/>
    <x:col min="11" max="11" width="12" hidden="0" customWidth="1"/>
    <x:col min="12" max="12" width="13.880000114440918" hidden="0" customWidth="1"/>
    <x:col min="13" max="13" width="12.880000114440918" hidden="0" customWidth="1"/>
    <x:col min="14" max="14" width="16.1299991607666" hidden="0" customWidth="1"/>
    <x:col min="15" max="15" width="5.380000114440918" hidden="0" customWidth="1"/>
    <x:col min="16" max="16" width="3.880000114440918" hidden="0" customWidth="1"/>
  </x:cols>
  <x:sheetData>
    <x:row r="1" ht="28" customHeight="1">
      <x:c r="A1" s="11" t="str">
        <x:v>Monthly P&amp;L and Performance Trend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</x:row>
    <x:row r="3">
      <x:c r="A3" s="3" t="str">
        <x:v>Month</x:v>
      </x:c>
      <x:c r="B3" s="3" t="str">
        <x:v>Actual Revenue</x:v>
      </x:c>
      <x:c r="C3" s="3" t="str">
        <x:v>Budget Revenue</x:v>
      </x:c>
      <x:c r="D3" s="3" t="str">
        <x:v>Revenue Var $</x:v>
      </x:c>
      <x:c r="E3" s="3" t="str">
        <x:v>Revenue Var %</x:v>
      </x:c>
      <x:c r="F3" s="3" t="str">
        <x:v>Actual COGS</x:v>
      </x:c>
      <x:c r="G3" s="3" t="str">
        <x:v>Gross Profit</x:v>
      </x:c>
      <x:c r="H3" s="3" t="str">
        <x:v>Gross Margin</x:v>
      </x:c>
      <x:c r="I3" s="3" t="str">
        <x:v>Actual Opex</x:v>
      </x:c>
      <x:c r="J3" s="3" t="str">
        <x:v>EBITDA</x:v>
      </x:c>
      <x:c r="K3" s="3" t="str">
        <x:v>EBITDA Margin</x:v>
      </x:c>
      <x:c r="L3" s="3" t="str">
        <x:v>Forecast Revenue</x:v>
      </x:c>
      <x:c r="M3" s="3" t="str">
        <x:v>Forecast EBITDA</x:v>
      </x:c>
      <x:c r="N3" s="3" t="str">
        <x:v>Operating Cash Flow</x:v>
      </x:c>
      <x:c r="O3" s="3" t="str">
        <x:v>Assets</x:v>
      </x:c>
      <x:c r="P3" s="3" t="str">
        <x:v>ROA</x:v>
      </x:c>
      <x:c r="Q3" s="3" t="str">
        <x:v>Forecast Var %</x:v>
      </x:c>
    </x:row>
    <x:row r="4">
      <x:c r="A4" t="str">
        <x:v>2024-01-01</x:v>
      </x:c>
      <x:c r="B4" s="6" t="n">
        <x:v>10249655.869999997</x:v>
      </x:c>
      <x:c r="C4" s="6" t="n">
        <x:v>10438447.749999998</x:v>
      </x:c>
      <x:c r="D4" s="6" t="n">
        <x:f>B4-C4</x:f>
        <x:v>-188791.88000000082</x:v>
      </x:c>
      <x:c r="E4" s="8" t="n">
        <x:f>IFERROR(D4/C4,0)</x:f>
        <x:v>-0.01808620251991019</x:v>
      </x:c>
      <x:c r="F4" s="6" t="n">
        <x:v>4750153.71</x:v>
      </x:c>
      <x:c r="G4" s="6" t="n">
        <x:f>B4-F4</x:f>
        <x:v>5499502.159999997</x:v>
      </x:c>
      <x:c r="H4" s="8" t="n">
        <x:f>IFERROR(G4/B4,0)</x:f>
        <x:v>0.5365548102055449</x:v>
      </x:c>
      <x:c r="I4" s="6" t="n">
        <x:v>3015751.9699999997</x:v>
      </x:c>
      <x:c r="J4" s="6" t="n">
        <x:f>G4-I4</x:f>
        <x:v>2483750.1899999976</x:v>
      </x:c>
      <x:c r="K4" s="8" t="n">
        <x:f>IFERROR(J4/B4,0)</x:f>
        <x:v>0.24232522745175816</x:v>
      </x:c>
      <x:c r="L4" s="6" t="n">
        <x:v>10490718.690000001</x:v>
      </x:c>
      <x:c r="M4" s="6" t="n">
        <x:f>L4*Assumptions!$B$5-L4*Assumptions!$B$6</x:f>
        <x:v>2517772.485600001</x:v>
      </x:c>
      <x:c r="N4" s="6" t="n">
        <x:v>2056557.58</x:v>
      </x:c>
      <x:c r="O4" s="6" t="n">
        <x:v>18452112.439999998</x:v>
      </x:c>
      <x:c r="P4" s="8" t="n">
        <x:f>IFERROR(J4/O4,0)</x:f>
        <x:v>0.1346051948293893</x:v>
      </x:c>
      <x:c r="Q4" s="8" t="n">
        <x:f>IFERROR((B4-L4)/L4,0)</x:f>
        <x:v>-0.022978675448593503</x:v>
      </x:c>
    </x:row>
    <x:row r="5">
      <x:c r="A5" t="str">
        <x:v>2024-02-01</x:v>
      </x:c>
      <x:c r="B5" s="6" t="n">
        <x:v>10793679.199999997</x:v>
      </x:c>
      <x:c r="C5" s="6" t="n">
        <x:v>10752667.059999999</x:v>
      </x:c>
      <x:c r="D5" s="6" t="n">
        <x:f>B5-C5</x:f>
        <x:v>41012.13999999873</x:v>
      </x:c>
      <x:c r="E5" s="8" t="n">
        <x:f>IFERROR(D5/C5,0)</x:f>
        <x:v>0.003814136508751787</x:v>
      </x:c>
      <x:c r="F5" s="6" t="n">
        <x:v>5021848.370000001</x:v>
      </x:c>
      <x:c r="G5" s="6" t="n">
        <x:f>B5-F5</x:f>
        <x:v>5771830.829999996</x:v>
      </x:c>
      <x:c r="H5" s="8" t="n">
        <x:f>IFERROR(G5/B5,0)</x:f>
        <x:v>0.534741743112024</x:v>
      </x:c>
      <x:c r="I5" s="6" t="n">
        <x:v>3151789.75</x:v>
      </x:c>
      <x:c r="J5" s="6" t="n">
        <x:f>G5-I5</x:f>
        <x:v>2620041.0799999963</x:v>
      </x:c>
      <x:c r="K5" s="8" t="n">
        <x:f>IFERROR(J5/B5,0)</x:f>
        <x:v>0.24273846122830822</x:v>
      </x:c>
      <x:c r="L5" s="6" t="n">
        <x:v>10918131.219999999</x:v>
      </x:c>
      <x:c r="M5" s="6" t="n">
        <x:f>L5*Assumptions!$B$5-L5*Assumptions!$B$6</x:f>
        <x:v>2620351.4927999997</x:v>
      </x:c>
      <x:c r="N5" s="6" t="n">
        <x:v>2108327.6700000004</x:v>
      </x:c>
      <x:c r="O5" s="6" t="n">
        <x:v>19413297.369999997</x:v>
      </x:c>
      <x:c r="P5" s="8" t="n">
        <x:f>IFERROR(J5/O5,0)</x:f>
        <x:v>0.13496115729669042</x:v>
      </x:c>
      <x:c r="Q5" s="8" t="n">
        <x:f>IFERROR((B5-L5)/L5,0)</x:f>
        <x:v>-0.011398655822346988</x:v>
      </x:c>
    </x:row>
    <x:row r="6">
      <x:c r="A6" t="str">
        <x:v>2024-03-01</x:v>
      </x:c>
      <x:c r="B6" s="6" t="n">
        <x:v>11071287.76</x:v>
      </x:c>
      <x:c r="C6" s="6" t="n">
        <x:v>11005870.580000002</x:v>
      </x:c>
      <x:c r="D6" s="6" t="n">
        <x:f>B6-C6</x:f>
        <x:v>65417.17999999784</x:v>
      </x:c>
      <x:c r="E6" s="8" t="n">
        <x:f>IFERROR(D6/C6,0)</x:f>
        <x:v>0.005943844198829188</x:v>
      </x:c>
      <x:c r="F6" s="6" t="n">
        <x:v>5138254.1</x:v>
      </x:c>
      <x:c r="G6" s="6" t="n">
        <x:f>B6-F6</x:f>
        <x:v>5933033.66</x:v>
      </x:c>
      <x:c r="H6" s="8" t="n">
        <x:f>IFERROR(G6/B6,0)</x:f>
        <x:v>0.5358937269642425</x:v>
      </x:c>
      <x:c r="I6" s="6" t="n">
        <x:v>3226066.64</x:v>
      </x:c>
      <x:c r="J6" s="6" t="n">
        <x:f>G6-I6</x:f>
        <x:v>2706967.02</x:v>
      </x:c>
      <x:c r="K6" s="8" t="n">
        <x:f>IFERROR(J6/B6,0)</x:f>
        <x:v>0.24450335667185297</x:v>
      </x:c>
      <x:c r="L6" s="6" t="n">
        <x:v>11095882.459999999</x:v>
      </x:c>
      <x:c r="M6" s="6" t="n">
        <x:f>L6*Assumptions!$B$5-L6*Assumptions!$B$6</x:f>
        <x:v>2663011.7904000008</x:v>
      </x:c>
      <x:c r="N6" s="6" t="n">
        <x:v>2189788.79</x:v>
      </x:c>
      <x:c r="O6" s="6" t="n">
        <x:v>19967069.209999997</x:v>
      </x:c>
      <x:c r="P6" s="8" t="n">
        <x:f>IFERROR(J6/O6,0)</x:f>
        <x:v>0.13557157495323774</x:v>
      </x:c>
      <x:c r="Q6" s="8" t="n">
        <x:f>IFERROR((B6-L6)/L6,0)</x:f>
        <x:v>-0.0022165609710324253</x:v>
      </x:c>
    </x:row>
    <x:row r="7">
      <x:c r="A7" t="str">
        <x:v>2024-04-01</x:v>
      </x:c>
      <x:c r="B7" s="6" t="n">
        <x:v>11281654.000000002</x:v>
      </x:c>
      <x:c r="C7" s="6" t="n">
        <x:v>11098531.169999998</x:v>
      </x:c>
      <x:c r="D7" s="6" t="n">
        <x:f>B7-C7</x:f>
        <x:v>183122.8300000038</x:v>
      </x:c>
      <x:c r="E7" s="8" t="n">
        <x:f>IFERROR(D7/C7,0)</x:f>
        <x:v>0.016499735613213027</x:v>
      </x:c>
      <x:c r="F7" s="6" t="n">
        <x:v>5269080.879999999</x:v>
      </x:c>
      <x:c r="G7" s="6" t="n">
        <x:f>B7-F7</x:f>
        <x:v>6012573.120000003</x:v>
      </x:c>
      <x:c r="H7" s="8" t="n">
        <x:f>IFERROR(G7/B7,0)</x:f>
        <x:v>0.5329513846108028</x:v>
      </x:c>
      <x:c r="I7" s="6" t="n">
        <x:v>3352748.6999999997</x:v>
      </x:c>
      <x:c r="J7" s="6" t="n">
        <x:f>G7-I7</x:f>
        <x:v>2659824.420000003</x:v>
      </x:c>
      <x:c r="K7" s="8" t="n">
        <x:f>IFERROR(J7/B7,0)</x:f>
        <x:v>0.23576546665941028</x:v>
      </x:c>
      <x:c r="L7" s="6" t="n">
        <x:v>11149100.509999998</x:v>
      </x:c>
      <x:c r="M7" s="6" t="n">
        <x:f>L7*Assumptions!$B$5-L7*Assumptions!$B$6</x:f>
        <x:v>2675784.1224</x:v>
      </x:c>
      <x:c r="N7" s="6" t="n">
        <x:v>2175151.2699999996</x:v>
      </x:c>
      <x:c r="O7" s="6" t="n">
        <x:v>20398325.63</x:v>
      </x:c>
      <x:c r="P7" s="8" t="n">
        <x:f>IFERROR(J7/O7,0)</x:f>
        <x:v>0.13039425236393795</x:v>
      </x:c>
      <x:c r="Q7" s="8" t="n">
        <x:f>IFERROR((B7-L7)/L7,0)</x:f>
        <x:v>0.01188916450085927</x:v>
      </x:c>
    </x:row>
    <x:row r="8">
      <x:c r="A8" t="str">
        <x:v>2024-05-01</x:v>
      </x:c>
      <x:c r="B8" s="6" t="n">
        <x:v>11192593.409999998</x:v>
      </x:c>
      <x:c r="C8" s="6" t="n">
        <x:v>11128993.3</x:v>
      </x:c>
      <x:c r="D8" s="6" t="n">
        <x:f>B8-C8</x:f>
        <x:v>63600.10999999754</x:v>
      </x:c>
      <x:c r="E8" s="8" t="n">
        <x:f>IFERROR(D8/C8,0)</x:f>
        <x:v>0.005714812497910079</x:v>
      </x:c>
      <x:c r="F8" s="6" t="n">
        <x:v>5243452.16</x:v>
      </x:c>
      <x:c r="G8" s="6" t="n">
        <x:f>B8-F8</x:f>
        <x:v>5949141.249999998</x:v>
      </x:c>
      <x:c r="H8" s="8" t="n">
        <x:f>IFERROR(G8/B8,0)</x:f>
        <x:v>0.5315248246831472</x:v>
      </x:c>
      <x:c r="I8" s="6" t="n">
        <x:v>3330569.5500000003</x:v>
      </x:c>
      <x:c r="J8" s="6" t="n">
        <x:f>G8-I8</x:f>
        <x:v>2618571.699999998</x:v>
      </x:c>
      <x:c r="K8" s="8" t="n">
        <x:f>IFERROR(J8/B8,0)</x:f>
        <x:v>0.23395576021375356</x:v>
      </x:c>
      <x:c r="L8" s="6" t="n">
        <x:v>11252348.280000001</x:v>
      </x:c>
      <x:c r="M8" s="6" t="n">
        <x:f>L8*Assumptions!$B$5-L8*Assumptions!$B$6</x:f>
        <x:v>2700563.5872000013</x:v>
      </x:c>
      <x:c r="N8" s="6" t="n">
        <x:v>2135000.98</x:v>
      </x:c>
      <x:c r="O8" s="6" t="n">
        <x:v>20201455.56</x:v>
      </x:c>
      <x:c r="P8" s="8" t="n">
        <x:f>IFERROR(J8/O8,0)</x:f>
        <x:v>0.12962292208215506</x:v>
      </x:c>
      <x:c r="Q8" s="8" t="n">
        <x:f>IFERROR((B8-L8)/L8,0)</x:f>
        <x:v>-0.00531043552093136</x:v>
      </x:c>
    </x:row>
    <x:row r="9">
      <x:c r="A9" t="str">
        <x:v>2024-06-01</x:v>
      </x:c>
      <x:c r="B9" s="6" t="n">
        <x:v>11104367.129999999</x:v>
      </x:c>
      <x:c r="C9" s="6" t="n">
        <x:v>11019005.610000001</x:v>
      </x:c>
      <x:c r="D9" s="6" t="n">
        <x:f>B9-C9</x:f>
        <x:v>85361.51999999769</x:v>
      </x:c>
      <x:c r="E9" s="8" t="n">
        <x:f>IFERROR(D9/C9,0)</x:f>
        <x:v>0.007746753474971476</x:v>
      </x:c>
      <x:c r="F9" s="6" t="n">
        <x:v>5174089.6099999985</x:v>
      </x:c>
      <x:c r="G9" s="6" t="n">
        <x:f>B9-F9</x:f>
        <x:v>5930277.5200000005</x:v>
      </x:c>
      <x:c r="H9" s="8" t="n">
        <x:f>IFERROR(G9/B9,0)</x:f>
        <x:v>0.5340491223474165</x:v>
      </x:c>
      <x:c r="I9" s="6" t="n">
        <x:v>3276842.8599999994</x:v>
      </x:c>
      <x:c r="J9" s="6" t="n">
        <x:f>G9-I9</x:f>
        <x:v>2653434.660000001</x:v>
      </x:c>
      <x:c r="K9" s="8" t="n">
        <x:f>IFERROR(J9/B9,0)</x:f>
        <x:v>0.2389541546074586</x:v>
      </x:c>
      <x:c r="L9" s="6" t="n">
        <x:v>11069647.309999999</x:v>
      </x:c>
      <x:c r="M9" s="6" t="n">
        <x:f>L9*Assumptions!$B$5-L9*Assumptions!$B$6</x:f>
        <x:v>2656715.3544000005</x:v>
      </x:c>
      <x:c r="N9" s="6" t="n">
        <x:v>2136654.29</x:v>
      </x:c>
      <x:c r="O9" s="6" t="n">
        <x:v>20051056.17</x:v>
      </x:c>
      <x:c r="P9" s="8" t="n">
        <x:f>IFERROR(J9/O9,0)</x:f>
        <x:v>0.13233390987004556</x:v>
      </x:c>
      <x:c r="Q9" s="8" t="n">
        <x:f>IFERROR((B9-L9)/L9,0)</x:f>
        <x:v>0.0031364883656803968</x:v>
      </x:c>
    </x:row>
    <x:row r="10">
      <x:c r="A10" t="str">
        <x:v>2024-07-01</x:v>
      </x:c>
      <x:c r="B10" s="6" t="n">
        <x:v>10949936.990000002</x:v>
      </x:c>
      <x:c r="C10" s="6" t="n">
        <x:v>10815865.589999998</x:v>
      </x:c>
      <x:c r="D10" s="6" t="n">
        <x:f>B10-C10</x:f>
        <x:v>134071.4000000041</x:v>
      </x:c>
      <x:c r="E10" s="8" t="n">
        <x:f>IFERROR(D10/C10,0)</x:f>
        <x:v>0.012395808628017918</x:v>
      </x:c>
      <x:c r="F10" s="6" t="n">
        <x:v>5097278.54</x:v>
      </x:c>
      <x:c r="G10" s="6" t="n">
        <x:f>B10-F10</x:f>
        <x:v>5852658.450000002</x:v>
      </x:c>
      <x:c r="H10" s="8" t="n">
        <x:f>IFERROR(G10/B10,0)</x:f>
        <x:v>0.5344924318144411</x:v>
      </x:c>
      <x:c r="I10" s="6" t="n">
        <x:v>3224390.0100000002</x:v>
      </x:c>
      <x:c r="J10" s="6" t="n">
        <x:f>G10-I10</x:f>
        <x:v>2628268.440000002</x:v>
      </x:c>
      <x:c r="K10" s="8" t="n">
        <x:f>IFERROR(J10/B10,0)</x:f>
        <x:v>0.240025896258605</x:v>
      </x:c>
      <x:c r="L10" s="6" t="n">
        <x:v>10925867.3</x:v>
      </x:c>
      <x:c r="M10" s="6" t="n">
        <x:f>L10*Assumptions!$B$5-L10*Assumptions!$B$6</x:f>
        <x:v>2622208.1520000007</x:v>
      </x:c>
      <x:c r="N10" s="6" t="n">
        <x:v>2226116.31</x:v>
      </x:c>
      <x:c r="O10" s="6" t="n">
        <x:v>19822086.19</x:v>
      </x:c>
      <x:c r="P10" s="8" t="n">
        <x:f>IFERROR(J10/O10,0)</x:f>
        <x:v>0.13259292764683522</x:v>
      </x:c>
      <x:c r="Q10" s="8" t="n">
        <x:f>IFERROR((B10-L10)/L10,0)</x:f>
        <x:v>0.002203000397048694</x:v>
      </x:c>
    </x:row>
    <x:row r="11">
      <x:c r="A11" t="str">
        <x:v>2024-08-01</x:v>
      </x:c>
      <x:c r="B11" s="6" t="n">
        <x:v>10626361.57</x:v>
      </x:c>
      <x:c r="C11" s="6" t="n">
        <x:v>10571211.67</x:v>
      </x:c>
      <x:c r="D11" s="6" t="n">
        <x:f>B11-C11</x:f>
        <x:v>55149.90000000037</x:v>
      </x:c>
      <x:c r="E11" s="8" t="n">
        <x:f>IFERROR(D11/C11,0)</x:f>
        <x:v>0.0052169894730714796</x:v>
      </x:c>
      <x:c r="F11" s="6" t="n">
        <x:v>4949490.86</x:v>
      </x:c>
      <x:c r="G11" s="6" t="n">
        <x:f>B11-F11</x:f>
        <x:v>5676870.71</x:v>
      </x:c>
      <x:c r="H11" s="8" t="n">
        <x:f>IFERROR(G11/B11,0)</x:f>
        <x:v>0.5342252541101893</x:v>
      </x:c>
      <x:c r="I11" s="6" t="n">
        <x:v>3175370.5799999996</x:v>
      </x:c>
      <x:c r="J11" s="6" t="n">
        <x:f>G11-I11</x:f>
        <x:v>2501500.1300000004</x:v>
      </x:c>
      <x:c r="K11" s="8" t="n">
        <x:f>IFERROR(J11/B11,0)</x:f>
        <x:v>0.23540513971048702</x:v>
      </x:c>
      <x:c r="L11" s="6" t="n">
        <x:v>10586805.139999999</x:v>
      </x:c>
      <x:c r="M11" s="6" t="n">
        <x:f>L11*Assumptions!$B$5-L11*Assumptions!$B$6</x:f>
        <x:v>2540833.2336</x:v>
      </x:c>
      <x:c r="N11" s="6" t="n">
        <x:v>2070249.84</x:v>
      </x:c>
      <x:c r="O11" s="6" t="n">
        <x:v>19119643.05</x:v>
      </x:c>
      <x:c r="P11" s="8" t="n">
        <x:f>IFERROR(J11/O11,0)</x:f>
        <x:v>0.13083403928924292</x:v>
      </x:c>
      <x:c r="Q11" s="8" t="n">
        <x:f>IFERROR((B11-L11)/L11,0)</x:f>
        <x:v>0.003736389730131707</x:v>
      </x:c>
    </x:row>
    <x:row r="12">
      <x:c r="A12" t="str">
        <x:v>2024-09-01</x:v>
      </x:c>
      <x:c r="B12" s="6" t="n">
        <x:v>10434825.450000001</x:v>
      </x:c>
      <x:c r="C12" s="6" t="n">
        <x:v>10474178.699999997</x:v>
      </x:c>
      <x:c r="D12" s="6" t="n">
        <x:f>B12-C12</x:f>
        <x:v>-39353.249999996275</x:v>
      </x:c>
      <x:c r="E12" s="8" t="n">
        <x:f>IFERROR(D12/C12,0)</x:f>
        <x:v>-0.0037571680918520403</x:v>
      </x:c>
      <x:c r="F12" s="6" t="n">
        <x:v>4828166.490000001</x:v>
      </x:c>
      <x:c r="G12" s="6" t="n">
        <x:f>B12-F12</x:f>
        <x:v>5606658.96</x:v>
      </x:c>
      <x:c r="H12" s="8" t="n">
        <x:f>IFERROR(G12/B12,0)</x:f>
        <x:v>0.5373026110369675</x:v>
      </x:c>
      <x:c r="I12" s="6" t="n">
        <x:v>3069572.0300000007</x:v>
      </x:c>
      <x:c r="J12" s="6" t="n">
        <x:f>G12-I12</x:f>
        <x:v>2537086.9299999992</x:v>
      </x:c>
      <x:c r="K12" s="8" t="n">
        <x:f>IFERROR(J12/B12,0)</x:f>
        <x:v>0.24313649923104358</x:v>
      </x:c>
      <x:c r="L12" s="6" t="n">
        <x:v>10577204.63</x:v>
      </x:c>
      <x:c r="M12" s="6" t="n">
        <x:f>L12*Assumptions!$B$5-L12*Assumptions!$B$6</x:f>
        <x:v>2538529.1112000006</x:v>
      </x:c>
      <x:c r="N12" s="6" t="n">
        <x:v>2135610.37</x:v>
      </x:c>
      <x:c r="O12" s="6" t="n">
        <x:v>18793527.01</x:v>
      </x:c>
      <x:c r="P12" s="8" t="n">
        <x:f>IFERROR(J12/O12,0)</x:f>
        <x:v>0.13499791330547053</x:v>
      </x:c>
      <x:c r="Q12" s="8" t="n">
        <x:f>IFERROR((B12-L12)/L12,0)</x:f>
        <x:v>-0.013460945966401303</x:v>
      </x:c>
    </x:row>
    <x:row r="13">
      <x:c r="A13" t="str">
        <x:v>2024-10-01</x:v>
      </x:c>
      <x:c r="B13" s="6" t="n">
        <x:v>10380592.489999998</x:v>
      </x:c>
      <x:c r="C13" s="6" t="n">
        <x:v>10484129.33</x:v>
      </x:c>
      <x:c r="D13" s="6" t="n">
        <x:f>B13-C13</x:f>
        <x:v>-103536.84000000171</x:v>
      </x:c>
      <x:c r="E13" s="8" t="n">
        <x:f>IFERROR(D13/C13,0)</x:f>
        <x:v>-0.009875578289914295</x:v>
      </x:c>
      <x:c r="F13" s="6" t="n">
        <x:v>4801109.36</x:v>
      </x:c>
      <x:c r="G13" s="6" t="n">
        <x:f>B13-F13</x:f>
        <x:v>5579483.129999998</x:v>
      </x:c>
      <x:c r="H13" s="8" t="n">
        <x:f>IFERROR(G13/B13,0)</x:f>
        <x:v>0.5374917795275093</x:v>
      </x:c>
      <x:c r="I13" s="6" t="n">
        <x:v>3094914.96</x:v>
      </x:c>
      <x:c r="J13" s="6" t="n">
        <x:f>G13-I13</x:f>
        <x:v>2484568.169999998</x:v>
      </x:c>
      <x:c r="K13" s="8" t="n">
        <x:f>IFERROR(J13/B13,0)</x:f>
        <x:v>0.23934743343344542</x:v>
      </x:c>
      <x:c r="L13" s="6" t="n">
        <x:v>10550647.32</x:v>
      </x:c>
      <x:c r="M13" s="6" t="n">
        <x:f>L13*Assumptions!$B$5-L13*Assumptions!$B$6</x:f>
        <x:v>2532155.3568</x:v>
      </x:c>
      <x:c r="N13" s="6" t="n">
        <x:v>2051231.3400000003</x:v>
      </x:c>
      <x:c r="O13" s="6" t="n">
        <x:v>18733155.18</x:v>
      </x:c>
      <x:c r="P13" s="8" t="n">
        <x:f>IFERROR(J13/O13,0)</x:f>
        <x:v>0.13262945542951501</x:v>
      </x:c>
      <x:c r="Q13" s="8" t="n">
        <x:f>IFERROR((B13-L13)/L13,0)</x:f>
        <x:v>-0.01611795227745343</x:v>
      </x:c>
    </x:row>
    <x:row r="14">
      <x:c r="A14" t="str">
        <x:v>2024-11-01</x:v>
      </x:c>
      <x:c r="B14" s="6" t="n">
        <x:v>10679309.289999997</x:v>
      </x:c>
      <x:c r="C14" s="6" t="n">
        <x:v>10599532.140000002</x:v>
      </x:c>
      <x:c r="D14" s="6" t="n">
        <x:f>B14-C14</x:f>
        <x:v>79777.14999999478</x:v>
      </x:c>
      <x:c r="E14" s="8" t="n">
        <x:f>IFERROR(D14/C14,0)</x:f>
        <x:v>0.007526478428131335</x:v>
      </x:c>
      <x:c r="F14" s="6" t="n">
        <x:v>5012056.640000001</x:v>
      </x:c>
      <x:c r="G14" s="6" t="n">
        <x:f>B14-F14</x:f>
        <x:v>5667252.649999997</x:v>
      </x:c>
      <x:c r="H14" s="8" t="n">
        <x:f>IFERROR(G14/B14,0)</x:f>
        <x:v>0.5306759544183964</x:v>
      </x:c>
      <x:c r="I14" s="6" t="n">
        <x:v>3190982.58</x:v>
      </x:c>
      <x:c r="J14" s="6" t="n">
        <x:f>G14-I14</x:f>
        <x:v>2476270.0699999966</x:v>
      </x:c>
      <x:c r="K14" s="8" t="n">
        <x:f>IFERROR(J14/B14,0)</x:f>
        <x:v>0.23187548958046866</x:v>
      </x:c>
      <x:c r="L14" s="6" t="n">
        <x:v>10705568.26</x:v>
      </x:c>
      <x:c r="M14" s="6" t="n">
        <x:f>L14*Assumptions!$B$5-L14*Assumptions!$B$6</x:f>
        <x:v>2569336.3824000005</x:v>
      </x:c>
      <x:c r="N14" s="6" t="n">
        <x:v>2066790.08</x:v>
      </x:c>
      <x:c r="O14" s="6" t="n">
        <x:v>19270513.549999997</x:v>
      </x:c>
      <x:c r="P14" s="8" t="n">
        <x:f>IFERROR(J14/O14,0)</x:f>
        <x:v>0.12850047112522317</x:v>
      </x:c>
      <x:c r="Q14" s="8" t="n">
        <x:f>IFERROR((B14-L14)/L14,0)</x:f>
        <x:v>-0.0024528328961402122</x:v>
      </x:c>
    </x:row>
    <x:row r="15">
      <x:c r="A15" t="str">
        <x:v>2024-12-01</x:v>
      </x:c>
      <x:c r="B15" s="6" t="n">
        <x:v>10998959.799999999</x:v>
      </x:c>
      <x:c r="C15" s="6" t="n">
        <x:v>10882922.399999999</x:v>
      </x:c>
      <x:c r="D15" s="6" t="n">
        <x:f>B15-C15</x:f>
        <x:v>116037.40000000037</x:v>
      </x:c>
      <x:c r="E15" s="8" t="n">
        <x:f>IFERROR(D15/C15,0)</x:f>
        <x:v>0.010662338270463124</x:v>
      </x:c>
      <x:c r="F15" s="6" t="n">
        <x:v>5138183.35</x:v>
      </x:c>
      <x:c r="G15" s="6" t="n">
        <x:f>B15-F15</x:f>
        <x:v>5860776.449999999</x:v>
      </x:c>
      <x:c r="H15" s="8" t="n">
        <x:f>IFERROR(G15/B15,0)</x:f>
        <x:v>0.5328482471587904</x:v>
      </x:c>
      <x:c r="I15" s="6" t="n">
        <x:v>3275034.0700000003</x:v>
      </x:c>
      <x:c r="J15" s="6" t="n">
        <x:f>G15-I15</x:f>
        <x:v>2585742.379999999</x:v>
      </x:c>
      <x:c r="K15" s="8" t="n">
        <x:f>IFERROR(J15/B15,0)</x:f>
        <x:v>0.23508972002970674</x:v>
      </x:c>
      <x:c r="L15" s="6" t="n">
        <x:v>10994487.649999999</x:v>
      </x:c>
      <x:c r="M15" s="6" t="n">
        <x:f>L15*Assumptions!$B$5-L15*Assumptions!$B$6</x:f>
        <x:v>2638677.0360000003</x:v>
      </x:c>
      <x:c r="N15" s="6" t="n">
        <x:v>2214063.29</x:v>
      </x:c>
      <x:c r="O15" s="6" t="n">
        <x:v>19861358.82</x:v>
      </x:c>
      <x:c r="P15" s="8" t="n">
        <x:f>IFERROR(J15/O15,0)</x:f>
        <x:v>0.13018960099528573</x:v>
      </x:c>
      <x:c r="Q15" s="8" t="n">
        <x:f>IFERROR((B15-L15)/L15,0)</x:f>
        <x:v>0.00040676292905748754</x:v>
      </x:c>
    </x:row>
    <x:row r="16">
      <x:c r="A16" t="str">
        <x:v>2025-01-01</x:v>
      </x:c>
      <x:c r="B16" s="6" t="n">
        <x:v>11442580.45</x:v>
      </x:c>
      <x:c r="C16" s="6" t="n">
        <x:v>11162881.490000002</x:v>
      </x:c>
      <x:c r="D16" s="6" t="n">
        <x:f>B16-C16</x:f>
        <x:v>279698.95999999717</x:v>
      </x:c>
      <x:c r="E16" s="8" t="n">
        <x:f>IFERROR(D16/C16,0)</x:f>
        <x:v>0.025056161372899885</x:v>
      </x:c>
      <x:c r="F16" s="6" t="n">
        <x:v>5304857.719999999</x:v>
      </x:c>
      <x:c r="G16" s="6" t="n">
        <x:f>B16-F16</x:f>
        <x:v>6137722.73</x:v>
      </x:c>
      <x:c r="H16" s="8" t="n">
        <x:f>IFERROR(G16/B16,0)</x:f>
        <x:v>0.5363932337482495</x:v>
      </x:c>
      <x:c r="I16" s="6" t="n">
        <x:v>3363414.5999999996</x:v>
      </x:c>
      <x:c r="J16" s="6" t="n">
        <x:f>G16-I16</x:f>
        <x:v>2774308.130000001</x:v>
      </x:c>
      <x:c r="K16" s="8" t="n">
        <x:f>IFERROR(J16/B16,0)</x:f>
        <x:v>0.24245476290271578</x:v>
      </x:c>
      <x:c r="L16" s="6" t="n">
        <x:v>11205617.409999998</x:v>
      </x:c>
      <x:c r="M16" s="6" t="n">
        <x:f>L16*Assumptions!$B$5-L16*Assumptions!$B$6</x:f>
        <x:v>2689348.1784000006</x:v>
      </x:c>
      <x:c r="N16" s="6" t="n">
        <x:v>2315395.1100000003</x:v>
      </x:c>
      <x:c r="O16" s="6" t="n">
        <x:v>20673463.22</x:v>
      </x:c>
      <x:c r="P16" s="8" t="n">
        <x:f>IFERROR(J16/O16,0)</x:f>
        <x:v>0.1341965833434269</x:v>
      </x:c>
      <x:c r="Q16" s="8" t="n">
        <x:f>IFERROR((B16-L16)/L16,0)</x:f>
        <x:v>0.021146808009751692</x:v>
      </x:c>
    </x:row>
    <x:row r="17">
      <x:c r="A17" t="str">
        <x:v>2025-02-01</x:v>
      </x:c>
      <x:c r="B17" s="6" t="n">
        <x:v>11944201.899999997</x:v>
      </x:c>
      <x:c r="C17" s="6" t="n">
        <x:v>11591463.539999997</x:v>
      </x:c>
      <x:c r="D17" s="6" t="n">
        <x:f>B17-C17</x:f>
        <x:v>352738.3599999994</x:v>
      </x:c>
      <x:c r="E17" s="8" t="n">
        <x:f>IFERROR(D17/C17,0)</x:f>
        <x:v>0.0304308734425782</x:v>
      </x:c>
      <x:c r="F17" s="6" t="n">
        <x:v>5589779.609999999</x:v>
      </x:c>
      <x:c r="G17" s="6" t="n">
        <x:f>B17-F17</x:f>
        <x:v>6354422.289999997</x:v>
      </x:c>
      <x:c r="H17" s="8" t="n">
        <x:f>IFERROR(G17/B17,0)</x:f>
        <x:v>0.5320089482077491</x:v>
      </x:c>
      <x:c r="I17" s="6" t="n">
        <x:v>3565537.51</x:v>
      </x:c>
      <x:c r="J17" s="6" t="n">
        <x:f>G17-I17</x:f>
        <x:v>2788884.7799999975</x:v>
      </x:c>
      <x:c r="K17" s="8" t="n">
        <x:f>IFERROR(J17/B17,0)</x:f>
        <x:v>0.23349276940805883</x:v>
      </x:c>
      <x:c r="L17" s="6" t="n">
        <x:v>11706054.630000003</x:v>
      </x:c>
      <x:c r="M17" s="6" t="n">
        <x:f>L17*Assumptions!$B$5-L17*Assumptions!$B$6</x:f>
        <x:v>2809453.111200001</x:v>
      </x:c>
      <x:c r="N17" s="6" t="n">
        <x:v>2249934.66</x:v>
      </x:c>
      <x:c r="O17" s="6" t="n">
        <x:v>21591843.69</x:v>
      </x:c>
      <x:c r="P17" s="8" t="n">
        <x:f>IFERROR(J17/O17,0)</x:f>
        <x:v>0.12916380926245938</x:v>
      </x:c>
      <x:c r="Q17" s="8" t="n">
        <x:f>IFERROR((B17-L17)/L17,0)</x:f>
        <x:v>0.02034393974120672</x:v>
      </x:c>
    </x:row>
    <x:row r="18">
      <x:c r="A18" t="str">
        <x:v>2025-03-01</x:v>
      </x:c>
      <x:c r="B18" s="6" t="n">
        <x:v>11817273.01</x:v>
      </x:c>
      <x:c r="C18" s="6" t="n">
        <x:v>11839611.43</x:v>
      </x:c>
      <x:c r="D18" s="6" t="n">
        <x:f>B18-C18</x:f>
        <x:v>-22338.419999999925</x:v>
      </x:c>
      <x:c r="E18" s="8" t="n">
        <x:f>IFERROR(D18/C18,0)</x:f>
        <x:v>-0.001886752798609365</x:v>
      </x:c>
      <x:c r="F18" s="6" t="n">
        <x:v>5493229.660000001</x:v>
      </x:c>
      <x:c r="G18" s="6" t="n">
        <x:f>B18-F18</x:f>
        <x:v>6324043.349999999</x:v>
      </x:c>
      <x:c r="H18" s="8" t="n">
        <x:f>IFERROR(G18/B18,0)</x:f>
        <x:v>0.535152513160056</x:v>
      </x:c>
      <x:c r="I18" s="6" t="n">
        <x:v>3500041.409999999</x:v>
      </x:c>
      <x:c r="J18" s="6" t="n">
        <x:f>G18-I18</x:f>
        <x:v>2824001.9399999995</x:v>
      </x:c>
      <x:c r="K18" s="8" t="n">
        <x:f>IFERROR(J18/B18,0)</x:f>
        <x:v>0.23897238708205149</x:v>
      </x:c>
      <x:c r="L18" s="6" t="n">
        <x:v>11903850.3</x:v>
      </x:c>
      <x:c r="M18" s="6" t="n">
        <x:f>L18*Assumptions!$B$5-L18*Assumptions!$B$6</x:f>
        <x:v>2856924.072000001</x:v>
      </x:c>
      <x:c r="N18" s="6" t="n">
        <x:v>2239302.82</x:v>
      </x:c>
      <x:c r="O18" s="6" t="n">
        <x:v>21290434.96</x:v>
      </x:c>
      <x:c r="P18" s="8" t="n">
        <x:f>IFERROR(J18/O18,0)</x:f>
        <x:v>0.13264181522386329</x:v>
      </x:c>
      <x:c r="Q18" s="8" t="n">
        <x:f>IFERROR((B18-L18)/L18,0)</x:f>
        <x:v>-0.007273049292295029</x:v>
      </x:c>
    </x:row>
    <x:row r="19">
      <x:c r="A19" t="str">
        <x:v>2025-04-01</x:v>
      </x:c>
      <x:c r="B19" s="6" t="n">
        <x:v>11996560.489999998</x:v>
      </x:c>
      <x:c r="C19" s="6" t="n">
        <x:v>12020871.029999997</x:v>
      </x:c>
      <x:c r="D19" s="6" t="n">
        <x:f>B19-C19</x:f>
        <x:v>-24310.539999999106</x:v>
      </x:c>
      <x:c r="E19" s="8" t="n">
        <x:f>IFERROR(D19/C19,0)</x:f>
        <x:v>-0.0020223609370176488</x:v>
      </x:c>
      <x:c r="F19" s="6" t="n">
        <x:v>5558481.03</x:v>
      </x:c>
      <x:c r="G19" s="6" t="n">
        <x:f>B19-F19</x:f>
        <x:v>6438079.459999998</x:v>
      </x:c>
      <x:c r="H19" s="8" t="n">
        <x:f>IFERROR(G19/B19,0)</x:f>
        <x:v>0.5366604424131903</x:v>
      </x:c>
      <x:c r="I19" s="6" t="n">
        <x:v>3582777.8400000003</x:v>
      </x:c>
      <x:c r="J19" s="6" t="n">
        <x:f>G19-I19</x:f>
        <x:v>2855301.619999998</x:v>
      </x:c>
      <x:c r="K19" s="8" t="n">
        <x:f>IFERROR(J19/B19,0)</x:f>
        <x:v>0.23801002148741704</x:v>
      </x:c>
      <x:c r="L19" s="6" t="n">
        <x:v>12064245.320000002</x:v>
      </x:c>
      <x:c r="M19" s="6" t="n">
        <x:f>L19*Assumptions!$B$5-L19*Assumptions!$B$6</x:f>
        <x:v>2895418.876800001</x:v>
      </x:c>
      <x:c r="N19" s="6" t="n">
        <x:v>2297735.58</x:v>
      </x:c>
      <x:c r="O19" s="6" t="n">
        <x:v>21621728.869999997</x:v>
      </x:c>
      <x:c r="P19" s="8" t="n">
        <x:f>IFERROR(J19/O19,0)</x:f>
        <x:v>0.1320570448906937</x:v>
      </x:c>
      <x:c r="Q19" s="8" t="n">
        <x:f>IFERROR((B19-L19)/L19,0)</x:f>
        <x:v>-0.005610365854198643</x:v>
      </x:c>
    </x:row>
    <x:row r="20">
      <x:c r="A20" t="str">
        <x:v>2025-05-01</x:v>
      </x:c>
      <x:c r="B20" s="6" t="n">
        <x:v>11818034.410000002</x:v>
      </x:c>
      <x:c r="C20" s="6" t="n">
        <x:v>11981681.440000001</x:v>
      </x:c>
      <x:c r="D20" s="6" t="n">
        <x:f>B20-C20</x:f>
        <x:v>-163647.02999999933</x:v>
      </x:c>
      <x:c r="E20" s="8" t="n">
        <x:f>IFERROR(D20/C20,0)</x:f>
        <x:v>-0.013658102230432803</x:v>
      </x:c>
      <x:c r="F20" s="6" t="n">
        <x:v>5491929.61</x:v>
      </x:c>
      <x:c r="G20" s="6" t="n">
        <x:f>B20-F20</x:f>
        <x:v>6326104.800000002</x:v>
      </x:c>
      <x:c r="H20" s="8" t="n">
        <x:f>IFERROR(G20/B20,0)</x:f>
        <x:v>0.5352924674721776</x:v>
      </x:c>
      <x:c r="I20" s="6" t="n">
        <x:v>3490282.2500000005</x:v>
      </x:c>
      <x:c r="J20" s="6" t="n">
        <x:f>G20-I20</x:f>
        <x:v>2835822.550000001</x:v>
      </x:c>
      <x:c r="K20" s="8" t="n">
        <x:f>IFERROR(J20/B20,0)</x:f>
        <x:v>0.23995720875549564</x:v>
      </x:c>
      <x:c r="L20" s="6" t="n">
        <x:v>12061151.989999996</x:v>
      </x:c>
      <x:c r="M20" s="6" t="n">
        <x:f>L20*Assumptions!$B$5-L20*Assumptions!$B$6</x:f>
        <x:v>2894676.4775999994</x:v>
      </x:c>
      <x:c r="N20" s="6" t="n">
        <x:v>2255160.54</x:v>
      </x:c>
      <x:c r="O20" s="6" t="n">
        <x:v>21290637.82</x:v>
      </x:c>
      <x:c r="P20" s="8" t="n">
        <x:f>IFERROR(J20/O20,0)</x:f>
        <x:v>0.13319575364417152</x:v>
      </x:c>
      <x:c r="Q20" s="8" t="n">
        <x:f>IFERROR((B20-L20)/L20,0)</x:f>
        <x:v>-0.02015707788124761</x:v>
      </x:c>
    </x:row>
    <x:row r="21">
      <x:c r="A21" t="str">
        <x:v>2025-06-01</x:v>
      </x:c>
      <x:c r="B21" s="6" t="n">
        <x:v>11851142.389999997</x:v>
      </x:c>
      <x:c r="C21" s="6" t="n">
        <x:v>11836330.68</x:v>
      </x:c>
      <x:c r="D21" s="6" t="n">
        <x:f>B21-C21</x:f>
        <x:v>14811.709999997169</x:v>
      </x:c>
      <x:c r="E21" s="8" t="n">
        <x:f>IFERROR(D21/C21,0)</x:f>
        <x:v>0.0012513768329423835</x:v>
      </x:c>
      <x:c r="F21" s="6" t="n">
        <x:v>5567954.499999999</x:v>
      </x:c>
      <x:c r="G21" s="6" t="n">
        <x:f>B21-F21</x:f>
        <x:v>6283187.889999998</x:v>
      </x:c>
      <x:c r="H21" s="8" t="n">
        <x:f>IFERROR(G21/B21,0)</x:f>
        <x:v>0.5301757149843846</x:v>
      </x:c>
      <x:c r="I21" s="6" t="n">
        <x:v>3460896.83</x:v>
      </x:c>
      <x:c r="J21" s="6" t="n">
        <x:f>G21-I21</x:f>
        <x:v>2822291.0599999977</x:v>
      </x:c>
      <x:c r="K21" s="8" t="n">
        <x:f>IFERROR(J21/B21,0)</x:f>
        <x:v>0.23814506375195096</x:v>
      </x:c>
      <x:c r="L21" s="6" t="n">
        <x:v>11914796.879999999</x:v>
      </x:c>
      <x:c r="M21" s="6" t="n">
        <x:f>L21*Assumptions!$B$5-L21*Assumptions!$B$6</x:f>
        <x:v>2859551.2512000003</x:v>
      </x:c>
      <x:c r="N21" s="6" t="n">
        <x:v>2358787.58</x:v>
      </x:c>
      <x:c r="O21" s="6" t="n">
        <x:v>21419162.820000004</x:v>
      </x:c>
      <x:c r="P21" s="8" t="n">
        <x:f>IFERROR(J21/O21,0)</x:f>
        <x:v>0.13176476988002078</x:v>
      </x:c>
      <x:c r="Q21" s="8" t="n">
        <x:f>IFERROR((B21-L21)/L21,0)</x:f>
        <x:v>-0.005342473786259132</x:v>
      </x:c>
    </x:row>
    <x:row r="22">
      <x:c r="A22" t="str">
        <x:v>2025-07-01</x:v>
      </x:c>
      <x:c r="B22" s="6" t="n">
        <x:v>11638672.42</x:v>
      </x:c>
      <x:c r="C22" s="6" t="n">
        <x:v>11656323.479999999</x:v>
      </x:c>
      <x:c r="D22" s="6" t="n">
        <x:f>B22-C22</x:f>
        <x:v>-17651.05999999866</x:v>
      </x:c>
      <x:c r="E22" s="8" t="n">
        <x:f>IFERROR(D22/C22,0)</x:f>
        <x:v>-0.00151429050766174</x:v>
      </x:c>
      <x:c r="F22" s="6" t="n">
        <x:v>5438275.89</x:v>
      </x:c>
      <x:c r="G22" s="6" t="n">
        <x:f>B22-F22</x:f>
        <x:v>6200396.53</x:v>
      </x:c>
      <x:c r="H22" s="8" t="n">
        <x:f>IFERROR(G22/B22,0)</x:f>
        <x:v>0.5327408750971616</x:v>
      </x:c>
      <x:c r="I22" s="6" t="n">
        <x:v>3506847.7699999996</x:v>
      </x:c>
      <x:c r="J22" s="6" t="n">
        <x:f>G22-I22</x:f>
        <x:v>2693548.7600000007</x:v>
      </x:c>
      <x:c r="K22" s="8" t="n">
        <x:f>IFERROR(J22/B22,0)</x:f>
        <x:v>0.23143092809892837</x:v>
      </x:c>
      <x:c r="L22" s="6" t="n">
        <x:v>11746461.67</x:v>
      </x:c>
      <x:c r="M22" s="6" t="n">
        <x:f>L22*Assumptions!$B$5-L22*Assumptions!$B$6</x:f>
        <x:v>2819150.8008000003</x:v>
      </x:c>
      <x:c r="N22" s="6" t="n">
        <x:v>2173485.03</x:v>
      </x:c>
      <x:c r="O22" s="6" t="n">
        <x:v>21017377.59</x:v>
      </x:c>
      <x:c r="P22" s="8" t="n">
        <x:f>IFERROR(J22/O22,0)</x:f>
        <x:v>0.12815817522741668</x:v>
      </x:c>
      <x:c r="Q22" s="8" t="n">
        <x:f>IFERROR((B22-L22)/L22,0)</x:f>
        <x:v>-0.009176316496676568</x:v>
      </x:c>
    </x:row>
    <x:row r="23">
      <x:c r="A23" t="str">
        <x:v>2025-08-01</x:v>
      </x:c>
      <x:c r="B23" s="6" t="n">
        <x:v>11464027.85</x:v>
      </x:c>
      <x:c r="C23" s="6" t="n">
        <x:v>11383201.57</x:v>
      </x:c>
      <x:c r="D23" s="6" t="n">
        <x:f>B23-C23</x:f>
        <x:v>80826.27999999933</x:v>
      </x:c>
      <x:c r="E23" s="8" t="n">
        <x:f>IFERROR(D23/C23,0)</x:f>
        <x:v>0.007100487459785826</x:v>
      </x:c>
      <x:c r="F23" s="6" t="n">
        <x:v>5363996.75</x:v>
      </x:c>
      <x:c r="G23" s="6" t="n">
        <x:f>B23-F23</x:f>
        <x:v>6100031.1</x:v>
      </x:c>
      <x:c r="H23" s="8" t="n">
        <x:f>IFERROR(G23/B23,0)</x:f>
        <x:v>0.5321019086672927</x:v>
      </x:c>
      <x:c r="I23" s="6" t="n">
        <x:v>3349299.71</x:v>
      </x:c>
      <x:c r="J23" s="6" t="n">
        <x:f>G23-I23</x:f>
        <x:v>2750731.3899999997</x:v>
      </x:c>
      <x:c r="K23" s="8" t="n">
        <x:f>IFERROR(J23/B23,0)</x:f>
        <x:v>0.2399445837005708</x:v>
      </x:c>
      <x:c r="L23" s="6" t="n">
        <x:v>11454528.53</x:v>
      </x:c>
      <x:c r="M23" s="6" t="n">
        <x:f>L23*Assumptions!$B$5-L23*Assumptions!$B$6</x:f>
        <x:v>2749086.8472000007</x:v>
      </x:c>
      <x:c r="N23" s="6" t="n">
        <x:v>2177884.67</x:v>
      </x:c>
      <x:c r="O23" s="6" t="n">
        <x:v>20766356.560000002</x:v>
      </x:c>
      <x:c r="P23" s="8" t="n">
        <x:f>IFERROR(J23/O23,0)</x:f>
        <x:v>0.13246095346828618</x:v>
      </x:c>
      <x:c r="Q23" s="8" t="n">
        <x:f>IFERROR((B23-L23)/L23,0)</x:f>
        <x:v>0.0008293069396196526</x:v>
      </x:c>
    </x:row>
    <x:row r="24">
      <x:c r="A24" t="str">
        <x:v>2025-09-01</x:v>
      </x:c>
      <x:c r="B24" s="6" t="n">
        <x:v>11372324.95</x:v>
      </x:c>
      <x:c r="C24" s="6" t="n">
        <x:v>11192316.820000004</x:v>
      </x:c>
      <x:c r="D24" s="6" t="n">
        <x:f>B24-C24</x:f>
        <x:v>180008.12999999523</x:v>
      </x:c>
      <x:c r="E24" s="8" t="n">
        <x:f>IFERROR(D24/C24,0)</x:f>
        <x:v>0.016083187502191808</x:v>
      </x:c>
      <x:c r="F24" s="6" t="n">
        <x:v>5353954.95</x:v>
      </x:c>
      <x:c r="G24" s="6" t="n">
        <x:f>B24-F24</x:f>
        <x:v>6018369.999999999</x:v>
      </x:c>
      <x:c r="H24" s="8" t="n">
        <x:f>IFERROR(G24/B24,0)</x:f>
        <x:v>0.5292119268892329</x:v>
      </x:c>
      <x:c r="I24" s="6" t="n">
        <x:v>3385851.5000000005</x:v>
      </x:c>
      <x:c r="J24" s="6" t="n">
        <x:f>G24-I24</x:f>
        <x:v>2632518.4999999986</x:v>
      </x:c>
      <x:c r="K24" s="8" t="n">
        <x:f>IFERROR(J24/B24,0)</x:f>
        <x:v>0.2314846358659492</x:v>
      </x:c>
      <x:c r="L24" s="6" t="n">
        <x:v>11268905.619999997</x:v>
      </x:c>
      <x:c r="M24" s="6" t="n">
        <x:f>L24*Assumptions!$B$5-L24*Assumptions!$B$6</x:f>
        <x:v>2704537.3488</x:v>
      </x:c>
      <x:c r="N24" s="6" t="n">
        <x:v>2133283.99</x:v>
      </x:c>
      <x:c r="O24" s="6" t="n">
        <x:v>20568004.19</x:v>
      </x:c>
      <x:c r="P24" s="8" t="n">
        <x:f>IFERROR(J24/O24,0)</x:f>
        <x:v>0.12799095506213035</x:v>
      </x:c>
      <x:c r="Q24" s="8" t="n">
        <x:f>IFERROR((B24-L24)/L24,0)</x:f>
        <x:v>0.009177406705443857</x:v>
      </x:c>
    </x:row>
    <x:row r="25">
      <x:c r="A25" t="str">
        <x:v>2025-10-01</x:v>
      </x:c>
      <x:c r="B25" s="6" t="n">
        <x:v>11468521.48</x:v>
      </x:c>
      <x:c r="C25" s="6" t="n">
        <x:v>11225578.950000001</x:v>
      </x:c>
      <x:c r="D25" s="6" t="n">
        <x:f>B25-C25</x:f>
        <x:v>242942.52999999933</x:v>
      </x:c>
      <x:c r="E25" s="8" t="n">
        <x:f>IFERROR(D25/C25,0)</x:f>
        <x:v>0.021641870863150385</x:v>
      </x:c>
      <x:c r="F25" s="6" t="n">
        <x:v>5331359.23</x:v>
      </x:c>
      <x:c r="G25" s="6" t="n">
        <x:f>B25-F25</x:f>
        <x:v>6137162.25</x:v>
      </x:c>
      <x:c r="H25" s="8" t="n">
        <x:f>IFERROR(G25/B25,0)</x:f>
        <x:v>0.5351310768962347</x:v>
      </x:c>
      <x:c r="I25" s="6" t="n">
        <x:v>3442829.0000000005</x:v>
      </x:c>
      <x:c r="J25" s="6" t="n">
        <x:f>G25-I25</x:f>
        <x:v>2694333.2499999995</x:v>
      </x:c>
      <x:c r="K25" s="8" t="n">
        <x:f>IFERROR(J25/B25,0)</x:f>
        <x:v>0.23493292092608956</x:v>
      </x:c>
      <x:c r="L25" s="6" t="n">
        <x:v>11236280.43</x:v>
      </x:c>
      <x:c r="M25" s="6" t="n">
        <x:f>L25*Assumptions!$B$5-L25*Assumptions!$B$6</x:f>
        <x:v>2696707.3032000004</x:v>
      </x:c>
      <x:c r="N25" s="6" t="n">
        <x:v>2256275.0399999996</x:v>
      </x:c>
      <x:c r="O25" s="6" t="n">
        <x:v>20706608.51</x:v>
      </x:c>
      <x:c r="P25" s="8" t="n">
        <x:f>IFERROR(J25/O25,0)</x:f>
        <x:v>0.1301194857042284</x:v>
      </x:c>
      <x:c r="Q25" s="8" t="n">
        <x:f>IFERROR((B25-L25)/L25,0)</x:f>
        <x:v>0.020668854915718828</x:v>
      </x:c>
    </x:row>
    <x:row r="26">
      <x:c r="A26" t="str">
        <x:v>2025-11-01</x:v>
      </x:c>
      <x:c r="B26" s="6" t="n">
        <x:v>11447828.65</x:v>
      </x:c>
      <x:c r="C26" s="6" t="n">
        <x:v>11352737.299999999</x:v>
      </x:c>
      <x:c r="D26" s="6" t="n">
        <x:f>B26-C26</x:f>
        <x:v>95091.35000000149</x:v>
      </x:c>
      <x:c r="E26" s="8" t="n">
        <x:f>IFERROR(D26/C26,0)</x:f>
        <x:v>0.008376072438494767</x:v>
      </x:c>
      <x:c r="F26" s="6" t="n">
        <x:v>5334983.89</x:v>
      </x:c>
      <x:c r="G26" s="6" t="n">
        <x:f>B26-F26</x:f>
        <x:v>6112844.760000001</x:v>
      </x:c>
      <x:c r="H26" s="8" t="n">
        <x:f>IFERROR(G26/B26,0)</x:f>
        <x:v>0.5339741663586134</x:v>
      </x:c>
      <x:c r="I26" s="6" t="n">
        <x:v>3382052.5599999996</x:v>
      </x:c>
      <x:c r="J26" s="6" t="n">
        <x:f>G26-I26</x:f>
        <x:v>2730792.200000001</x:v>
      </x:c>
      <x:c r="K26" s="8" t="n">
        <x:f>IFERROR(J26/B26,0)</x:f>
        <x:v>0.2385423719632632</x:v>
      </x:c>
      <x:c r="L26" s="6" t="n">
        <x:v>11424789.589999998</x:v>
      </x:c>
      <x:c r="M26" s="6" t="n">
        <x:f>L26*Assumptions!$B$5-L26*Assumptions!$B$6</x:f>
        <x:v>2741949.5016</x:v>
      </x:c>
      <x:c r="N26" s="6" t="n">
        <x:v>2230206.18</x:v>
      </x:c>
      <x:c r="O26" s="6" t="n">
        <x:v>20642278.499999996</x:v>
      </x:c>
      <x:c r="P26" s="8" t="n">
        <x:f>IFERROR(J26/O26,0)</x:f>
        <x:v>0.13229121969263236</x:v>
      </x:c>
      <x:c r="Q26" s="8" t="n">
        <x:f>IFERROR((B26-L26)/L26,0)</x:f>
        <x:v>0.002016585059926901</x:v>
      </x:c>
    </x:row>
    <x:row r="27">
      <x:c r="A27" t="str">
        <x:v>2025-12-01</x:v>
      </x:c>
      <x:c r="B27" s="6" t="n">
        <x:v>11682624.24</x:v>
      </x:c>
      <x:c r="C27" s="6" t="n">
        <x:v>11643378.139999997</x:v>
      </x:c>
      <x:c r="D27" s="6" t="n">
        <x:f>B27-C27</x:f>
        <x:v>39246.10000000335</x:v>
      </x:c>
      <x:c r="E27" s="8" t="n">
        <x:f>IFERROR(D27/C27,0)</x:f>
        <x:v>0.003370679842920859</x:v>
      </x:c>
      <x:c r="F27" s="6" t="n">
        <x:v>5471221.759999999</x:v>
      </x:c>
      <x:c r="G27" s="6" t="n">
        <x:f>B27-F27</x:f>
        <x:v>6211402.480000001</x:v>
      </x:c>
      <x:c r="H27" s="8" t="n">
        <x:f>IFERROR(G27/B27,0)</x:f>
        <x:v>0.5316787009833676</x:v>
      </x:c>
      <x:c r="I27" s="6" t="n">
        <x:v>3513274.1999999997</x:v>
      </x:c>
      <x:c r="J27" s="6" t="n">
        <x:f>G27-I27</x:f>
        <x:v>2698128.2800000017</x:v>
      </x:c>
      <x:c r="K27" s="8" t="n">
        <x:f>IFERROR(J27/B27,0)</x:f>
        <x:v>0.2309522436544618</x:v>
      </x:c>
      <x:c r="L27" s="6" t="n">
        <x:v>11786847.510000002</x:v>
      </x:c>
      <x:c r="M27" s="6" t="n">
        <x:f>L27*Assumptions!$B$5-L27*Assumptions!$B$6</x:f>
        <x:v>2828843.4024000005</x:v>
      </x:c>
      <x:c r="N27" s="6" t="n">
        <x:v>2202965.61</x:v>
      </x:c>
      <x:c r="O27" s="6" t="n">
        <x:v>21033752.16</x:v>
      </x:c>
      <x:c r="P27" s="8" t="n">
        <x:f>IFERROR(J27/O27,0)</x:f>
        <x:v>0.1282761277909819</x:v>
      </x:c>
      <x:c r="Q27" s="8" t="n">
        <x:f>IFERROR((B27-L27)/L27,0)</x:f>
        <x:v>-0.00884233633391609</x:v>
      </x:c>
    </x:row>
    <x:row r="28">
      <x:c r="A28" t="str">
        <x:v>2026-01-01</x:v>
      </x:c>
      <x:c r="B28" s="6" t="n">
        <x:v>11917825.22</x:v>
      </x:c>
      <x:c r="C28" s="6" t="n">
        <x:v>12027045.05</x:v>
      </x:c>
      <x:c r="D28" s="6" t="n">
        <x:f>B28-C28</x:f>
        <x:v>-109219.83000000007</x:v>
      </x:c>
      <x:c r="E28" s="8" t="n">
        <x:f>IFERROR(D28/C28,0)</x:f>
        <x:v>-0.009081185739800657</x:v>
      </x:c>
      <x:c r="F28" s="6" t="n">
        <x:v>5561526.699999999</x:v>
      </x:c>
      <x:c r="G28" s="6" t="n">
        <x:f>B28-F28</x:f>
        <x:v>6356298.520000001</x:v>
      </x:c>
      <x:c r="H28" s="8" t="n">
        <x:f>IFERROR(G28/B28,0)</x:f>
        <x:v>0.5333438276417348</x:v>
      </x:c>
      <x:c r="I28" s="6" t="n">
        <x:v>3557577.2200000007</x:v>
      </x:c>
      <x:c r="J28" s="6" t="n">
        <x:f>G28-I28</x:f>
        <x:v>2798721.3000000007</x:v>
      </x:c>
      <x:c r="K28" s="8" t="n">
        <x:f>IFERROR(J28/B28,0)</x:f>
        <x:v>0.2348349005239062</x:v>
      </x:c>
      <x:c r="L28" s="6" t="n">
        <x:v>12117111.590000002</x:v>
      </x:c>
      <x:c r="M28" s="6" t="n">
        <x:f>L28*Assumptions!$B$5-L28*Assumptions!$B$6</x:f>
        <x:v>2908106.781600001</x:v>
      </x:c>
      <x:c r="N28" s="6" t="n">
        <x:v>2298464.9599999995</x:v>
      </x:c>
      <x:c r="O28" s="6" t="n">
        <x:v>21491478.61</x:v>
      </x:c>
      <x:c r="P28" s="8" t="n">
        <x:f>IFERROR(J28/O28,0)</x:f>
        <x:v>0.1302246974620794</x:v>
      </x:c>
      <x:c r="Q28" s="8" t="n">
        <x:f>IFERROR((B28-L28)/L28,0)</x:f>
        <x:v>-0.016446689338444974</x:v>
      </x:c>
    </x:row>
    <x:row r="29">
      <x:c r="A29" t="str">
        <x:v>2026-02-01</x:v>
      </x:c>
      <x:c r="B29" s="6" t="n">
        <x:v>12210848.209999999</x:v>
      </x:c>
      <x:c r="C29" s="6" t="n">
        <x:v>12437866.079999998</x:v>
      </x:c>
      <x:c r="D29" s="6" t="n">
        <x:f>B29-C29</x:f>
        <x:v>-227017.86999999918</x:v>
      </x:c>
      <x:c r="E29" s="8" t="n">
        <x:f>IFERROR(D29/C29,0)</x:f>
        <x:v>-0.018252155839259463</x:v>
      </x:c>
      <x:c r="F29" s="6" t="n">
        <x:v>5732747.15</x:v>
      </x:c>
      <x:c r="G29" s="6" t="n">
        <x:f>B29-F29</x:f>
        <x:v>6478101.059999999</x:v>
      </x:c>
      <x:c r="H29" s="8" t="n">
        <x:f>IFERROR(G29/B29,0)</x:f>
        <x:v>0.5305201529484903</x:v>
      </x:c>
      <x:c r="I29" s="6" t="n">
        <x:v>3637394.54</x:v>
      </x:c>
      <x:c r="J29" s="6" t="n">
        <x:f>G29-I29</x:f>
        <x:v>2840706.5199999986</x:v>
      </x:c>
      <x:c r="K29" s="8" t="n">
        <x:f>IFERROR(J29/B29,0)</x:f>
        <x:v>0.2326379356409999</x:v>
      </x:c>
      <x:c r="L29" s="6" t="n">
        <x:v>12503280.91</x:v>
      </x:c>
      <x:c r="M29" s="6" t="n">
        <x:f>L29*Assumptions!$B$5-L29*Assumptions!$B$6</x:f>
        <x:v>3000787.418400001</x:v>
      </x:c>
      <x:c r="N29" s="6" t="n">
        <x:v>2414249.38</x:v>
      </x:c>
      <x:c r="O29" s="6" t="n">
        <x:v>22069823.39</x:v>
      </x:c>
      <x:c r="P29" s="8" t="n">
        <x:f>IFERROR(J29/O29,0)</x:f>
        <x:v>0.12871451075078125</x:v>
      </x:c>
      <x:c r="Q29" s="8" t="n">
        <x:f>IFERROR((B29-L29)/L29,0)</x:f>
        <x:v>-0.023388477160911927</x:v>
      </x:c>
    </x:row>
    <x:row r="30">
      <x:c r="A30" t="str">
        <x:v>2026-03-01</x:v>
      </x:c>
      <x:c r="B30" s="6" t="n">
        <x:v>12395371.559999999</x:v>
      </x:c>
      <x:c r="C30" s="6" t="n">
        <x:v>12644022.870000001</x:v>
      </x:c>
      <x:c r="D30" s="6" t="n">
        <x:f>B30-C30</x:f>
        <x:v>-248651.31000000238</x:v>
      </x:c>
      <x:c r="E30" s="8" t="n">
        <x:f>IFERROR(D30/C30,0)</x:f>
        <x:v>-0.019665522006446858</x:v>
      </x:c>
      <x:c r="F30" s="6" t="n">
        <x:v>5785632.319999999</x:v>
      </x:c>
      <x:c r="G30" s="6" t="n">
        <x:f>B30-F30</x:f>
        <x:v>6609739.239999999</x:v>
      </x:c>
      <x:c r="H30" s="8" t="n">
        <x:f>IFERROR(G30/B30,0)</x:f>
        <x:v>0.5332425258900427</x:v>
      </x:c>
      <x:c r="I30" s="6" t="n">
        <x:v>3673965.619999999</x:v>
      </x:c>
      <x:c r="J30" s="6" t="n">
        <x:f>G30-I30</x:f>
        <x:v>2935773.62</x:v>
      </x:c>
      <x:c r="K30" s="8" t="n">
        <x:f>IFERROR(J30/B30,0)</x:f>
        <x:v>0.23684434192144543</x:v>
      </x:c>
      <x:c r="L30" s="6" t="n">
        <x:v>12716485.110000003</x:v>
      </x:c>
      <x:c r="M30" s="6" t="n">
        <x:f>L30*Assumptions!$B$5-L30*Assumptions!$B$6</x:f>
        <x:v>3051956.426400001</x:v>
      </x:c>
      <x:c r="N30" s="6" t="n">
        <x:v>2365968.5400000005</x:v>
      </x:c>
      <x:c r="O30" s="6" t="n">
        <x:v>22382351.67</x:v>
      </x:c>
      <x:c r="P30" s="8" t="n">
        <x:f>IFERROR(J30/O30,0)</x:f>
        <x:v>0.13116466327061332</x:v>
      </x:c>
      <x:c r="Q30" s="8" t="n">
        <x:f>IFERROR((B30-L30)/L30,0)</x:f>
        <x:v>-0.02525175370570653</x:v>
      </x:c>
    </x:row>
    <x:row r="31">
      <x:c r="A31" t="str">
        <x:v>2026-04-01</x:v>
      </x:c>
      <x:c r="B31" s="6" t="n">
        <x:v>12826781.569999997</x:v>
      </x:c>
      <x:c r="C31" s="6" t="n">
        <x:v>12779335.82</x:v>
      </x:c>
      <x:c r="D31" s="6" t="n">
        <x:f>B31-C31</x:f>
        <x:v>47445.749999996275</x:v>
      </x:c>
      <x:c r="E31" s="8" t="n">
        <x:f>IFERROR(D31/C31,0)</x:f>
        <x:v>0.0037126929496400286</x:v>
      </x:c>
      <x:c r="F31" s="6" t="n">
        <x:v>6025292.999999999</x:v>
      </x:c>
      <x:c r="G31" s="6" t="n">
        <x:f>B31-F31</x:f>
        <x:v>6801488.5699999975</x:v>
      </x:c>
      <x:c r="H31" s="8" t="n">
        <x:f>IFERROR(G31/B31,0)</x:f>
        <x:v>0.5302568327746147</x:v>
      </x:c>
      <x:c r="I31" s="6" t="n">
        <x:v>3788012.610000001</x:v>
      </x:c>
      <x:c r="J31" s="6" t="n">
        <x:f>G31-I31</x:f>
        <x:v>3013475.9599999967</x:v>
      </x:c>
      <x:c r="K31" s="8" t="n">
        <x:f>IFERROR(J31/B31,0)</x:f>
        <x:v>0.23493624987331857</x:v>
      </x:c>
      <x:c r="L31" s="6" t="n">
        <x:v>12958587.889999997</x:v>
      </x:c>
      <x:c r="M31" s="6" t="n">
        <x:f>L31*Assumptions!$B$5-L31*Assumptions!$B$6</x:f>
        <x:v>3110061.0936</x:v>
      </x:c>
      <x:c r="N31" s="6" t="n">
        <x:v>2444866.7499999995</x:v>
      </x:c>
      <x:c r="O31" s="6" t="n">
        <x:v>23172359.71</x:v>
      </x:c>
      <x:c r="P31" s="8" t="n">
        <x:f>IFERROR(J31/O31,0)</x:f>
        <x:v>0.13004614107986315</x:v>
      </x:c>
      <x:c r="Q31" s="8" t="n">
        <x:f>IFERROR((B31-L31)/L31,0)</x:f>
        <x:v>-0.01017134900182402</x:v>
      </x:c>
    </x:row>
    <x:row r="32">
      <x:c r="A32" t="str">
        <x:v>2026-05-01</x:v>
      </x:c>
      <x:c r="B32" s="6" t="n">
        <x:v>12783763.340000002</x:v>
      </x:c>
      <x:c r="C32" s="6" t="n">
        <x:v>12817548.059999999</x:v>
      </x:c>
      <x:c r="D32" s="6" t="n">
        <x:f>B32-C32</x:f>
        <x:v>-33784.719999996945</x:v>
      </x:c>
      <x:c r="E32" s="8" t="n">
        <x:f>IFERROR(D32/C32,0)</x:f>
        <x:v>-0.0026358176963213156</x:v>
      </x:c>
      <x:c r="F32" s="6" t="n">
        <x:v>6004734.890000001</x:v>
      </x:c>
      <x:c r="G32" s="6" t="n">
        <x:f>B32-F32</x:f>
        <x:v>6779028.450000001</x:v>
      </x:c>
      <x:c r="H32" s="8" t="n">
        <x:f>IFERROR(G32/B32,0)</x:f>
        <x:v>0.5302842574368246</x:v>
      </x:c>
      <x:c r="I32" s="6" t="n">
        <x:v>3761787.4999999995</x:v>
      </x:c>
      <x:c r="J32" s="6" t="n">
        <x:f>G32-I32</x:f>
        <x:v>3017240.9500000016</x:v>
      </x:c>
      <x:c r="K32" s="8" t="n">
        <x:f>IFERROR(J32/B32,0)</x:f>
        <x:v>0.23602133970668462</x:v>
      </x:c>
      <x:c r="L32" s="6" t="n">
        <x:v>12917466.270000001</x:v>
      </x:c>
      <x:c r="M32" s="6" t="n">
        <x:f>L32*Assumptions!$B$5-L32*Assumptions!$B$6</x:f>
        <x:v>3100191.9048000006</x:v>
      </x:c>
      <x:c r="N32" s="6" t="n">
        <x:v>2641820.7800000003</x:v>
      </x:c>
      <x:c r="O32" s="6" t="n">
        <x:v>23045801.88</x:v>
      </x:c>
      <x:c r="P32" s="8" t="n">
        <x:f>IFERROR(J32/O32,0)</x:f>
        <x:v>0.1309236695564269</x:v>
      </x:c>
      <x:c r="Q32" s="8" t="n">
        <x:f>IFERROR((B32-L32)/L32,0)</x:f>
        <x:v>-0.010350553831947391</x:v>
      </x:c>
    </x:row>
    <x:row r="33">
      <x:c r="A33" t="str">
        <x:v>2026-06-01</x:v>
      </x:c>
      <x:c r="B33" s="6" t="n">
        <x:v>12992002.95</x:v>
      </x:c>
      <x:c r="C33" s="6" t="n">
        <x:v>12673819.41</x:v>
      </x:c>
      <x:c r="D33" s="6" t="n">
        <x:f>B33-C33</x:f>
        <x:v>318183.5399999991</x:v>
      </x:c>
      <x:c r="E33" s="8" t="n">
        <x:f>IFERROR(D33/C33,0)</x:f>
        <x:v>0.025105576283416454</x:v>
      </x:c>
      <x:c r="F33" s="6" t="n">
        <x:v>6088314.56</x:v>
      </x:c>
      <x:c r="G33" s="6" t="n">
        <x:f>B33-F33</x:f>
        <x:v>6903688.39</x:v>
      </x:c>
      <x:c r="H33" s="8" t="n">
        <x:f>IFERROR(G33/B33,0)</x:f>
        <x:v>0.5313798354702498</x:v>
      </x:c>
      <x:c r="I33" s="6" t="n">
        <x:v>3846509.9700000007</x:v>
      </x:c>
      <x:c r="J33" s="6" t="n">
        <x:f>G33-I33</x:f>
        <x:v>3057178.419999999</x:v>
      </x:c>
      <x:c r="K33" s="8" t="n">
        <x:f>IFERROR(J33/B33,0)</x:f>
        <x:v>0.23531232495602222</x:v>
      </x:c>
      <x:c r="L33" s="6" t="n">
        <x:v>12667083.629999997</x:v>
      </x:c>
      <x:c r="M33" s="6" t="n">
        <x:f>L33*Assumptions!$B$5-L33*Assumptions!$B$6</x:f>
        <x:v>3040100.0711999997</x:v>
      </x:c>
      <x:c r="N33" s="6" t="n">
        <x:v>2623926.9600000004</x:v>
      </x:c>
      <x:c r="O33" s="6" t="n">
        <x:v>23469162.790000003</x:v>
      </x:c>
      <x:c r="P33" s="8" t="n">
        <x:f>IFERROR(J33/O33,0)</x:f>
        <x:v>0.13026363349026812</x:v>
      </x:c>
      <x:c r="Q33" s="8" t="n">
        <x:f>IFERROR((B33-L33)/L33,0)</x:f>
        <x:v>0.025650680889994427</x:v>
      </x:c>
    </x:row>
    <x:row r="34">
      <x:c r="A34" t="str">
        <x:v>2026-07-01</x:v>
      </x:c>
      <x:c r="B34" s="6" t="n">
        <x:v>12718155.309999999</x:v>
      </x:c>
      <x:c r="C34" s="6" t="n">
        <x:v>12365952.159999998</x:v>
      </x:c>
      <x:c r="D34" s="6" t="n">
        <x:f>B34-C34</x:f>
        <x:v>352203.1500000004</x:v>
      </x:c>
      <x:c r="E34" s="8" t="n">
        <x:f>IFERROR(D34/C34,0)</x:f>
        <x:v>0.028481684664709267</x:v>
      </x:c>
      <x:c r="F34" s="6" t="n">
        <x:v>5930671.300000001</x:v>
      </x:c>
      <x:c r="G34" s="6" t="n">
        <x:f>B34-F34</x:f>
        <x:v>6787484.009999998</x:v>
      </x:c>
      <x:c r="H34" s="8" t="n">
        <x:f>IFERROR(G34/B34,0)</x:f>
        <x:v>0.5336846299292439</x:v>
      </x:c>
      <x:c r="I34" s="6" t="n">
        <x:v>3810471.57</x:v>
      </x:c>
      <x:c r="J34" s="6" t="n">
        <x:f>G34-I34</x:f>
        <x:v>2977012.439999998</x:v>
      </x:c>
      <x:c r="K34" s="8" t="n">
        <x:f>IFERROR(J34/B34,0)</x:f>
        <x:v>0.23407580481889856</x:v>
      </x:c>
      <x:c r="L34" s="6" t="n">
        <x:v>12371539.83</x:v>
      </x:c>
      <x:c r="M34" s="6" t="n">
        <x:f>L34*Assumptions!$B$5-L34*Assumptions!$B$6</x:f>
        <x:v>2969169.5592000005</x:v>
      </x:c>
      <x:c r="N34" s="6" t="n">
        <x:v>2511519.53</x:v>
      </x:c>
      <x:c r="O34" s="6" t="n">
        <x:v>22934419.910000004</x:v>
      </x:c>
      <x:c r="P34" s="8" t="n">
        <x:f>IFERROR(J34/O34,0)</x:f>
        <x:v>0.1298054387982119</x:v>
      </x:c>
      <x:c r="Q34" s="8" t="n">
        <x:f>IFERROR((B34-L34)/L34,0)</x:f>
        <x:v>0.02801716558835171</x:v>
      </x:c>
    </x:row>
    <x:row r="35">
      <x:c r="A35" t="str">
        <x:v>2026-08-01</x:v>
      </x:c>
      <x:c r="B35" s="6" t="n">
        <x:v>12464703.309999999</x:v>
      </x:c>
      <x:c r="C35" s="6" t="n">
        <x:v>12155923.879999999</x:v>
      </x:c>
      <x:c r="D35" s="6" t="n">
        <x:f>B35-C35</x:f>
        <x:v>308779.4299999997</x:v>
      </x:c>
      <x:c r="E35" s="8" t="n">
        <x:f>IFERROR(D35/C35,0)</x:f>
        <x:v>0.025401560017007916</x:v>
      </x:c>
      <x:c r="F35" s="6" t="n">
        <x:v>5814729.37</x:v>
      </x:c>
      <x:c r="G35" s="6" t="n">
        <x:f>B35-F35</x:f>
        <x:v>6649973.939999999</x:v>
      </x:c>
      <x:c r="H35" s="8" t="n">
        <x:f>IFERROR(G35/B35,0)</x:f>
        <x:v>0.5335043903263189</x:v>
      </x:c>
      <x:c r="I35" s="6" t="n">
        <x:v>3675895.38</x:v>
      </x:c>
      <x:c r="J35" s="6" t="n">
        <x:f>G35-I35</x:f>
        <x:v>2974078.5599999987</x:v>
      </x:c>
      <x:c r="K35" s="8" t="n">
        <x:f>IFERROR(J35/B35,0)</x:f>
        <x:v>0.2386000280980614</x:v>
      </x:c>
      <x:c r="L35" s="6" t="n">
        <x:v>12202276.53</x:v>
      </x:c>
      <x:c r="M35" s="6" t="n">
        <x:f>L35*Assumptions!$B$5-L35*Assumptions!$B$6</x:f>
        <x:v>2928546.3672</x:v>
      </x:c>
      <x:c r="N35" s="6" t="n">
        <x:v>2418430.17</x:v>
      </x:c>
      <x:c r="O35" s="6" t="n">
        <x:v>22491587.27</x:v>
      </x:c>
      <x:c r="P35" s="8" t="n">
        <x:f>IFERROR(J35/O35,0)</x:f>
        <x:v>0.13223071027836794</x:v>
      </x:c>
      <x:c r="Q35" s="8" t="n">
        <x:f>IFERROR((B35-L35)/L35,0)</x:f>
        <x:v>0.021506378695385898</x:v>
      </x:c>
    </x:row>
  </x:sheetData>
  <x:mergeCells>
    <x:mergeCell ref="A1:P1"/>
  </x:mergeCells>
  <x:pageMargins left="0.7" right="0.7" top="0.75" bottom="0.75" header="0.3" footer="0.3"/>
  <x:drawing xmlns:r="http://schemas.openxmlformats.org/officeDocument/2006/relationships" r:id="R40e5269029324332"/>
</x:worksheet>
</file>

<file path=xl/worksheets/sheet3.xml><?xml version="1.0" encoding="utf-8"?>
<x:worksheet xmlns:x="http://schemas.openxmlformats.org/spreadsheetml/2006/main">
  <x:sheetFormatPr defaultRowHeight="15"/>
  <x:cols>
    <x:col min="1" max="1" width="41.75" hidden="0" customWidth="1"/>
    <x:col min="2" max="2" width="13" hidden="0" customWidth="1"/>
    <x:col min="3" max="3" width="13.5" hidden="0" customWidth="1"/>
    <x:col min="4" max="4" width="8.5" hidden="0" customWidth="1"/>
    <x:col min="5" max="5" width="8.880000114440918" hidden="0" customWidth="1"/>
    <x:col min="6" max="6" width="8.75" hidden="0" customWidth="1"/>
    <x:col min="7" max="7" width="27.25" hidden="0" customWidth="1"/>
    <x:col min="8" max="8" width="7.880000114440918" hidden="0" customWidth="1"/>
    <x:col min="9" max="9" width="29.5" hidden="0" customWidth="1"/>
    <x:col min="10" max="10" width="16" hidden="0" customWidth="1"/>
  </x:cols>
  <x:sheetData>
    <x:row r="1" ht="28" customHeight="1">
      <x:c r="A1" s="11" t="str">
        <x:v>Variance Analysis — Actual vs Budget</x:v>
      </x:c>
      <x:c r="B1" s="11"/>
      <x:c r="C1" s="11"/>
      <x:c r="D1" s="11"/>
      <x:c r="E1" s="11"/>
      <x:c r="F1" s="11"/>
      <x:c r="G1" s="11"/>
      <x:c r="H1" s="11"/>
      <x:c r="I1" s="11"/>
      <x:c r="J1" s="11"/>
    </x:row>
    <x:row r="3">
      <x:c r="A3" s="3" t="str">
        <x:v>Metric</x:v>
      </x:c>
      <x:c r="B3" s="3" t="str">
        <x:v>2026 YTD Actual</x:v>
      </x:c>
      <x:c r="C3" s="3" t="str">
        <x:v>2026 YTD Budget</x:v>
      </x:c>
      <x:c r="D3" s="3" t="str">
        <x:v>Variance $</x:v>
      </x:c>
      <x:c r="E3" s="3" t="str">
        <x:v>Variance %</x:v>
      </x:c>
      <x:c r="F3" s="3" t="str">
        <x:v>Favorable?</x:v>
      </x:c>
      <x:c r="G3" s="3" t="str">
        <x:v>Primary Driver</x:v>
      </x:c>
      <x:c r="H3" s="3" t="str">
        <x:v>Risk</x:v>
      </x:c>
      <x:c r="I3" s="3" t="str">
        <x:v>Action</x:v>
      </x:c>
      <x:c r="J3" s="3" t="str">
        <x:v>Owner</x:v>
      </x:c>
    </x:row>
    <x:row r="4">
      <x:c r="A4" t="str">
        <x:v>Revenue</x:v>
      </x:c>
      <x:c r="B4" s="6" t="n">
        <x:f>'Executive Summary'!B7</x:f>
        <x:v>100309451.47</x:v>
      </x:c>
      <x:c r="C4" s="6" t="n">
        <x:f>'Executive Summary'!C7</x:f>
        <x:v>99901513.32999998</x:v>
      </x:c>
      <x:c r="D4" s="6" t="n">
        <x:f>B4-C4</x:f>
        <x:v>407938.1400000155</x:v>
      </x:c>
      <x:c r="E4" s="8" t="n">
        <x:f>IFERROR(D4/C4,0)</x:f>
        <x:v>0.004083403007645065</x:v>
      </x:c>
      <x:c r="F4" t="str">
        <x:f>IF(D4&gt;=0,"Favorable","Unfavorable")</x:f>
        <x:v>Favorable</x:v>
      </x:c>
      <x:c r="G4" s="28" t="str">
        <x:v>Volume / mix and timing</x:v>
      </x:c>
      <x:c r="H4" s="28" t="str">
        <x:v>Moderate</x:v>
      </x:c>
      <x:c r="I4" s="28" t="str">
        <x:v>Protect high-margin pipeline</x:v>
      </x:c>
      <x:c r="J4" s="28" t="str">
        <x:v>Sales / FP&amp;A</x:v>
      </x:c>
    </x:row>
    <x:row r="5">
      <x:c r="A5" t="str">
        <x:v>Gross Profit</x:v>
      </x:c>
      <x:c r="B5" s="6" t="n">
        <x:f>'Executive Summary'!B8</x:f>
        <x:v>53365802.17999999</x:v>
      </x:c>
      <x:c r="C5" s="6" t="n">
        <x:f>'Executive Summary'!C8</x:f>
        <x:v>52957864.04</x:v>
      </x:c>
      <x:c r="D5" s="6" t="n">
        <x:f>B5-C5</x:f>
        <x:v>407938.13999999315</x:v>
      </x:c>
      <x:c r="E5" s="8" t="n">
        <x:f>IFERROR(D5/C5,0)</x:f>
        <x:v>0.007703070118006843</x:v>
      </x:c>
      <x:c r="F5" t="str">
        <x:f>IF(D5&gt;=0,"Favorable","Unfavorable")</x:f>
        <x:v>Favorable</x:v>
      </x:c>
      <x:c r="G5" s="28" t="str">
        <x:v>Revenue mix + COGS rate</x:v>
      </x:c>
      <x:c r="H5" s="28" t="str">
        <x:v>Moderate</x:v>
      </x:c>
      <x:c r="I5" s="28" t="str">
        <x:v>Review gross margin bridge monthly</x:v>
      </x:c>
      <x:c r="J5" s="28" t="str">
        <x:v>Finance / Operations</x:v>
      </x:c>
    </x:row>
    <x:row r="6">
      <x:c r="A6" t="str">
        <x:v>EBITDA</x:v>
      </x:c>
      <x:c r="B6" s="6" t="n">
        <x:f>'Executive Summary'!B9</x:f>
        <x:v>23614187.769999992</x:v>
      </x:c>
      <x:c r="C6" s="6" t="n">
        <x:f>'Executive Summary'!C9</x:f>
        <x:v>23206249.63</x:v>
      </x:c>
      <x:c r="D6" s="6" t="n">
        <x:f>B6-C6</x:f>
        <x:v>407938.13999999315</x:v>
      </x:c>
      <x:c r="E6" s="8" t="n">
        <x:f>IFERROR(D6/C6,0)</x:f>
        <x:v>0.017578805128107774</x:v>
      </x:c>
      <x:c r="F6" t="str">
        <x:f>IF(D6&gt;=0,"Favorable","Unfavorable")</x:f>
        <x:v>Favorable</x:v>
      </x:c>
      <x:c r="G6" s="28" t="str">
        <x:v>Gross profit less operating spend</x:v>
      </x:c>
      <x:c r="H6" s="28" t="str">
        <x:v>High</x:v>
      </x:c>
      <x:c r="I6" s="28" t="str">
        <x:v>Enforce spend-to-plan controls</x:v>
      </x:c>
      <x:c r="J6" s="28" t="str">
        <x:v>FP&amp;A / Functions</x:v>
      </x:c>
    </x:row>
    <x:row r="7">
      <x:c r="A7" t="str">
        <x:v>Operating Cash Flow</x:v>
      </x:c>
      <x:c r="B7" s="6" t="n">
        <x:f>'Executive Summary'!B10</x:f>
        <x:v>19719247.07</x:v>
      </x:c>
      <x:c r="C7" s="6" t="n">
        <x:f>'Executive Summary'!C10</x:f>
        <x:v>24047862.280487806</x:v>
      </x:c>
      <x:c r="D7" s="6" t="n">
        <x:f>B7-C7</x:f>
        <x:v>-4328615.210487805</x:v>
      </x:c>
      <x:c r="E7" s="8" t="n">
        <x:f>IFERROR(D7/C7,0)</x:f>
        <x:v>-0.18000000000000002</x:v>
      </x:c>
      <x:c r="F7" t="str">
        <x:f>IF(D7&gt;=0,"Favorable","Unfavorable")</x:f>
        <x:v>Unfavorable</x:v>
      </x:c>
      <x:c r="G7" s="28" t="str">
        <x:v>EBITDA conversion / working capital</x:v>
      </x:c>
      <x:c r="H7" s="28" t="str">
        <x:v>High</x:v>
      </x:c>
      <x:c r="I7" s="28" t="str">
        <x:v>Strengthen collections and cash review</x:v>
      </x:c>
      <x:c r="J7" s="28" t="str">
        <x:v>Treasury / FP&amp;A</x:v>
      </x:c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4.25" hidden="0" customWidth="1"/>
    <x:col min="2" max="2" width="12.380000114440918" hidden="0" customWidth="1"/>
    <x:col min="3" max="3" width="13" hidden="0" customWidth="1"/>
    <x:col min="4" max="4" width="11.380000114440918" hidden="0" customWidth="1"/>
    <x:col min="5" max="5" width="11.880000114440918" hidden="0" customWidth="1"/>
    <x:col min="6" max="6" width="11.380000114440918" hidden="0" customWidth="1"/>
    <x:col min="7" max="7" width="12" hidden="0" customWidth="1"/>
    <x:col min="8" max="8" width="13.880000114440918" hidden="0" customWidth="1"/>
    <x:col min="9" max="9" width="7" hidden="0" customWidth="1"/>
    <x:col min="10" max="10" width="42" hidden="0" customWidth="1"/>
  </x:cols>
  <x:sheetData>
    <x:row r="1" ht="28" customHeight="1">
      <x:c r="A1" s="11" t="str">
        <x:v>Business Unit Performance — 2026 YTD</x:v>
      </x:c>
      <x:c r="B1" s="11"/>
      <x:c r="C1" s="11"/>
      <x:c r="D1" s="11"/>
      <x:c r="E1" s="11"/>
      <x:c r="F1" s="11"/>
      <x:c r="G1" s="11"/>
      <x:c r="H1" s="11"/>
      <x:c r="I1" s="11"/>
      <x:c r="J1" s="11"/>
    </x:row>
    <x:row r="3">
      <x:c r="A3" s="3" t="str">
        <x:v>Business Unit</x:v>
      </x:c>
      <x:c r="B3" s="3" t="str">
        <x:v>Actual Revenue</x:v>
      </x:c>
      <x:c r="C3" s="3" t="str">
        <x:v>Budget Revenue</x:v>
      </x:c>
      <x:c r="D3" s="3" t="str">
        <x:v>Revenue Var $</x:v>
      </x:c>
      <x:c r="E3" s="3" t="str">
        <x:v>Revenue Var %</x:v>
      </x:c>
      <x:c r="F3" s="3" t="str">
        <x:v>Actual EBITDA</x:v>
      </x:c>
      <x:c r="G3" s="3" t="str">
        <x:v>EBITDA Margin</x:v>
      </x:c>
      <x:c r="H3" s="3" t="str">
        <x:v>Share of Revenue</x:v>
      </x:c>
      <x:c r="I3" s="3" t="str">
        <x:v>Status</x:v>
      </x:c>
      <x:c r="J3" s="3" t="str">
        <x:v>Management Note</x:v>
      </x:c>
    </x:row>
    <x:row r="4">
      <x:c r="A4" t="str">
        <x:v>Enterprise</x:v>
      </x:c>
      <x:c r="B4" s="6" t="n">
        <x:v>43512011.81</x:v>
      </x:c>
      <x:c r="C4" s="6" t="n">
        <x:v>43145185.49</x:v>
      </x:c>
      <x:c r="D4" s="6" t="n">
        <x:f>B4-C4</x:f>
        <x:v>366826.3200000003</x:v>
      </x:c>
      <x:c r="E4" s="8" t="n">
        <x:f>IFERROR(D4/C4,0)</x:f>
        <x:v>0.008502137975163455</x:v>
      </x:c>
      <x:c r="F4" s="6" t="n">
        <x:f>10469729.35</x:f>
        <x:v>10469729.35</x:v>
      </x:c>
      <x:c r="G4" s="8" t="n">
        <x:f>IFERROR(F4/B4,0)</x:f>
        <x:v>0.24061699090626348</x:v>
      </x:c>
      <x:c r="H4" s="8" t="n">
        <x:f>IFERROR(B4/SUM($B$4:$B$7),0)</x:f>
        <x:v>0.43377778636356445</x:v>
      </x:c>
      <x:c r="I4" t="str">
        <x:f>IF(D4&gt;=0,"On Track","Watch")</x:f>
        <x:v>On Track</x:v>
      </x:c>
      <x:c r="J4" t="str">
        <x:v>Largest revenue base; protect execution and margin.</x:v>
      </x:c>
    </x:row>
    <x:row r="5">
      <x:c r="A5" t="str">
        <x:v>SMB</x:v>
      </x:c>
      <x:c r="B5" s="6" t="n">
        <x:v>24957454.43</x:v>
      </x:c>
      <x:c r="C5" s="6" t="n">
        <x:v>25053089.34</x:v>
      </x:c>
      <x:c r="D5" s="6" t="n">
        <x:f>B5-C5</x:f>
        <x:v>-95634.91000000015</x:v>
      </x:c>
      <x:c r="E5" s="8" t="n">
        <x:f>IFERROR(D5/C5,0)</x:f>
        <x:v>-0.003817290103512645</x:v>
      </x:c>
      <x:c r="F5" s="6" t="n">
        <x:f>4160406.17</x:f>
        <x:v>4160406.17</x:v>
      </x:c>
      <x:c r="G5" s="8" t="n">
        <x:f>IFERROR(F5/B5,0)</x:f>
        <x:v>0.16669994055960297</x:v>
      </x:c>
      <x:c r="H5" s="8" t="n">
        <x:f>IFERROR(B5/SUM($B$4:$B$7),0)</x:f>
        <x:v>0.24880461476219054</x:v>
      </x:c>
      <x:c r="I5" t="str">
        <x:f>IF(D5&gt;=0,"On Track","Watch")</x:f>
        <x:v>Watch</x:v>
      </x:c>
      <x:c r="J5" t="str">
        <x:v>Focus on retention, pricing and pipeline conversion.</x:v>
      </x:c>
    </x:row>
    <x:row r="6">
      <x:c r="A6" t="str">
        <x:v>Digital</x:v>
      </x:c>
      <x:c r="B6" s="6" t="n">
        <x:v>18449442.37</x:v>
      </x:c>
      <x:c r="C6" s="6" t="n">
        <x:v>18243045.95</x:v>
      </x:c>
      <x:c r="D6" s="6" t="n">
        <x:f>B6-C6</x:f>
        <x:v>206396.4200000018</x:v>
      </x:c>
      <x:c r="E6" s="8" t="n">
        <x:f>IFERROR(D6/C6,0)</x:f>
        <x:v>0.011313703893839164</x:v>
      </x:c>
      <x:c r="F6" s="6" t="n">
        <x:f>5482238.89</x:f>
        <x:v>5482238.89</x:v>
      </x:c>
      <x:c r="G6" s="8" t="n">
        <x:f>IFERROR(F6/B6,0)</x:f>
        <x:v>0.2971493002365469</x:v>
      </x:c>
      <x:c r="H6" s="8" t="n">
        <x:f>IFERROR(B6/SUM($B$4:$B$7),0)</x:f>
        <x:v>0.18392526426602737</x:v>
      </x:c>
      <x:c r="I6" t="str">
        <x:f>IF(D6&gt;=0,"On Track","Watch")</x:f>
        <x:v>On Track</x:v>
      </x:c>
      <x:c r="J6" t="str">
        <x:v>Highest structural margin; prioritize scalable growth.</x:v>
      </x:c>
    </x:row>
    <x:row r="7">
      <x:c r="A7" t="str">
        <x:v>Services</x:v>
      </x:c>
      <x:c r="B7" s="6" t="n">
        <x:v>13390542.86</x:v>
      </x:c>
      <x:c r="C7" s="6" t="n">
        <x:v>13460192.55</x:v>
      </x:c>
      <x:c r="D7" s="6" t="n">
        <x:f>B7-C7</x:f>
        <x:v>-69649.69000000134</x:v>
      </x:c>
      <x:c r="E7" s="8" t="n">
        <x:f>IFERROR(D7/C7,0)</x:f>
        <x:v>-0.005174494327720545</x:v>
      </x:c>
      <x:c r="F7" s="6" t="n">
        <x:f>3501813.36</x:f>
        <x:v>3501813.36</x:v>
      </x:c>
      <x:c r="G7" s="8" t="n">
        <x:f>IFERROR(F7/B7,0)</x:f>
        <x:v>0.2615139204296606</x:v>
      </x:c>
      <x:c r="H7" s="8" t="n">
        <x:f>IFERROR(B7/SUM($B$4:$B$7),0)</x:f>
        <x:v>0.13349233460821752</x:v>
      </x:c>
      <x:c r="I7" t="str">
        <x:f>IF(D7&gt;=0,"On Track","Watch")</x:f>
        <x:v>Watch</x:v>
      </x:c>
      <x:c r="J7" t="str">
        <x:v>Improve utilization and cost discipline.</x:v>
      </x:c>
    </x:row>
  </x:sheetData>
  <x:mergeCells>
    <x:mergeCell ref="A1:J1"/>
  </x:mergeCells>
  <x:conditionalFormatting sqref="D4:D7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18a4fa96e85f4819"/>
</x:worksheet>
</file>

<file path=xl/worksheets/sheet5.xml><?xml version="1.0" encoding="utf-8"?>
<x:worksheet xmlns:x="http://schemas.openxmlformats.org/spreadsheetml/2006/main">
  <x:sheetFormatPr defaultRowHeight="15"/>
  <x:cols>
    <x:col min="1" max="1" width="44.25" hidden="0" customWidth="1"/>
    <x:col min="2" max="2" width="28.75" hidden="0" customWidth="1"/>
    <x:col min="3" max="3" width="48" hidden="0" customWidth="1"/>
    <x:col min="4" max="4" width="13.25" hidden="0" customWidth="1"/>
    <x:col min="5" max="5" width="20.5" hidden="0" customWidth="1"/>
    <x:col min="6" max="6" width="13" hidden="0" customWidth="1"/>
    <x:col min="7" max="7" width="9.880000114440918" hidden="0" customWidth="1"/>
    <x:col min="8" max="8" width="9.880000114440918" hidden="0" customWidth="1"/>
    <x:col min="9" max="9" width="9.880000114440918" hidden="0" customWidth="1"/>
    <x:col min="10" max="10" width="12" hidden="0" customWidth="1"/>
  </x:cols>
  <x:sheetData>
    <x:row r="1" ht="28" customHeight="1">
      <x:c r="A1" s="11" t="str">
        <x:v>Forecast &amp; Scenario Planning — FY2027</x:v>
      </x:c>
      <x:c r="B1" s="11"/>
      <x:c r="C1" s="11"/>
      <x:c r="D1" s="11"/>
      <x:c r="E1" s="11"/>
      <x:c r="F1" s="11"/>
      <x:c r="G1" s="11"/>
      <x:c r="H1" s="11"/>
      <x:c r="I1" s="11"/>
      <x:c r="J1" s="11"/>
    </x:row>
    <x:row r="3">
      <x:c r="A3" s="3" t="str">
        <x:v>Scenario</x:v>
      </x:c>
      <x:c r="B3" s="3" t="str">
        <x:v>Revenue Growth</x:v>
      </x:c>
      <x:c r="C3" s="3" t="str">
        <x:v>Gross Margin</x:v>
      </x:c>
      <x:c r="D3" s="3" t="str">
        <x:v>Opex % Revenue</x:v>
      </x:c>
      <x:c r="E3" s="3" t="str">
        <x:v>FY2026 Run-Rate Revenue</x:v>
      </x:c>
      <x:c r="F3" s="3" t="str">
        <x:v>FY2027 Revenue</x:v>
      </x:c>
      <x:c r="G3" s="3" t="str">
        <x:v>Gross Profit</x:v>
      </x:c>
      <x:c r="H3" s="3" t="str">
        <x:v>Opex</x:v>
      </x:c>
      <x:c r="I3" s="3" t="str">
        <x:v>EBITDA</x:v>
      </x:c>
      <x:c r="J3" s="3" t="str">
        <x:v>EBITDA Margin</x:v>
      </x:c>
    </x:row>
    <x:row r="4">
      <x:c r="A4" t="str">
        <x:v>Base</x:v>
      </x:c>
      <x:c r="B4" s="8" t="n">
        <x:f>Assumptions!B4</x:f>
        <x:v>0.065</x:v>
      </x:c>
      <x:c r="C4" s="8" t="n">
        <x:f>Assumptions!B5</x:f>
        <x:v>0.535</x:v>
      </x:c>
      <x:c r="D4" s="8" t="n">
        <x:f>Assumptions!B6</x:f>
        <x:v>0.295</x:v>
      </x:c>
      <x:c r="E4" s="6" t="n">
        <x:f>'Executive Summary'!B7/8*12</x:f>
        <x:v>150464177.20499998</x:v>
      </x:c>
      <x:c r="F4" s="6" t="n">
        <x:f>E4*(1+B4)</x:f>
        <x:v>160244348.72332498</x:v>
      </x:c>
      <x:c r="G4" s="6" t="n">
        <x:f>F4*C4</x:f>
        <x:v>85730726.56697887</x:v>
      </x:c>
      <x:c r="H4" s="6" t="n">
        <x:f>F4*D4</x:f>
        <x:v>47272082.87338087</x:v>
      </x:c>
      <x:c r="I4" s="6" t="n">
        <x:f>G4-H4</x:f>
        <x:v>38458643.693598</x:v>
      </x:c>
      <x:c r="J4" s="8" t="n">
        <x:f>IFERROR(I4/F4,0)</x:f>
        <x:v>0.24000000000000005</x:v>
      </x:c>
    </x:row>
    <x:row r="5">
      <x:c r="A5" t="str">
        <x:v>Upside</x:v>
      </x:c>
      <x:c r="B5" s="8" t="n">
        <x:f>Assumptions!C4</x:f>
        <x:v>0.095</x:v>
      </x:c>
      <x:c r="C5" s="8" t="n">
        <x:f>Assumptions!C5</x:f>
        <x:v>0.555</x:v>
      </x:c>
      <x:c r="D5" s="8" t="n">
        <x:f>Assumptions!C6</x:f>
        <x:v>0.285</x:v>
      </x:c>
      <x:c r="E5" s="6" t="n">
        <x:f>'Executive Summary'!B7/8*12</x:f>
        <x:v>150464177.20499998</x:v>
      </x:c>
      <x:c r="F5" s="6" t="n">
        <x:f>E5*(1+B5)</x:f>
        <x:v>164758274.03947496</x:v>
      </x:c>
      <x:c r="G5" s="6" t="n">
        <x:f>F5*C5</x:f>
        <x:v>91440842.09190862</x:v>
      </x:c>
      <x:c r="H5" s="6" t="n">
        <x:f>F5*D5</x:f>
        <x:v>46956108.10125036</x:v>
      </x:c>
      <x:c r="I5" s="6" t="n">
        <x:f>G5-H5</x:f>
        <x:v>44484733.99065826</x:v>
      </x:c>
      <x:c r="J5" s="8" t="n">
        <x:f>IFERROR(I5/F5,0)</x:f>
        <x:v>0.27000000000000013</x:v>
      </x:c>
    </x:row>
    <x:row r="6">
      <x:c r="A6" t="str">
        <x:v>Downside</x:v>
      </x:c>
      <x:c r="B6" s="8" t="n">
        <x:f>Assumptions!D4</x:f>
        <x:v>0.025</x:v>
      </x:c>
      <x:c r="C6" s="8" t="n">
        <x:f>Assumptions!D5</x:f>
        <x:v>0.505</x:v>
      </x:c>
      <x:c r="D6" s="8" t="n">
        <x:f>Assumptions!D6</x:f>
        <x:v>0.315</x:v>
      </x:c>
      <x:c r="E6" s="6" t="n">
        <x:f>'Executive Summary'!B7/8*12</x:f>
        <x:v>150464177.20499998</x:v>
      </x:c>
      <x:c r="F6" s="6" t="n">
        <x:f>E6*(1+B6)</x:f>
        <x:v>154225781.63512498</x:v>
      </x:c>
      <x:c r="G6" s="6" t="n">
        <x:f>F6*C6</x:f>
        <x:v>77884019.72573812</x:v>
      </x:c>
      <x:c r="H6" s="6" t="n">
        <x:f>F6*D6</x:f>
        <x:v>48581121.21506437</x:v>
      </x:c>
      <x:c r="I6" s="6" t="n">
        <x:f>G6-H6</x:f>
        <x:v>29302898.510673754</x:v>
      </x:c>
      <x:c r="J6" s="8" t="n">
        <x:f>IFERROR(I6/F6,0)</x:f>
        <x:v>0.19000000000000006</x:v>
      </x:c>
    </x:row>
    <x:row r="9">
      <x:c r="A9" s="3" t="str">
        <x:v>Scenario Interpretation</x:v>
      </x:c>
      <x:c r="B9" s="3"/>
      <x:c r="C9" s="3"/>
      <x:c r="D9" s="3"/>
      <x:c r="E9" s="3"/>
      <x:c r="F9" s="3"/>
      <x:c r="G9" s="3"/>
      <x:c r="H9" s="3"/>
      <x:c r="I9" s="3"/>
      <x:c r="J9" s="3"/>
    </x:row>
    <x:row r="11">
      <x:c r="A11" s="25" t="str">
        <x:v>Scenario</x:v>
      </x:c>
      <x:c r="B11" s="25" t="str">
        <x:v>Use Case</x:v>
      </x:c>
      <x:c r="C11" s="25" t="str">
        <x:v>Decision Guidance</x:v>
      </x:c>
    </x:row>
    <x:row r="12">
      <x:c r="A12" t="str">
        <x:v>Base</x:v>
      </x:c>
      <x:c r="B12" s="28" t="str">
        <x:v>Most likely operating plan</x:v>
      </x:c>
      <x:c r="C12" s="28" t="str">
        <x:v>Use for staffing, annual plan and operating targets.</x:v>
      </x:c>
    </x:row>
    <x:row r="13">
      <x:c r="A13" t="str">
        <x:v>Upside</x:v>
      </x:c>
      <x:c r="B13" s="28" t="str">
        <x:v>Demand and margin outperform</x:v>
      </x:c>
      <x:c r="C13" s="28" t="str">
        <x:v>Pre-approve capacity investments tied to trigger thresholds.</x:v>
      </x:c>
    </x:row>
    <x:row r="14">
      <x:c r="A14" t="str">
        <x:v>Downside</x:v>
      </x:c>
      <x:c r="B14" s="28" t="str">
        <x:v>Demand slows and cost pressure rises</x:v>
      </x:c>
      <x:c r="C14" s="28" t="str">
        <x:v>Protect cash, freeze discretionary spend and prioritize retention.</x:v>
      </x:c>
    </x:row>
  </x:sheetData>
  <x:mergeCells>
    <x:mergeCell ref="A1:J1"/>
    <x:mergeCell ref="A9:J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8.880000114440918" hidden="0" customWidth="1"/>
    <x:col min="4" max="4" width="5.25" hidden="0" customWidth="1"/>
    <x:col min="5" max="5" width="44" hidden="0" customWidth="1"/>
    <x:col min="6" max="6" width="5.75" hidden="0" customWidth="1"/>
    <x:col min="7" max="7" width="8.5" hidden="0" customWidth="1"/>
    <x:col min="8" max="8" width="14.5" hidden="0" customWidth="1"/>
  </x:cols>
  <x:sheetData>
    <x:row r="1" ht="28" customHeight="1">
      <x:c r="A1" s="11" t="str">
        <x:v>Financial Model Controls &amp; Reconciliation</x:v>
      </x:c>
      <x:c r="B1" s="11"/>
      <x:c r="C1" s="11"/>
      <x:c r="D1" s="11"/>
      <x:c r="E1" s="11"/>
      <x:c r="F1" s="11"/>
      <x:c r="G1" s="11"/>
      <x:c r="H1" s="11"/>
    </x:row>
    <x:row r="3">
      <x:c r="A3" s="3" t="str">
        <x:v>Control</x:v>
      </x:c>
      <x:c r="B3" s="3" t="str">
        <x:v>Formula / Test</x:v>
      </x:c>
      <x:c r="C3" s="3" t="str">
        <x:v>Result</x:v>
      </x:c>
      <x:c r="D3" s="3" t="str">
        <x:v>Status</x:v>
      </x:c>
      <x:c r="E3" s="3" t="str">
        <x:v>Purpose</x:v>
      </x:c>
      <x:c r="F3" s="3" t="str">
        <x:v>Owner</x:v>
      </x:c>
      <x:c r="G3" s="3" t="str">
        <x:v>Frequency</x:v>
      </x:c>
      <x:c r="H3" s="3" t="str">
        <x:v>Evidence</x:v>
      </x:c>
    </x:row>
    <x:row r="4">
      <x:c r="A4" s="28" t="str">
        <x:v>Actual Revenue tie-out</x:v>
      </x:c>
      <x:c r="B4" s="28" t="str">
        <x:v>Executive Summary YTD Revenue vs Monthly P&amp;L</x:v>
      </x:c>
      <x:c r="C4" s="30" t="n">
        <x:f>'Executive Summary'!B7-SUM('Monthly Performance'!B28:B35)</x:f>
        <x:v>0</x:v>
      </x:c>
      <x:c r="D4" s="28" t="str">
        <x:f>IF(ABS(C4)&lt;1,"PASS","FAIL")</x:f>
        <x:v>PASS</x:v>
      </x:c>
      <x:c r="E4" s="28" t="str">
        <x:v>Confirms dashboard revenue agrees to source aggregation.</x:v>
      </x:c>
      <x:c r="F4" s="28" t="str">
        <x:v>FP&amp;A</x:v>
      </x:c>
      <x:c r="G4" s="28" t="str">
        <x:v>Monthly</x:v>
      </x:c>
      <x:c r="H4" s="28" t="str">
        <x:v>Workbook formula</x:v>
      </x:c>
    </x:row>
    <x:row r="5">
      <x:c r="A5" s="28" t="str">
        <x:v>EBITDA tie-out</x:v>
      </x:c>
      <x:c r="B5" s="28" t="str">
        <x:v>Executive Summary YTD EBITDA vs Monthly P&amp;L</x:v>
      </x:c>
      <x:c r="C5" s="30" t="n">
        <x:f>'Executive Summary'!B9-SUM('Monthly Performance'!J28:J35)</x:f>
        <x:v>0</x:v>
      </x:c>
      <x:c r="D5" s="28" t="str">
        <x:f>IF(ABS(C5)&lt;1,"PASS","FAIL")</x:f>
        <x:v>PASS</x:v>
      </x:c>
      <x:c r="E5" s="28" t="str">
        <x:v>Confirms profitability totals reconcile.</x:v>
      </x:c>
      <x:c r="F5" s="28" t="str">
        <x:v>FP&amp;A</x:v>
      </x:c>
      <x:c r="G5" s="28" t="str">
        <x:v>Monthly</x:v>
      </x:c>
      <x:c r="H5" s="28" t="str">
        <x:v>Workbook formula</x:v>
      </x:c>
    </x:row>
    <x:row r="6">
      <x:c r="A6" s="28" t="str">
        <x:v>Balance check</x:v>
      </x:c>
      <x:c r="B6" s="28" t="str">
        <x:v>Revenue - COGS - Opex = EBITDA</x:v>
      </x:c>
      <x:c r="C6" s="30" t="n">
        <x:f>SUM('Monthly Performance'!B28:B35)-SUM('Monthly Performance'!F28:F35)-SUM('Monthly Performance'!I28:I35)-'Executive Summary'!B9</x:f>
        <x:v>7.450580596923828e-9</x:v>
      </x:c>
      <x:c r="D6" s="28" t="str">
        <x:f>IF(ABS(C6)&lt;1,"PASS","FAIL")</x:f>
        <x:v>PASS</x:v>
      </x:c>
      <x:c r="E6" s="28" t="str">
        <x:v>Detects sign or formula issues.</x:v>
      </x:c>
      <x:c r="F6" s="28" t="str">
        <x:v>FP&amp;A</x:v>
      </x:c>
      <x:c r="G6" s="28" t="str">
        <x:v>Monthly</x:v>
      </x:c>
      <x:c r="H6" s="28" t="str">
        <x:v>Workbook formula</x:v>
      </x:c>
    </x:row>
    <x:row r="7">
      <x:c r="A7" s="28" t="str">
        <x:v>Scenario logic</x:v>
      </x:c>
      <x:c r="B7" s="28" t="str">
        <x:v>Upside Revenue &gt; Base &gt; Downside</x:v>
      </x:c>
      <x:c r="C7" s="30" t="n">
        <x:f>'Forecast Scenarios'!F5-'Forecast Scenarios'!F4</x:f>
        <x:v>4513925.31614998</x:v>
      </x:c>
      <x:c r="D7" s="28" t="str">
        <x:f>IF(AND('Forecast Scenarios'!F5&gt;'Forecast Scenarios'!F4,'Forecast Scenarios'!F4&gt;'Forecast Scenarios'!F6),"PASS","FAIL")</x:f>
        <x:v>PASS</x:v>
      </x:c>
      <x:c r="E7" s="28" t="str">
        <x:v>Validates scenario ordering.</x:v>
      </x:c>
      <x:c r="F7" s="28" t="str">
        <x:v>FP&amp;A</x:v>
      </x:c>
      <x:c r="G7" s="28" t="str">
        <x:v>Quarterly</x:v>
      </x:c>
      <x:c r="H7" s="28" t="str">
        <x:v>Workbook formula</x:v>
      </x:c>
    </x:row>
    <x:row r="8">
      <x:c r="A8" t="str">
        <x:v>Cash conversion sanity</x:v>
      </x:c>
      <x:c r="B8" t="str">
        <x:v>Operating cash flow / EBITDA between 0% and 120%</x:v>
      </x:c>
      <x:c r="C8" s="8" t="n">
        <x:f>IFERROR('Executive Summary'!B10/'Executive Summary'!B9,0)</x:f>
        <x:v>0.8350592983363919</x:v>
      </x:c>
      <x:c r="D8" t="str">
        <x:f>IF(AND(C8&gt;=0,C8&lt;=1.2),"PASS","FAIL")</x:f>
        <x:v>PASS</x:v>
      </x:c>
      <x:c r="E8" t="str">
        <x:v>Flags unreasonable cash conversion in YTD results.</x:v>
      </x:c>
      <x:c r="F8" t="str">
        <x:v>Treasury / FP&amp;A</x:v>
      </x:c>
      <x:c r="G8" t="str">
        <x:v>Monthly</x:v>
      </x:c>
      <x:c r="H8" t="str">
        <x:v>Workbook formula</x:v>
      </x:c>
    </x:row>
    <x:row r="9">
      <x:c r="A9" t="str">
        <x:v>Forecast accuracy</x:v>
      </x:c>
      <x:c r="B9" t="str">
        <x:v>Absolute YTD revenue forecast error under 10%</x:v>
      </x:c>
      <x:c r="C9" s="8" t="n">
        <x:f>ABS(('Executive Summary'!B7-SUM('Monthly Performance'!L28:L35))/SUM('Monthly Performance'!L28:L35))</x:f>
        <x:v>0.0014372800665777865</x:v>
      </x:c>
      <x:c r="D9" t="str">
        <x:f>IF(C9&lt;=0.10,"PASS","FAIL")</x:f>
        <x:v>PASS</x:v>
      </x:c>
      <x:c r="E9" t="str">
        <x:v>Tests whether current forecast is decision-useful.</x:v>
      </x:c>
      <x:c r="F9" t="str">
        <x:v>FP&amp;A</x:v>
      </x:c>
      <x:c r="G9" t="str">
        <x:v>Monthly</x:v>
      </x:c>
      <x:c r="H9" t="str">
        <x:v>Workbook formula</x:v>
      </x:c>
    </x:row>
  </x:sheetData>
  <x:mergeCells>
    <x:mergeCell ref="A1:H1"/>
  </x:mergeCells>
  <x:conditionalFormatting sqref="D4:D7">
    <x:cfRule type="expression" dxfId="0" priority="1">
      <x:formula>D4="FAIL"</x:formula>
    </x:cfRule>
    <x:cfRule type="expression" dxfId="1" priority="2">
      <x:formula>D4="PASS"</x:formula>
    </x:cfRule>
  </x:conditionalFormatting>
  <x:conditionalFormatting sqref="D8:D9">
    <x:cfRule type="expression" dxfId="2" priority="3">
      <x:formula>D8="FAIL"</x:formula>
    </x:cfRule>
    <x:cfRule type="expression" dxfId="3" priority="4">
      <x:formula>D8="PASS"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75.12999725341797" hidden="0" customWidth="1"/>
    <x:col min="2" max="2" width="25.5" hidden="0" customWidth="1"/>
    <x:col min="3" max="3" width="6" hidden="0" customWidth="1"/>
    <x:col min="4" max="4" width="8.130000114440918" hidden="0" customWidth="1"/>
  </x:cols>
  <x:sheetData>
    <x:row r="1" ht="28" customHeight="1">
      <x:c r="A1" s="11" t="str">
        <x:v>Executive Financial Performance — Assumptions &amp; Scenario Drivers</x:v>
      </x:c>
      <x:c r="B1" s="11"/>
      <x:c r="C1" s="11"/>
      <x:c r="D1" s="11"/>
      <x:c r="E1" s="11"/>
      <x:c r="F1" s="11"/>
      <x:c r="G1" s="11"/>
      <x:c r="H1" s="11"/>
    </x:row>
    <x:row r="3">
      <x:c r="A3" s="3" t="str">
        <x:v>Assumption</x:v>
      </x:c>
      <x:c r="B3" s="3" t="str">
        <x:v>Base</x:v>
      </x:c>
      <x:c r="C3" s="3" t="str">
        <x:v>Upside</x:v>
      </x:c>
      <x:c r="D3" s="3" t="str">
        <x:v>Downside</x:v>
      </x:c>
    </x:row>
    <x:row r="4">
      <x:c r="A4" t="str">
        <x:v>Revenue Growth</x:v>
      </x:c>
      <x:c r="B4" s="16" t="n">
        <x:v>0.065</x:v>
      </x:c>
      <x:c r="C4" s="16" t="n">
        <x:v>0.095</x:v>
      </x:c>
      <x:c r="D4" s="16" t="n">
        <x:v>0.025</x:v>
      </x:c>
    </x:row>
    <x:row r="5">
      <x:c r="A5" t="str">
        <x:v>Gross Margin</x:v>
      </x:c>
      <x:c r="B5" s="16" t="n">
        <x:v>0.535</x:v>
      </x:c>
      <x:c r="C5" s="16" t="n">
        <x:v>0.555</x:v>
      </x:c>
      <x:c r="D5" s="16" t="n">
        <x:v>0.505</x:v>
      </x:c>
    </x:row>
    <x:row r="6">
      <x:c r="A6" t="str">
        <x:v>Opex % Revenue</x:v>
      </x:c>
      <x:c r="B6" s="16" t="n">
        <x:v>0.295</x:v>
      </x:c>
      <x:c r="C6" s="16" t="n">
        <x:v>0.285</x:v>
      </x:c>
      <x:c r="D6" s="16" t="n">
        <x:v>0.315</x:v>
      </x:c>
    </x:row>
    <x:row r="7">
      <x:c r="A7" t="str">
        <x:v>Tax Rate</x:v>
      </x:c>
      <x:c r="B7" s="16" t="n">
        <x:v>0.24</x:v>
      </x:c>
      <x:c r="C7" s="16" t="n">
        <x:v>0.24</x:v>
      </x:c>
      <x:c r="D7" s="16" t="n">
        <x:v>0.24</x:v>
      </x:c>
    </x:row>
    <x:row r="8">
      <x:c r="A8" t="str">
        <x:v>Cash Conversion</x:v>
      </x:c>
      <x:c r="B8" s="16" t="n">
        <x:v>0.82</x:v>
      </x:c>
      <x:c r="C8" s="16" t="n">
        <x:v>0.88</x:v>
      </x:c>
      <x:c r="D8" s="16" t="n">
        <x:v>0.72</x:v>
      </x:c>
    </x:row>
    <x:row r="9">
      <x:c r="A9" t="str">
        <x:v>Scenario Weight</x:v>
      </x:c>
      <x:c r="B9" s="16" t="n">
        <x:v>1</x:v>
      </x:c>
      <x:c r="C9" s="16" t="n">
        <x:v>1</x:v>
      </x:c>
      <x:c r="D9" s="16" t="n">
        <x:v>1</x:v>
      </x:c>
    </x:row>
    <x:row r="11">
      <x:c r="A11" s="3" t="str">
        <x:v>Model Governance</x:v>
      </x:c>
      <x:c r="B11" s="3" t="str"/>
    </x:row>
    <x:row r="12">
      <x:c r="A12" t="str">
        <x:v>Blue font</x:v>
      </x:c>
      <x:c r="B12" t="str">
        <x:v>Hardcoded scenario inputs</x:v>
      </x:c>
    </x:row>
    <x:row r="13">
      <x:c r="A13" t="str">
        <x:v>Black font</x:v>
      </x:c>
      <x:c r="B13" t="str">
        <x:v>Formula / calculated cells</x:v>
      </x:c>
    </x:row>
    <x:row r="14">
      <x:c r="A14" t="str">
        <x:v>Green font</x:v>
      </x:c>
      <x:c r="B14" t="str">
        <x:v>Cross-sheet linked cells</x:v>
      </x:c>
    </x:row>
    <x:row r="15">
      <x:c r="A15" t="str">
        <x:v>Yellow fill</x:v>
      </x:c>
      <x:c r="B15" t="str">
        <x:v>Key assumptions requiring review</x:v>
      </x:c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2.75" hidden="0" customWidth="1"/>
    <x:col min="2" max="2" width="40" hidden="0" customWidth="1"/>
    <x:col min="3" max="3" width="40" hidden="0" customWidth="1"/>
    <x:col min="4" max="4" width="40" hidden="0" customWidth="1"/>
    <x:col min="5" max="5" width="7.630000114440918" hidden="0" customWidth="1"/>
    <x:col min="6" max="6" width="16.1299991607666" hidden="0" customWidth="1"/>
    <x:col min="7" max="7" width="34" hidden="0" customWidth="1"/>
  </x:cols>
  <x:sheetData>
    <x:row r="1" ht="28" customHeight="1">
      <x:c r="A1" s="11" t="str">
        <x:v>KPI Dictionary &amp; Reporting Definitions</x:v>
      </x:c>
      <x:c r="B1" s="11"/>
      <x:c r="C1" s="11"/>
      <x:c r="D1" s="11"/>
      <x:c r="E1" s="11"/>
      <x:c r="F1" s="11"/>
      <x:c r="G1" s="11"/>
    </x:row>
    <x:row r="3">
      <x:c r="A3" s="3" t="str">
        <x:v>KPI</x:v>
      </x:c>
      <x:c r="B3" s="3" t="str">
        <x:v>Definition</x:v>
      </x:c>
      <x:c r="C3" s="3" t="str">
        <x:v>Formula</x:v>
      </x:c>
      <x:c r="D3" s="3" t="str">
        <x:v>Decision Use</x:v>
      </x:c>
      <x:c r="E3" s="3" t="str">
        <x:v>Cadence</x:v>
      </x:c>
      <x:c r="F3" s="3" t="str">
        <x:v>Owner</x:v>
      </x:c>
      <x:c r="G3" s="3" t="str">
        <x:v>Target / Interpretation</x:v>
      </x:c>
    </x:row>
    <x:row r="4">
      <x:c r="A4" s="28" t="str">
        <x:v>Revenue</x:v>
      </x:c>
      <x:c r="B4" s="28" t="str">
        <x:v>Recognized top-line sales for the reporting period.</x:v>
      </x:c>
      <x:c r="C4" s="28" t="str">
        <x:v>SUM(Actual Revenue)</x:v>
      </x:c>
      <x:c r="D4" s="28" t="str">
        <x:v>Growth, demand, market traction</x:v>
      </x:c>
      <x:c r="E4" s="28" t="str">
        <x:v>Monthly</x:v>
      </x:c>
      <x:c r="F4" s="28" t="str">
        <x:v>FP&amp;A / Sales Finance</x:v>
      </x:c>
      <x:c r="G4" s="28" t="str">
        <x:v>Positive growth vs plan and prior year</x:v>
      </x:c>
    </x:row>
    <x:row r="5">
      <x:c r="A5" s="28" t="str">
        <x:v>Gross Profit</x:v>
      </x:c>
      <x:c r="B5" s="28" t="str">
        <x:v>Revenue less cost of goods/services sold.</x:v>
      </x:c>
      <x:c r="C5" s="28" t="str">
        <x:v>Revenue - COGS</x:v>
      </x:c>
      <x:c r="D5" s="28" t="str">
        <x:v>Unit economics and mix quality</x:v>
      </x:c>
      <x:c r="E5" s="28" t="str">
        <x:v>Monthly</x:v>
      </x:c>
      <x:c r="F5" s="28" t="str">
        <x:v>FP&amp;A / Operations</x:v>
      </x:c>
      <x:c r="G5" s="28" t="str">
        <x:v>Expand dollars and margin sustainably</x:v>
      </x:c>
    </x:row>
    <x:row r="6">
      <x:c r="A6" s="28" t="str">
        <x:v>Gross Margin</x:v>
      </x:c>
      <x:c r="B6" s="28" t="str">
        <x:v>Gross profit divided by revenue.</x:v>
      </x:c>
      <x:c r="C6" s="28" t="str">
        <x:v>Gross Profit / Revenue</x:v>
      </x:c>
      <x:c r="D6" s="28" t="str">
        <x:v>Pricing, mix and direct cost control</x:v>
      </x:c>
      <x:c r="E6" s="28" t="str">
        <x:v>Monthly</x:v>
      </x:c>
      <x:c r="F6" s="28" t="str">
        <x:v>FP&amp;A / Operations</x:v>
      </x:c>
      <x:c r="G6" s="28" t="str">
        <x:v>Stable or expanding vs plan</x:v>
      </x:c>
    </x:row>
    <x:row r="7">
      <x:c r="A7" s="28" t="str">
        <x:v>EBITDA</x:v>
      </x:c>
      <x:c r="B7" s="28" t="str">
        <x:v>Operating profit before D&amp;A, interest and taxes in this simplified management model.</x:v>
      </x:c>
      <x:c r="C7" s="28" t="str">
        <x:v>Gross Profit - Opex</x:v>
      </x:c>
      <x:c r="D7" s="28" t="str">
        <x:v>Core operating profitability</x:v>
      </x:c>
      <x:c r="E7" s="28" t="str">
        <x:v>Monthly</x:v>
      </x:c>
      <x:c r="F7" s="28" t="str">
        <x:v>FP&amp;A</x:v>
      </x:c>
      <x:c r="G7" s="28" t="str">
        <x:v>Positive variance and margin improvement</x:v>
      </x:c>
    </x:row>
    <x:row r="8">
      <x:c r="A8" s="28" t="str">
        <x:v>EBITDA Margin</x:v>
      </x:c>
      <x:c r="B8" s="28" t="str">
        <x:v>EBITDA divided by revenue.</x:v>
      </x:c>
      <x:c r="C8" s="28" t="str">
        <x:v>EBITDA / Revenue</x:v>
      </x:c>
      <x:c r="D8" s="28" t="str">
        <x:v>Operating leverage</x:v>
      </x:c>
      <x:c r="E8" s="28" t="str">
        <x:v>Monthly</x:v>
      </x:c>
      <x:c r="F8" s="28" t="str">
        <x:v>FP&amp;A</x:v>
      </x:c>
      <x:c r="G8" s="28" t="str">
        <x:v>Improving with scale</x:v>
      </x:c>
    </x:row>
    <x:row r="9">
      <x:c r="A9" s="28" t="str">
        <x:v>Revenue Variance</x:v>
      </x:c>
      <x:c r="B9" s="28" t="str">
        <x:v>Actual revenue less budget revenue.</x:v>
      </x:c>
      <x:c r="C9" s="28" t="str">
        <x:v>Actual - Budget</x:v>
      </x:c>
      <x:c r="D9" s="28" t="str">
        <x:v>Plan performance and accountability</x:v>
      </x:c>
      <x:c r="E9" s="28" t="str">
        <x:v>Monthly</x:v>
      </x:c>
      <x:c r="F9" s="28" t="str">
        <x:v>FP&amp;A / BU</x:v>
      </x:c>
      <x:c r="G9" s="28" t="str">
        <x:v>Favorable when positive</x:v>
      </x:c>
    </x:row>
    <x:row r="10">
      <x:c r="A10" s="28" t="str">
        <x:v>ROA</x:v>
      </x:c>
      <x:c r="B10" s="28" t="str">
        <x:v>EBITDA divided by assets in this management model.</x:v>
      </x:c>
      <x:c r="C10" s="28" t="str">
        <x:v>EBITDA / Assets</x:v>
      </x:c>
      <x:c r="D10" s="28" t="str">
        <x:v>Asset efficiency / capital intensity</x:v>
      </x:c>
      <x:c r="E10" s="28" t="str">
        <x:v>Quarterly</x:v>
      </x:c>
      <x:c r="F10" s="28" t="str">
        <x:v>Finance</x:v>
      </x:c>
      <x:c r="G10" s="28" t="str">
        <x:v>Higher indicates stronger asset productivity</x:v>
      </x:c>
    </x:row>
    <x:row r="11">
      <x:c r="A11" s="28" t="str">
        <x:v>Operating Cash Flow</x:v>
      </x:c>
      <x:c r="B11" s="28" t="str">
        <x:v>Cash generated by operations after working-capital effects (synthetic model input).</x:v>
      </x:c>
      <x:c r="C11" s="28" t="str">
        <x:v>Source data</x:v>
      </x:c>
      <x:c r="D11" s="28" t="str">
        <x:v>Liquidity and earnings quality</x:v>
      </x:c>
      <x:c r="E11" s="28" t="str">
        <x:v>Monthly</x:v>
      </x:c>
      <x:c r="F11" s="28" t="str">
        <x:v>Treasury / FP&amp;A</x:v>
      </x:c>
      <x:c r="G11" s="28" t="str">
        <x:v>Strong conversion vs EBITDA</x:v>
      </x:c>
    </x:row>
    <x:row r="12">
      <x:c r="A12" s="28" t="str">
        <x:v>Forecast Accuracy</x:v>
      </x:c>
      <x:c r="B12" s="28" t="str">
        <x:v>Absolute actual-to-forecast variance.</x:v>
      </x:c>
      <x:c r="C12" s="28" t="str">
        <x:v>ABS(Actual-Forecast)/Forecast</x:v>
      </x:c>
      <x:c r="D12" s="28" t="str">
        <x:v>Planning reliability</x:v>
      </x:c>
      <x:c r="E12" s="28" t="str">
        <x:v>Monthly</x:v>
      </x:c>
      <x:c r="F12" s="28" t="str">
        <x:v>FP&amp;A</x:v>
      </x:c>
      <x:c r="G12" s="28" t="str">
        <x:v>Lower is better; trend bias separately</x:v>
      </x:c>
    </x:row>
  </x:sheetData>
  <x:mergeCells>
    <x:mergeCell ref="A1:G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4.25" hidden="0" customWidth="1"/>
    <x:col min="3" max="3" width="6.5" hidden="0" customWidth="1"/>
    <x:col min="4" max="4" width="11.25" hidden="0" customWidth="1"/>
    <x:col min="5" max="5" width="5.880000114440918" hidden="0" customWidth="1"/>
    <x:col min="6" max="6" width="12.880000114440918" hidden="0" customWidth="1"/>
    <x:col min="7" max="7" width="13.5" hidden="0" customWidth="1"/>
    <x:col min="8" max="8" width="14.380000114440918" hidden="0" customWidth="1"/>
    <x:col min="9" max="9" width="10.5" hidden="0" customWidth="1"/>
    <x:col min="10" max="10" width="11.130000114440918" hidden="0" customWidth="1"/>
    <x:col min="11" max="11" width="12.130000114440918" hidden="0" customWidth="1"/>
    <x:col min="12" max="12" width="10.25" hidden="0" customWidth="1"/>
    <x:col min="13" max="13" width="10.880000114440918" hidden="0" customWidth="1"/>
    <x:col min="14" max="14" width="11.75" hidden="0" customWidth="1"/>
    <x:col min="15" max="15" width="8.880000114440918" hidden="0" customWidth="1"/>
    <x:col min="16" max="16" width="17.1299991607666" hidden="0" customWidth="1"/>
    <x:col min="17" max="17" width="8.880000114440918" hidden="0" customWidth="1"/>
    <x:col min="18" max="18" width="15.75" hidden="0" customWidth="1"/>
    <x:col min="19" max="19" width="16.25" hidden="0" customWidth="1"/>
    <x:col min="20" max="20" width="11.880000114440918" hidden="0" customWidth="1"/>
    <x:col min="21" max="21" width="12.380000114440918" hidden="0" customWidth="1"/>
    <x:col min="22" max="22" width="12.380000114440918" hidden="0" customWidth="1"/>
    <x:col min="23" max="23" width="12.880000114440918" hidden="0" customWidth="1"/>
    <x:col min="24" max="24" width="12.5" hidden="0" customWidth="1"/>
    <x:col min="25" max="25" width="5.130000114440918" hidden="0" customWidth="1"/>
  </x:cols>
  <x:sheetData>
    <x:row r="1">
      <x:c r="A1" s="3" t="str">
        <x:v>Month</x:v>
      </x:c>
      <x:c r="B1" s="3" t="str">
        <x:v>Year</x:v>
      </x:c>
      <x:c r="C1" s="3" t="str">
        <x:v>Quarter</x:v>
      </x:c>
      <x:c r="D1" s="3" t="str">
        <x:v>Business_Unit</x:v>
      </x:c>
      <x:c r="E1" s="3" t="str">
        <x:v>Region</x:v>
      </x:c>
      <x:c r="F1" s="3" t="str">
        <x:v>Actual_Revenue</x:v>
      </x:c>
      <x:c r="G1" s="3" t="str">
        <x:v>Budget_Revenue</x:v>
      </x:c>
      <x:c r="H1" s="3" t="str">
        <x:v>Forecast_Revenue</x:v>
      </x:c>
      <x:c r="I1" s="3" t="str">
        <x:v>Actual_COGS</x:v>
      </x:c>
      <x:c r="J1" s="3" t="str">
        <x:v>Budget_COGS</x:v>
      </x:c>
      <x:c r="K1" s="3" t="str">
        <x:v>Forecast_COGS</x:v>
      </x:c>
      <x:c r="L1" s="3" t="str">
        <x:v>Actual_Opex</x:v>
      </x:c>
      <x:c r="M1" s="3" t="str">
        <x:v>Budget_Opex</x:v>
      </x:c>
      <x:c r="N1" s="3" t="str">
        <x:v>Forecast_Opex</x:v>
      </x:c>
      <x:c r="O1" s="3" t="str">
        <x:v>Assets</x:v>
      </x:c>
      <x:c r="P1" s="3" t="str">
        <x:v>Operating_Cash_Flow</x:v>
      </x:c>
      <x:c r="Q1" s="3" t="str">
        <x:v>Headcount</x:v>
      </x:c>
      <x:c r="R1" s="3" t="str">
        <x:v>Actual_Gross_Profit</x:v>
      </x:c>
      <x:c r="S1" s="3" t="str">
        <x:v>Budget_Gross_Profit</x:v>
      </x:c>
      <x:c r="T1" s="3" t="str">
        <x:v>Actual_EBITDA</x:v>
      </x:c>
      <x:c r="U1" s="3" t="str">
        <x:v>Budget_EBITDA</x:v>
      </x:c>
      <x:c r="V1" s="3" t="str">
        <x:v>Revenue_Var_$</x:v>
      </x:c>
      <x:c r="W1" s="3" t="str">
        <x:v>Revenue_Var_%</x:v>
      </x:c>
      <x:c r="X1" s="3" t="str">
        <x:v>EBITDA_Margin</x:v>
      </x:c>
      <x:c r="Y1" s="3" t="str">
        <x:v>ROA</x:v>
      </x:c>
    </x:row>
    <x:row r="2">
      <x:c r="A2" t="str">
        <x:v>2024-01-01</x:v>
      </x:c>
      <x:c r="B2" t="n">
        <x:v>2024</x:v>
      </x:c>
      <x:c r="C2" t="str">
        <x:v>Q1</x:v>
      </x:c>
      <x:c r="D2" t="str">
        <x:v>Enterprise</x:v>
      </x:c>
      <x:c r="E2" t="str">
        <x:v>East</x:v>
      </x:c>
      <x:c r="F2" s="6" t="n">
        <x:v>1514372.13</x:v>
      </x:c>
      <x:c r="G2" s="6" t="n">
        <x:v>1581587.92</x:v>
      </x:c>
      <x:c r="H2" s="6" t="n">
        <x:v>1577438.33</x:v>
      </x:c>
      <x:c r="I2" s="6" t="n">
        <x:v>717514.78</x:v>
      </x:c>
      <x:c r="J2" s="6" t="n">
        <x:v>759162.2</x:v>
      </x:c>
      <x:c r="K2" s="6" t="n">
        <x:v>760325.28</x:v>
      </x:c>
      <x:c r="L2" s="6" t="n">
        <x:v>424166.75</x:v>
      </x:c>
      <x:c r="M2" s="6" t="n">
        <x:v>427028.74</x:v>
      </x:c>
      <x:c r="N2" s="6" t="n">
        <x:v>432218.1</x:v>
      </x:c>
      <x:c r="O2" s="6" t="n">
        <x:v>3180181.47</x:v>
      </x:c>
      <x:c r="P2" s="6" t="n">
        <x:v>318777.13</x:v>
      </x:c>
      <x:c r="Q2" s="6" t="n">
        <x:v>108</x:v>
      </x:c>
      <x:c r="R2" s="6" t="n">
        <x:f>F2-I2</x:f>
        <x:v>796857.3499999999</x:v>
      </x:c>
      <x:c r="S2" s="6" t="n">
        <x:f>G2-J2</x:f>
        <x:v>822425.72</x:v>
      </x:c>
      <x:c r="T2" s="6" t="n">
        <x:f>R2-L2</x:f>
        <x:v>372690.59999999986</x:v>
      </x:c>
      <x:c r="U2" s="6" t="n">
        <x:f>S2-M2</x:f>
        <x:v>395396.98</x:v>
      </x:c>
      <x:c r="V2" s="6" t="n">
        <x:f>F2-G2</x:f>
        <x:v>-67215.79000000004</x:v>
      </x:c>
      <x:c r="W2" s="8" t="n">
        <x:f>IFERROR(V2/G2,0)</x:f>
        <x:v>-0.04249892728062822</x:v>
      </x:c>
      <x:c r="X2" s="8" t="n">
        <x:f>IFERROR(T2/F2,0)</x:f>
        <x:v>0.24610238964183784</x:v>
      </x:c>
      <x:c r="Y2" s="8" t="n">
        <x:f>IFERROR(T2/O2,0)</x:f>
        <x:v>0.11719161422571267</x:v>
      </x:c>
    </x:row>
    <x:row r="3">
      <x:c r="A3" t="str">
        <x:v>2024-01-01</x:v>
      </x:c>
      <x:c r="B3" t="n">
        <x:v>2024</x:v>
      </x:c>
      <x:c r="C3" t="str">
        <x:v>Q1</x:v>
      </x:c>
      <x:c r="D3" t="str">
        <x:v>Enterprise</x:v>
      </x:c>
      <x:c r="E3" t="str">
        <x:v>Central</x:v>
      </x:c>
      <x:c r="F3" s="6" t="n">
        <x:v>1374795.28</x:v>
      </x:c>
      <x:c r="G3" s="6" t="n">
        <x:v>1426589.2</x:v>
      </x:c>
      <x:c r="H3" s="6" t="n">
        <x:v>1432276.27</x:v>
      </x:c>
      <x:c r="I3" s="6" t="n">
        <x:v>644469.28</x:v>
      </x:c>
      <x:c r="J3" s="6" t="n">
        <x:v>684762.81</x:v>
      </x:c>
      <x:c r="K3" s="6" t="n">
        <x:v>690357.16</x:v>
      </x:c>
      <x:c r="L3" s="6" t="n">
        <x:v>363714.66</x:v>
      </x:c>
      <x:c r="M3" s="6" t="n">
        <x:v>385179.08</x:v>
      </x:c>
      <x:c r="N3" s="6" t="n">
        <x:v>392443.7</x:v>
      </x:c>
      <x:c r="O3" s="6" t="n">
        <x:v>2887070.09</x:v>
      </x:c>
      <x:c r="P3" s="6" t="n">
        <x:v>301013.96</x:v>
      </x:c>
      <x:c r="Q3" s="6" t="n">
        <x:v>97</x:v>
      </x:c>
      <x:c r="R3" s="6" t="n">
        <x:f>F3-I3</x:f>
        <x:v>730326</x:v>
      </x:c>
      <x:c r="S3" s="6" t="n">
        <x:f>G3-J3</x:f>
        <x:v>741826.3899999999</x:v>
      </x:c>
      <x:c r="T3" s="6" t="n">
        <x:f>R3-L3</x:f>
        <x:v>366611.34</x:v>
      </x:c>
      <x:c r="U3" s="6" t="n">
        <x:f>S3-M3</x:f>
        <x:v>356647.3099999999</x:v>
      </x:c>
      <x:c r="V3" s="6" t="n">
        <x:f>F3-G3</x:f>
        <x:v>-51793.919999999925</x:v>
      </x:c>
      <x:c r="W3" s="8" t="n">
        <x:f>IFERROR(V3/G3,0)</x:f>
        <x:v>-0.036306120921145296</x:v>
      </x:c>
      <x:c r="X3" s="8" t="n">
        <x:f>IFERROR(T3/F3,0)</x:f>
        <x:v>0.2666661322840736</x:v>
      </x:c>
      <x:c r="Y3" s="8" t="n">
        <x:f>IFERROR(T3/O3,0)</x:f>
        <x:v>0.12698387242825823</x:v>
      </x:c>
    </x:row>
    <x:row r="4">
      <x:c r="A4" t="str">
        <x:v>2024-01-01</x:v>
      </x:c>
      <x:c r="B4" t="n">
        <x:v>2024</x:v>
      </x:c>
      <x:c r="C4" t="str">
        <x:v>Q1</x:v>
      </x:c>
      <x:c r="D4" t="str">
        <x:v>Enterprise</x:v>
      </x:c>
      <x:c r="E4" t="str">
        <x:v>West</x:v>
      </x:c>
      <x:c r="F4" s="6" t="n">
        <x:v>1455970.44</x:v>
      </x:c>
      <x:c r="G4" s="6" t="n">
        <x:v>1493481.06</x:v>
      </x:c>
      <x:c r="H4" s="6" t="n">
        <x:v>1514755.4</x:v>
      </x:c>
      <x:c r="I4" s="6" t="n">
        <x:v>702023.05</x:v>
      </x:c>
      <x:c r="J4" s="6" t="n">
        <x:v>716870.91</x:v>
      </x:c>
      <x:c r="K4" s="6" t="n">
        <x:v>730112.1</x:v>
      </x:c>
      <x:c r="L4" s="6" t="n">
        <x:v>385269.02</x:v>
      </x:c>
      <x:c r="M4" s="6" t="n">
        <x:v>403239.89</x:v>
      </x:c>
      <x:c r="N4" s="6" t="n">
        <x:v>415042.98</x:v>
      </x:c>
      <x:c r="O4" s="6" t="n">
        <x:v>3057537.92</x:v>
      </x:c>
      <x:c r="P4" s="6" t="n">
        <x:v>308898.32</x:v>
      </x:c>
      <x:c r="Q4" s="6" t="n">
        <x:v>104</x:v>
      </x:c>
      <x:c r="R4" s="6" t="n">
        <x:f>F4-I4</x:f>
        <x:v>753947.3899999999</x:v>
      </x:c>
      <x:c r="S4" s="6" t="n">
        <x:f>G4-J4</x:f>
        <x:v>776610.15</x:v>
      </x:c>
      <x:c r="T4" s="6" t="n">
        <x:f>R4-L4</x:f>
        <x:v>368678.3699999999</x:v>
      </x:c>
      <x:c r="U4" s="6" t="n">
        <x:f>S4-M4</x:f>
        <x:v>373370.26</x:v>
      </x:c>
      <x:c r="V4" s="6" t="n">
        <x:f>F4-G4</x:f>
        <x:v>-37510.62000000011</x:v>
      </x:c>
      <x:c r="W4" s="8" t="n">
        <x:f>IFERROR(V4/G4,0)</x:f>
        <x:v>-0.025116234148962097</x:v>
      </x:c>
      <x:c r="X4" s="8" t="n">
        <x:f>IFERROR(T4/F4,0)</x:f>
        <x:v>0.253218307096949</x:v>
      </x:c>
      <x:c r="Y4" s="8" t="n">
        <x:f>IFERROR(T4/O4,0)</x:f>
        <x:v>0.1205801463943904</x:v>
      </x:c>
    </x:row>
    <x:row r="5">
      <x:c r="A5" t="str">
        <x:v>2024-01-01</x:v>
      </x:c>
      <x:c r="B5" t="n">
        <x:v>2024</x:v>
      </x:c>
      <x:c r="C5" t="str">
        <x:v>Q1</x:v>
      </x:c>
      <x:c r="D5" t="str">
        <x:v>SMB</x:v>
      </x:c>
      <x:c r="E5" t="str">
        <x:v>East</x:v>
      </x:c>
      <x:c r="F5" s="6" t="n">
        <x:v>877714.19</x:v>
      </x:c>
      <x:c r="G5" s="6" t="n">
        <x:v>918447.45</x:v>
      </x:c>
      <x:c r="H5" s="6" t="n">
        <x:v>937975.36</x:v>
      </x:c>
      <x:c r="I5" s="6" t="n">
        <x:v>479365.03</x:v>
      </x:c>
      <x:c r="J5" s="6" t="n">
        <x:v>495961.62</x:v>
      </x:c>
      <x:c r="K5" s="6" t="n">
        <x:v>508382.64</x:v>
      </x:c>
      <x:c r="L5" s="6" t="n">
        <x:v>252963.83</x:v>
      </x:c>
      <x:c r="M5" s="6" t="n">
        <x:v>266349.76</x:v>
      </x:c>
      <x:c r="N5" s="6" t="n">
        <x:v>275764.76</x:v>
      </x:c>
      <x:c r="O5" s="6" t="n">
        <x:v>1492114.13</x:v>
      </x:c>
      <x:c r="P5" s="6" t="n">
        <x:v>109198.33</x:v>
      </x:c>
      <x:c r="Q5" s="6" t="n">
        <x:v>77</x:v>
      </x:c>
      <x:c r="R5" s="6" t="n">
        <x:f>F5-I5</x:f>
        <x:v>398349.1599999999</x:v>
      </x:c>
      <x:c r="S5" s="6" t="n">
        <x:f>G5-J5</x:f>
        <x:v>422485.82999999996</x:v>
      </x:c>
      <x:c r="T5" s="6" t="n">
        <x:f>R5-L5</x:f>
        <x:v>145385.32999999993</x:v>
      </x:c>
      <x:c r="U5" s="6" t="n">
        <x:f>S5-M5</x:f>
        <x:v>156136.06999999995</x:v>
      </x:c>
      <x:c r="V5" s="6" t="n">
        <x:f>F5-G5</x:f>
        <x:v>-40733.26000000001</x:v>
      </x:c>
      <x:c r="W5" s="8" t="n">
        <x:f>IFERROR(V5/G5,0)</x:f>
        <x:v>-0.044350125856411286</x:v>
      </x:c>
      <x:c r="X5" s="8" t="n">
        <x:f>IFERROR(T5/F5,0)</x:f>
        <x:v>0.16564085627919486</x:v>
      </x:c>
      <x:c r="Y5" s="8" t="n">
        <x:f>IFERROR(T5/O5,0)</x:f>
        <x:v>0.0974357973541876</x:v>
      </x:c>
    </x:row>
    <x:row r="6">
      <x:c r="A6" t="str">
        <x:v>2024-01-01</x:v>
      </x:c>
      <x:c r="B6" t="n">
        <x:v>2024</x:v>
      </x:c>
      <x:c r="C6" t="str">
        <x:v>Q1</x:v>
      </x:c>
      <x:c r="D6" t="str">
        <x:v>SMB</x:v>
      </x:c>
      <x:c r="E6" t="str">
        <x:v>Central</x:v>
      </x:c>
      <x:c r="F6" s="6" t="n">
        <x:v>816475.47</x:v>
      </x:c>
      <x:c r="G6" s="6" t="n">
        <x:v>825840.95</x:v>
      </x:c>
      <x:c r="H6" s="6" t="n">
        <x:v>816900.04</x:v>
      </x:c>
      <x:c r="I6" s="6" t="n">
        <x:v>433152.18</x:v>
      </x:c>
      <x:c r="J6" s="6" t="n">
        <x:v>445954.12</x:v>
      </x:c>
      <x:c r="K6" s="6" t="n">
        <x:v>442759.82</x:v>
      </x:c>
      <x:c r="L6" s="6" t="n">
        <x:v>247738.93</x:v>
      </x:c>
      <x:c r="M6" s="6" t="n">
        <x:v>239493.88</x:v>
      </x:c>
      <x:c r="N6" s="6" t="n">
        <x:v>240168.61</x:v>
      </x:c>
      <x:c r="O6" s="6" t="n">
        <x:v>1388008.29</x:v>
      </x:c>
      <x:c r="P6" s="6" t="n">
        <x:v>113991.9</x:v>
      </x:c>
      <x:c r="Q6" s="6" t="n">
        <x:v>68</x:v>
      </x:c>
      <x:c r="R6" s="6" t="n">
        <x:f>F6-I6</x:f>
        <x:v>383323.29</x:v>
      </x:c>
      <x:c r="S6" s="6" t="n">
        <x:f>G6-J6</x:f>
        <x:v>379886.82999999996</x:v>
      </x:c>
      <x:c r="T6" s="6" t="n">
        <x:f>R6-L6</x:f>
        <x:v>135584.36</x:v>
      </x:c>
      <x:c r="U6" s="6" t="n">
        <x:f>S6-M6</x:f>
        <x:v>140392.94999999995</x:v>
      </x:c>
      <x:c r="V6" s="6" t="n">
        <x:f>F6-G6</x:f>
        <x:v>-9365.479999999981</x:v>
      </x:c>
      <x:c r="W6" s="8" t="n">
        <x:f>IFERROR(V6/G6,0)</x:f>
        <x:v>-0.011340537182129297</x:v>
      </x:c>
      <x:c r="X6" s="8" t="n">
        <x:f>IFERROR(T6/F6,0)</x:f>
        <x:v>0.16606054312936064</x:v>
      </x:c>
      <x:c r="Y6" s="8" t="n">
        <x:f>IFERROR(T6/O6,0)</x:f>
        <x:v>0.09768267306242095</x:v>
      </x:c>
    </x:row>
    <x:row r="7">
      <x:c r="A7" t="str">
        <x:v>2024-01-01</x:v>
      </x:c>
      <x:c r="B7" t="n">
        <x:v>2024</x:v>
      </x:c>
      <x:c r="C7" t="str">
        <x:v>Q1</x:v>
      </x:c>
      <x:c r="D7" t="str">
        <x:v>SMB</x:v>
      </x:c>
      <x:c r="E7" t="str">
        <x:v>West</x:v>
      </x:c>
      <x:c r="F7" s="6" t="n">
        <x:v>908109.99</x:v>
      </x:c>
      <x:c r="G7" s="6" t="n">
        <x:v>883398.52</x:v>
      </x:c>
      <x:c r="H7" s="6" t="n">
        <x:v>891464.18</x:v>
      </x:c>
      <x:c r="I7" s="6" t="n">
        <x:v>502458.17</x:v>
      </x:c>
      <x:c r="J7" s="6" t="n">
        <x:v>477035.2</x:v>
      </x:c>
      <x:c r="K7" s="6" t="n">
        <x:v>483173.59</x:v>
      </x:c>
      <x:c r="L7" s="6" t="n">
        <x:v>262767.1</x:v>
      </x:c>
      <x:c r="M7" s="6" t="n">
        <x:v>256185.57</x:v>
      </x:c>
      <x:c r="N7" s="6" t="n">
        <x:v>262090.47</x:v>
      </x:c>
      <x:c r="O7" s="6" t="n">
        <x:v>1543786.98</x:v>
      </x:c>
      <x:c r="P7" s="6" t="n">
        <x:v>118652.63</x:v>
      </x:c>
      <x:c r="Q7" s="6" t="n">
        <x:v>74</x:v>
      </x:c>
      <x:c r="R7" s="6" t="n">
        <x:f>F7-I7</x:f>
        <x:v>405651.82</x:v>
      </x:c>
      <x:c r="S7" s="6" t="n">
        <x:f>G7-J7</x:f>
        <x:v>406363.32</x:v>
      </x:c>
      <x:c r="T7" s="6" t="n">
        <x:f>R7-L7</x:f>
        <x:v>142884.72000000003</x:v>
      </x:c>
      <x:c r="U7" s="6" t="n">
        <x:f>S7-M7</x:f>
        <x:v>150177.75</x:v>
      </x:c>
      <x:c r="V7" s="6" t="n">
        <x:f>F7-G7</x:f>
        <x:v>24711.469999999972</x:v>
      </x:c>
      <x:c r="W7" s="8" t="n">
        <x:f>IFERROR(V7/G7,0)</x:f>
        <x:v>0.027973184741129035</x:v>
      </x:c>
      <x:c r="X7" s="8" t="n">
        <x:f>IFERROR(T7/F7,0)</x:f>
        <x:v>0.15734296679194118</x:v>
      </x:c>
      <x:c r="Y7" s="8" t="n">
        <x:f>IFERROR(T7/O7,0)</x:f>
        <x:v>0.09255468652805975</x:v>
      </x:c>
    </x:row>
    <x:row r="8">
      <x:c r="A8" t="str">
        <x:v>2024-01-01</x:v>
      </x:c>
      <x:c r="B8" t="n">
        <x:v>2024</x:v>
      </x:c>
      <x:c r="C8" t="str">
        <x:v>Q1</x:v>
      </x:c>
      <x:c r="D8" t="str">
        <x:v>Digital</x:v>
      </x:c>
      <x:c r="E8" t="str">
        <x:v>East</x:v>
      </x:c>
      <x:c r="F8" s="6" t="n">
        <x:v>682888.93</x:v>
      </x:c>
      <x:c r="G8" s="6" t="n">
        <x:v>671571.62</x:v>
      </x:c>
      <x:c r="H8" s="6" t="n">
        <x:v>687539.45</x:v>
      </x:c>
      <x:c r="I8" s="6" t="n">
        <x:v>247896.3</x:v>
      </x:c>
      <x:c r="J8" s="6" t="n">
        <x:v>241765.78</x:v>
      </x:c>
      <x:c r="K8" s="6" t="n">
        <x:v>248889.28</x:v>
      </x:c>
      <x:c r="L8" s="6" t="n">
        <x:v>238421.9</x:v>
      </x:c>
      <x:c r="M8" s="6" t="n">
        <x:v>228334.35</x:v>
      </x:c>
      <x:c r="N8" s="6" t="n">
        <x:v>236513.57</x:v>
      </x:c>
      <x:c r="O8" s="6" t="n">
        <x:v>956044.5</x:v>
      </x:c>
      <x:c r="P8" s="6" t="n">
        <x:v>143332.47</x:v>
      </x:c>
      <x:c r="Q8" s="6" t="n">
        <x:v>56</x:v>
      </x:c>
      <x:c r="R8" s="6" t="n">
        <x:f>F8-I8</x:f>
        <x:v>434992.63000000006</x:v>
      </x:c>
      <x:c r="S8" s="6" t="n">
        <x:f>G8-J8</x:f>
        <x:v>429805.83999999997</x:v>
      </x:c>
      <x:c r="T8" s="6" t="n">
        <x:f>R8-L8</x:f>
        <x:v>196570.73000000007</x:v>
      </x:c>
      <x:c r="U8" s="6" t="n">
        <x:f>S8-M8</x:f>
        <x:v>201471.48999999996</x:v>
      </x:c>
      <x:c r="V8" s="6" t="n">
        <x:f>F8-G8</x:f>
        <x:v>11317.310000000056</x:v>
      </x:c>
      <x:c r="W8" s="8" t="n">
        <x:f>IFERROR(V8/G8,0)</x:f>
        <x:v>0.016851977753318485</x:v>
      </x:c>
      <x:c r="X8" s="8" t="n">
        <x:f>IFERROR(T8/F8,0)</x:f>
        <x:v>0.2878516862178452</x:v>
      </x:c>
      <x:c r="Y8" s="8" t="n">
        <x:f>IFERROR(T8/O8,0)</x:f>
        <x:v>0.20560834772858383</x:v>
      </x:c>
    </x:row>
    <x:row r="9">
      <x:c r="A9" t="str">
        <x:v>2024-01-01</x:v>
      </x:c>
      <x:c r="B9" t="n">
        <x:v>2024</x:v>
      </x:c>
      <x:c r="C9" t="str">
        <x:v>Q1</x:v>
      </x:c>
      <x:c r="D9" t="str">
        <x:v>Digital</x:v>
      </x:c>
      <x:c r="E9" t="str">
        <x:v>Central</x:v>
      </x:c>
      <x:c r="F9" s="6" t="n">
        <x:v>580989.88</x:v>
      </x:c>
      <x:c r="G9" s="6" t="n">
        <x:v>590473.6</x:v>
      </x:c>
      <x:c r="H9" s="6" t="n">
        <x:v>583736.67</x:v>
      </x:c>
      <x:c r="I9" s="6" t="n">
        <x:v>205700.96</x:v>
      </x:c>
      <x:c r="J9" s="6" t="n">
        <x:v>212570.49</x:v>
      </x:c>
      <x:c r="K9" s="6" t="n">
        <x:v>211312.67</x:v>
      </x:c>
      <x:c r="L9" s="6" t="n">
        <x:v>192325.1</x:v>
      </x:c>
      <x:c r="M9" s="6" t="n">
        <x:v>200761.02</x:v>
      </x:c>
      <x:c r="N9" s="6" t="n">
        <x:v>200805.41</x:v>
      </x:c>
      <x:c r="O9" s="6" t="n">
        <x:v>813385.83</x:v>
      </x:c>
      <x:c r="P9" s="6" t="n">
        <x:v>141905.77</x:v>
      </x:c>
      <x:c r="Q9" s="6" t="n">
        <x:v>50</x:v>
      </x:c>
      <x:c r="R9" s="6" t="n">
        <x:f>F9-I9</x:f>
        <x:v>375288.92000000004</x:v>
      </x:c>
      <x:c r="S9" s="6" t="n">
        <x:f>G9-J9</x:f>
        <x:v>377903.11</x:v>
      </x:c>
      <x:c r="T9" s="6" t="n">
        <x:f>R9-L9</x:f>
        <x:v>182963.82000000004</x:v>
      </x:c>
      <x:c r="U9" s="6" t="n">
        <x:f>S9-M9</x:f>
        <x:v>177142.09</x:v>
      </x:c>
      <x:c r="V9" s="6" t="n">
        <x:f>F9-G9</x:f>
        <x:v>-9483.719999999972</x:v>
      </x:c>
      <x:c r="W9" s="8" t="n">
        <x:f>IFERROR(V9/G9,0)</x:f>
        <x:v>-0.01606120917175632</x:v>
      </x:c>
      <x:c r="X9" s="8" t="n">
        <x:f>IFERROR(T9/F9,0)</x:f>
        <x:v>0.31491739580730743</x:v>
      </x:c>
      <x:c r="Y9" s="8" t="n">
        <x:f>IFERROR(T9/O9,0)</x:f>
        <x:v>0.22494099755831748</x:v>
      </x:c>
    </x:row>
    <x:row r="10">
      <x:c r="A10" t="str">
        <x:v>2024-01-01</x:v>
      </x:c>
      <x:c r="B10" t="n">
        <x:v>2024</x:v>
      </x:c>
      <x:c r="C10" t="str">
        <x:v>Q1</x:v>
      </x:c>
      <x:c r="D10" t="str">
        <x:v>Digital</x:v>
      </x:c>
      <x:c r="E10" t="str">
        <x:v>West</x:v>
      </x:c>
      <x:c r="F10" s="6" t="n">
        <x:v>636800.37</x:v>
      </x:c>
      <x:c r="G10" s="6" t="n">
        <x:v>642270.45</x:v>
      </x:c>
      <x:c r="H10" s="6" t="n">
        <x:v>643335.43</x:v>
      </x:c>
      <x:c r="I10" s="6" t="n">
        <x:v>225075.3</x:v>
      </x:c>
      <x:c r="J10" s="6" t="n">
        <x:v>231217.36</x:v>
      </x:c>
      <x:c r="K10" s="6" t="n">
        <x:v>232887.42</x:v>
      </x:c>
      <x:c r="L10" s="6" t="n">
        <x:v>213970.87</x:v>
      </x:c>
      <x:c r="M10" s="6" t="n">
        <x:v>218371.95</x:v>
      </x:c>
      <x:c r="N10" s="6" t="n">
        <x:v>221307.39</x:v>
      </x:c>
      <x:c r="O10" s="6" t="n">
        <x:v>891520.52</x:v>
      </x:c>
      <x:c r="P10" s="6" t="n">
        <x:v>179428.5</x:v>
      </x:c>
      <x:c r="Q10" s="6" t="n">
        <x:v>53</x:v>
      </x:c>
      <x:c r="R10" s="6" t="n">
        <x:f>F10-I10</x:f>
        <x:v>411725.07</x:v>
      </x:c>
      <x:c r="S10" s="6" t="n">
        <x:f>G10-J10</x:f>
        <x:v>411053.08999999997</x:v>
      </x:c>
      <x:c r="T10" s="6" t="n">
        <x:f>R10-L10</x:f>
        <x:v>197754.2</x:v>
      </x:c>
      <x:c r="U10" s="6" t="n">
        <x:f>S10-M10</x:f>
        <x:v>192681.13999999996</x:v>
      </x:c>
      <x:c r="V10" s="6" t="n">
        <x:f>F10-G10</x:f>
        <x:v>-5470.079999999958</x:v>
      </x:c>
      <x:c r="W10" s="8" t="n">
        <x:f>IFERROR(V10/G10,0)</x:f>
        <x:v>-0.008516786036162738</x:v>
      </x:c>
      <x:c r="X10" s="8" t="n">
        <x:f>IFERROR(T10/F10,0)</x:f>
        <x:v>0.3105434753437722</x:v>
      </x:c>
      <x:c r="Y10" s="8" t="n">
        <x:f>IFERROR(T10/O10,0)</x:f>
        <x:v>0.22181676760507993</x:v>
      </x:c>
    </x:row>
    <x:row r="11">
      <x:c r="A11" t="str">
        <x:v>2024-01-01</x:v>
      </x:c>
      <x:c r="B11" t="n">
        <x:v>2024</x:v>
      </x:c>
      <x:c r="C11" t="str">
        <x:v>Q1</x:v>
      </x:c>
      <x:c r="D11" t="str">
        <x:v>Services</x:v>
      </x:c>
      <x:c r="E11" t="str">
        <x:v>East</x:v>
      </x:c>
      <x:c r="F11" s="6" t="n">
        <x:v>500008.17</x:v>
      </x:c>
      <x:c r="G11" s="6" t="n">
        <x:v>492176.12</x:v>
      </x:c>
      <x:c r="H11" s="6" t="n">
        <x:v>488583.84</x:v>
      </x:c>
      <x:c r="I11" s="6" t="n">
        <x:v>213482.14</x:v>
      </x:c>
      <x:c r="J11" s="6" t="n">
        <x:v>206713.97</x:v>
      </x:c>
      <x:c r="K11" s="6" t="n">
        <x:v>206182.38</x:v>
      </x:c>
      <x:c r="L11" s="6" t="n">
        <x:v>151453.51</x:v>
      </x:c>
      <x:c r="M11" s="6" t="n">
        <x:v>152574.6</x:v>
      </x:c>
      <x:c r="N11" s="6" t="n">
        <x:v>153415.33</x:v>
      </x:c>
      <x:c r="O11" s="6" t="n">
        <x:v>800013.07</x:v>
      </x:c>
      <x:c r="P11" s="6" t="n">
        <x:v>107503.02</x:v>
      </x:c>
      <x:c r="Q11" s="6" t="n">
        <x:v>50</x:v>
      </x:c>
      <x:c r="R11" s="6" t="n">
        <x:f>F11-I11</x:f>
        <x:v>286526.02999999997</x:v>
      </x:c>
      <x:c r="S11" s="6" t="n">
        <x:f>G11-J11</x:f>
        <x:v>285462.15</x:v>
      </x:c>
      <x:c r="T11" s="6" t="n">
        <x:f>R11-L11</x:f>
        <x:v>135072.51999999996</x:v>
      </x:c>
      <x:c r="U11" s="6" t="n">
        <x:f>S11-M11</x:f>
        <x:v>132887.55000000002</x:v>
      </x:c>
      <x:c r="V11" s="6" t="n">
        <x:f>F11-G11</x:f>
        <x:v>7832.049999999988</x:v>
      </x:c>
      <x:c r="W11" s="8" t="n">
        <x:f>IFERROR(V11/G11,0)</x:f>
        <x:v>0.015913104439118232</x:v>
      </x:c>
      <x:c r="X11" s="8" t="n">
        <x:f>IFERROR(T11/F11,0)</x:f>
        <x:v>0.2701406259021727</x:v>
      </x:c>
      <x:c r="Y11" s="8" t="n">
        <x:f>IFERROR(T11/O11,0)</x:f>
        <x:v>0.16883789161094576</x:v>
      </x:c>
    </x:row>
    <x:row r="12">
      <x:c r="A12" t="str">
        <x:v>2024-01-01</x:v>
      </x:c>
      <x:c r="B12" t="n">
        <x:v>2024</x:v>
      </x:c>
      <x:c r="C12" t="str">
        <x:v>Q1</x:v>
      </x:c>
      <x:c r="D12" t="str">
        <x:v>Services</x:v>
      </x:c>
      <x:c r="E12" t="str">
        <x:v>Central</x:v>
      </x:c>
      <x:c r="F12" s="6" t="n">
        <x:v>453565.85</x:v>
      </x:c>
      <x:c r="G12" s="6" t="n">
        <x:v>445108.79</x:v>
      </x:c>
      <x:c r="H12" s="6" t="n">
        <x:v>449587.81</x:v>
      </x:c>
      <x:c r="I12" s="6" t="n">
        <x:v>193128.33</x:v>
      </x:c>
      <x:c r="J12" s="6" t="n">
        <x:v>186945.69</x:v>
      </x:c>
      <x:c r="K12" s="6" t="n">
        <x:v>189726.05</x:v>
      </x:c>
      <x:c r="L12" s="6" t="n">
        <x:v>146631.29</x:v>
      </x:c>
      <x:c r="M12" s="6" t="n">
        <x:v>137983.73</x:v>
      </x:c>
      <x:c r="N12" s="6" t="n">
        <x:v>141170.57</x:v>
      </x:c>
      <x:c r="O12" s="6" t="n">
        <x:v>725705.36</x:v>
      </x:c>
      <x:c r="P12" s="6" t="n">
        <x:v>99603.22</x:v>
      </x:c>
      <x:c r="Q12" s="6" t="n">
        <x:v>45</x:v>
      </x:c>
      <x:c r="R12" s="6" t="n">
        <x:f>F12-I12</x:f>
        <x:v>260437.52</x:v>
      </x:c>
      <x:c r="S12" s="6" t="n">
        <x:f>G12-J12</x:f>
        <x:v>258163.09999999998</x:v>
      </x:c>
      <x:c r="T12" s="6" t="n">
        <x:f>R12-L12</x:f>
        <x:v>113806.22999999998</x:v>
      </x:c>
      <x:c r="U12" s="6" t="n">
        <x:f>S12-M12</x:f>
        <x:v>120179.36999999997</x:v>
      </x:c>
      <x:c r="V12" s="6" t="n">
        <x:f>F12-G12</x:f>
        <x:v>8457.059999999998</x:v>
      </x:c>
      <x:c r="W12" s="8" t="n">
        <x:f>IFERROR(V12/G12,0)</x:f>
        <x:v>0.018999984251041185</x:v>
      </x:c>
      <x:c r="X12" s="8" t="n">
        <x:f>IFERROR(T12/F12,0)</x:f>
        <x:v>0.2509144592786251</x:v>
      </x:c>
      <x:c r="Y12" s="8" t="n">
        <x:f>IFERROR(T12/O12,0)</x:f>
        <x:v>0.1568215370491407</x:v>
      </x:c>
    </x:row>
    <x:row r="13">
      <x:c r="A13" t="str">
        <x:v>2024-01-01</x:v>
      </x:c>
      <x:c r="B13" t="n">
        <x:v>2024</x:v>
      </x:c>
      <x:c r="C13" t="str">
        <x:v>Q1</x:v>
      </x:c>
      <x:c r="D13" t="str">
        <x:v>Services</x:v>
      </x:c>
      <x:c r="E13" t="str">
        <x:v>West</x:v>
      </x:c>
      <x:c r="F13" s="6" t="n">
        <x:v>447965.17</x:v>
      </x:c>
      <x:c r="G13" s="6" t="n">
        <x:v>467502.07</x:v>
      </x:c>
      <x:c r="H13" s="6" t="n">
        <x:v>467125.91</x:v>
      </x:c>
      <x:c r="I13" s="6" t="n">
        <x:v>185888.19</x:v>
      </x:c>
      <x:c r="J13" s="6" t="n">
        <x:v>196350.87</x:v>
      </x:c>
      <x:c r="K13" s="6" t="n">
        <x:v>197127.14</x:v>
      </x:c>
      <x:c r="L13" s="6" t="n">
        <x:v>136329.01</x:v>
      </x:c>
      <x:c r="M13" s="6" t="n">
        <x:v>144925.64</x:v>
      </x:c>
      <x:c r="N13" s="6" t="n">
        <x:v>146677.54</x:v>
      </x:c>
      <x:c r="O13" s="6" t="n">
        <x:v>716744.28</x:v>
      </x:c>
      <x:c r="P13" s="6" t="n">
        <x:v>114252.33</x:v>
      </x:c>
      <x:c r="Q13" s="6" t="n">
        <x:v>48</x:v>
      </x:c>
      <x:c r="R13" s="6" t="n">
        <x:f>F13-I13</x:f>
        <x:v>262076.97999999998</x:v>
      </x:c>
      <x:c r="S13" s="6" t="n">
        <x:f>G13-J13</x:f>
        <x:v>271151.2</x:v>
      </x:c>
      <x:c r="T13" s="6" t="n">
        <x:f>R13-L13</x:f>
        <x:v>125747.96999999997</x:v>
      </x:c>
      <x:c r="U13" s="6" t="n">
        <x:f>S13-M13</x:f>
        <x:v>126225.56</x:v>
      </x:c>
      <x:c r="V13" s="6" t="n">
        <x:f>F13-G13</x:f>
        <x:v>-19536.900000000023</x:v>
      </x:c>
      <x:c r="W13" s="8" t="n">
        <x:f>IFERROR(V13/G13,0)</x:f>
        <x:v>-0.04178997538984164</x:v>
      </x:c>
      <x:c r="X13" s="8" t="n">
        <x:f>IFERROR(T13/F13,0)</x:f>
        <x:v>0.280709256927274</x:v>
      </x:c>
      <x:c r="Y13" s="8" t="n">
        <x:f>IFERROR(T13/O13,0)</x:f>
        <x:v>0.17544328362132164</x:v>
      </x:c>
    </x:row>
    <x:row r="14">
      <x:c r="A14" t="str">
        <x:v>2024-02-01</x:v>
      </x:c>
      <x:c r="B14" t="n">
        <x:v>2024</x:v>
      </x:c>
      <x:c r="C14" t="str">
        <x:v>Q1</x:v>
      </x:c>
      <x:c r="D14" t="str">
        <x:v>Enterprise</x:v>
      </x:c>
      <x:c r="E14" t="str">
        <x:v>East</x:v>
      </x:c>
      <x:c r="F14" s="6" t="n">
        <x:v>1620978.54</x:v>
      </x:c>
      <x:c r="G14" s="6" t="n">
        <x:v>1643214.87</x:v>
      </x:c>
      <x:c r="H14" s="6" t="n">
        <x:v>1667032.85</x:v>
      </x:c>
      <x:c r="I14" s="6" t="n">
        <x:v>775292.04</x:v>
      </x:c>
      <x:c r="J14" s="6" t="n">
        <x:v>788743.14</x:v>
      </x:c>
      <x:c r="K14" s="6" t="n">
        <x:v>803509.83</x:v>
      </x:c>
      <x:c r="L14" s="6" t="n">
        <x:v>462686.32</x:v>
      </x:c>
      <x:c r="M14" s="6" t="n">
        <x:v>443668.02</x:v>
      </x:c>
      <x:c r="N14" s="6" t="n">
        <x:v>456767</x:v>
      </x:c>
      <x:c r="O14" s="6" t="n">
        <x:v>3404054.94</x:v>
      </x:c>
      <x:c r="P14" s="6" t="n">
        <x:v>310908.2</x:v>
      </x:c>
      <x:c r="Q14" s="6" t="n">
        <x:v>108</x:v>
      </x:c>
      <x:c r="R14" s="6" t="n">
        <x:f>F14-I14</x:f>
        <x:v>845686.5</x:v>
      </x:c>
      <x:c r="S14" s="6" t="n">
        <x:f>G14-J14</x:f>
        <x:v>854471.7300000001</x:v>
      </x:c>
      <x:c r="T14" s="6" t="n">
        <x:f>R14-L14</x:f>
        <x:v>383000.18</x:v>
      </x:c>
      <x:c r="U14" s="6" t="n">
        <x:f>S14-M14</x:f>
        <x:v>410803.7100000001</x:v>
      </x:c>
      <x:c r="V14" s="6" t="n">
        <x:f>F14-G14</x:f>
        <x:v>-22236.330000000075</x:v>
      </x:c>
      <x:c r="W14" s="8" t="n">
        <x:f>IFERROR(V14/G14,0)</x:f>
        <x:v>-0.013532210793589078</x:v>
      </x:c>
      <x:c r="X14" s="8" t="n">
        <x:f>IFERROR(T14/F14,0)</x:f>
        <x:v>0.2362771440515184</x:v>
      </x:c>
      <x:c r="Y14" s="8" t="n">
        <x:f>IFERROR(T14/O14,0)</x:f>
        <x:v>0.11251292554050259</x:v>
      </x:c>
    </x:row>
    <x:row r="15">
      <x:c r="A15" t="str">
        <x:v>2024-02-01</x:v>
      </x:c>
      <x:c r="B15" t="n">
        <x:v>2024</x:v>
      </x:c>
      <x:c r="C15" t="str">
        <x:v>Q1</x:v>
      </x:c>
      <x:c r="D15" t="str">
        <x:v>Enterprise</x:v>
      </x:c>
      <x:c r="E15" t="str">
        <x:v>Central</x:v>
      </x:c>
      <x:c r="F15" s="6" t="n">
        <x:v>1415008.86</x:v>
      </x:c>
      <x:c r="G15" s="6" t="n">
        <x:v>1444383.65</x:v>
      </x:c>
      <x:c r="H15" s="6" t="n">
        <x:v>1459205.29</x:v>
      </x:c>
      <x:c r="I15" s="6" t="n">
        <x:v>671890.47</x:v>
      </x:c>
      <x:c r="J15" s="6" t="n">
        <x:v>693304.15</x:v>
      </x:c>
      <x:c r="K15" s="6" t="n">
        <x:v>703336.95</x:v>
      </x:c>
      <x:c r="L15" s="6" t="n">
        <x:v>389888.12</x:v>
      </x:c>
      <x:c r="M15" s="6" t="n">
        <x:v>389983.59</x:v>
      </x:c>
      <x:c r="N15" s="6" t="n">
        <x:v>399822.25</x:v>
      </x:c>
      <x:c r="O15" s="6" t="n">
        <x:v>2971518.61</x:v>
      </x:c>
      <x:c r="P15" s="6" t="n">
        <x:v>317753.44</x:v>
      </x:c>
      <x:c r="Q15" s="6" t="n">
        <x:v>97</x:v>
      </x:c>
      <x:c r="R15" s="6" t="n">
        <x:f>F15-I15</x:f>
        <x:v>743118.3900000001</x:v>
      </x:c>
      <x:c r="S15" s="6" t="n">
        <x:f>G15-J15</x:f>
        <x:v>751079.4999999999</x:v>
      </x:c>
      <x:c r="T15" s="6" t="n">
        <x:f>R15-L15</x:f>
        <x:v>353230.27000000014</x:v>
      </x:c>
      <x:c r="U15" s="6" t="n">
        <x:f>S15-M15</x:f>
        <x:v>361095.90999999986</x:v>
      </x:c>
      <x:c r="V15" s="6" t="n">
        <x:f>F15-G15</x:f>
        <x:v>-29374.789999999804</x:v>
      </x:c>
      <x:c r="W15" s="8" t="n">
        <x:f>IFERROR(V15/G15,0)</x:f>
        <x:v>-0.02033724904044698</x:v>
      </x:c>
      <x:c r="X15" s="8" t="n">
        <x:f>IFERROR(T15/F15,0)</x:f>
        <x:v>0.24963113658525085</x:v>
      </x:c>
      <x:c r="Y15" s="8" t="n">
        <x:f>IFERROR(T15/O15,0)</x:f>
        <x:v>0.11887196964248531</x:v>
      </x:c>
    </x:row>
    <x:row r="16">
      <x:c r="A16" t="str">
        <x:v>2024-02-01</x:v>
      </x:c>
      <x:c r="B16" t="n">
        <x:v>2024</x:v>
      </x:c>
      <x:c r="C16" t="str">
        <x:v>Q1</x:v>
      </x:c>
      <x:c r="D16" t="str">
        <x:v>Enterprise</x:v>
      </x:c>
      <x:c r="E16" t="str">
        <x:v>West</x:v>
      </x:c>
      <x:c r="F16" s="6" t="n">
        <x:v>1522306.04</x:v>
      </x:c>
      <x:c r="G16" s="6" t="n">
        <x:v>1558251.67</x:v>
      </x:c>
      <x:c r="H16" s="6" t="n">
        <x:v>1604826.56</x:v>
      </x:c>
      <x:c r="I16" s="6" t="n">
        <x:v>732606.26</x:v>
      </x:c>
      <x:c r="J16" s="6" t="n">
        <x:v>747960.8</x:v>
      </x:c>
      <x:c r="K16" s="6" t="n">
        <x:v>773526.4</x:v>
      </x:c>
      <x:c r="L16" s="6" t="n">
        <x:v>396906.72</x:v>
      </x:c>
      <x:c r="M16" s="6" t="n">
        <x:v>420727.95</x:v>
      </x:c>
      <x:c r="N16" s="6" t="n">
        <x:v>439722.48</x:v>
      </x:c>
      <x:c r="O16" s="6" t="n">
        <x:v>3196842.68</x:v>
      </x:c>
      <x:c r="P16" s="6" t="n">
        <x:v>286512.41</x:v>
      </x:c>
      <x:c r="Q16" s="6" t="n">
        <x:v>104</x:v>
      </x:c>
      <x:c r="R16" s="6" t="n">
        <x:f>F16-I16</x:f>
        <x:v>789699.78</x:v>
      </x:c>
      <x:c r="S16" s="6" t="n">
        <x:f>G16-J16</x:f>
        <x:v>810290.8699999999</x:v>
      </x:c>
      <x:c r="T16" s="6" t="n">
        <x:f>R16-L16</x:f>
        <x:v>392793.06000000006</x:v>
      </x:c>
      <x:c r="U16" s="6" t="n">
        <x:f>S16-M16</x:f>
        <x:v>389562.91999999987</x:v>
      </x:c>
      <x:c r="V16" s="6" t="n">
        <x:f>F16-G16</x:f>
        <x:v>-35945.62999999989</x:v>
      </x:c>
      <x:c r="W16" s="8" t="n">
        <x:f>IFERROR(V16/G16,0)</x:f>
        <x:v>-0.023067923296369634</x:v>
      </x:c>
      <x:c r="X16" s="8" t="n">
        <x:f>IFERROR(T16/F16,0)</x:f>
        <x:v>0.25802502892256807</x:v>
      </x:c>
      <x:c r="Y16" s="8" t="n">
        <x:f>IFERROR(T16/O16,0)</x:f>
        <x:v>0.12286906154543709</x:v>
      </x:c>
    </x:row>
    <x:row r="17">
      <x:c r="A17" t="str">
        <x:v>2024-02-01</x:v>
      </x:c>
      <x:c r="B17" t="n">
        <x:v>2024</x:v>
      </x:c>
      <x:c r="C17" t="str">
        <x:v>Q1</x:v>
      </x:c>
      <x:c r="D17" t="str">
        <x:v>SMB</x:v>
      </x:c>
      <x:c r="E17" t="str">
        <x:v>East</x:v>
      </x:c>
      <x:c r="F17" s="6" t="n">
        <x:v>944282.66</x:v>
      </x:c>
      <x:c r="G17" s="6" t="n">
        <x:v>927818.88</x:v>
      </x:c>
      <x:c r="H17" s="6" t="n">
        <x:v>946972.38</x:v>
      </x:c>
      <x:c r="I17" s="6" t="n">
        <x:v>508945.84</x:v>
      </x:c>
      <x:c r="J17" s="6" t="n">
        <x:v>501022.2</x:v>
      </x:c>
      <x:c r="K17" s="6" t="n">
        <x:v>513259.03</x:v>
      </x:c>
      <x:c r="L17" s="6" t="n">
        <x:v>264310.22</x:v>
      </x:c>
      <x:c r="M17" s="6" t="n">
        <x:v>269067.48</x:v>
      </x:c>
      <x:c r="N17" s="6" t="n">
        <x:v>278409.88</x:v>
      </x:c>
      <x:c r="O17" s="6" t="n">
        <x:v>1605280.52</x:v>
      </x:c>
      <x:c r="P17" s="6" t="n">
        <x:v>136192.56</x:v>
      </x:c>
      <x:c r="Q17" s="6" t="n">
        <x:v>77</x:v>
      </x:c>
      <x:c r="R17" s="6" t="n">
        <x:f>F17-I17</x:f>
        <x:v>435336.82</x:v>
      </x:c>
      <x:c r="S17" s="6" t="n">
        <x:f>G17-J17</x:f>
        <x:v>426796.68</x:v>
      </x:c>
      <x:c r="T17" s="6" t="n">
        <x:f>R17-L17</x:f>
        <x:v>171026.60000000003</x:v>
      </x:c>
      <x:c r="U17" s="6" t="n">
        <x:f>S17-M17</x:f>
        <x:v>157729.2</x:v>
      </x:c>
      <x:c r="V17" s="6" t="n">
        <x:f>F17-G17</x:f>
        <x:v>16463.780000000028</x:v>
      </x:c>
      <x:c r="W17" s="8" t="n">
        <x:f>IFERROR(V17/G17,0)</x:f>
        <x:v>0.01774460549886636</x:v>
      </x:c>
      <x:c r="X17" s="8" t="n">
        <x:f>IFERROR(T17/F17,0)</x:f>
        <x:v>0.1811180139641662</x:v>
      </x:c>
      <x:c r="Y17" s="8" t="n">
        <x:f>IFERROR(T17/O17,0)</x:f>
        <x:v>0.10654000834695236</x:v>
      </x:c>
    </x:row>
    <x:row r="18">
      <x:c r="A18" t="str">
        <x:v>2024-02-01</x:v>
      </x:c>
      <x:c r="B18" t="n">
        <x:v>2024</x:v>
      </x:c>
      <x:c r="C18" t="str">
        <x:v>Q1</x:v>
      </x:c>
      <x:c r="D18" t="str">
        <x:v>SMB</x:v>
      </x:c>
      <x:c r="E18" t="str">
        <x:v>Central</x:v>
      </x:c>
      <x:c r="F18" s="6" t="n">
        <x:v>859718.39</x:v>
      </x:c>
      <x:c r="G18" s="6" t="n">
        <x:v>852970.17</x:v>
      </x:c>
      <x:c r="H18" s="6" t="n">
        <x:v>877449.16</x:v>
      </x:c>
      <x:c r="I18" s="6" t="n">
        <x:v>473172.04</x:v>
      </x:c>
      <x:c r="J18" s="6" t="n">
        <x:v>460603.89</x:v>
      </x:c>
      <x:c r="K18" s="6" t="n">
        <x:v>475577.44</x:v>
      </x:c>
      <x:c r="L18" s="6" t="n">
        <x:v>239297.83</x:v>
      </x:c>
      <x:c r="M18" s="6" t="n">
        <x:v>247361.35</x:v>
      </x:c>
      <x:c r="N18" s="6" t="n">
        <x:v>257970.05</x:v>
      </x:c>
      <x:c r="O18" s="6" t="n">
        <x:v>1461521.26</x:v>
      </x:c>
      <x:c r="P18" s="6" t="n">
        <x:v>127243.98</x:v>
      </x:c>
      <x:c r="Q18" s="6" t="n">
        <x:v>69</x:v>
      </x:c>
      <x:c r="R18" s="6" t="n">
        <x:f>F18-I18</x:f>
        <x:v>386546.35000000003</x:v>
      </x:c>
      <x:c r="S18" s="6" t="n">
        <x:f>G18-J18</x:f>
        <x:v>392366.28</x:v>
      </x:c>
      <x:c r="T18" s="6" t="n">
        <x:f>R18-L18</x:f>
        <x:v>147248.52000000005</x:v>
      </x:c>
      <x:c r="U18" s="6" t="n">
        <x:f>S18-M18</x:f>
        <x:v>145004.93000000002</x:v>
      </x:c>
      <x:c r="V18" s="6" t="n">
        <x:f>F18-G18</x:f>
        <x:v>6748.219999999972</x:v>
      </x:c>
      <x:c r="W18" s="8" t="n">
        <x:f>IFERROR(V18/G18,0)</x:f>
        <x:v>0.007911437278046865</x:v>
      </x:c>
      <x:c r="X18" s="8" t="n">
        <x:f>IFERROR(T18/F18,0)</x:f>
        <x:v>0.1712752939948162</x:v>
      </x:c>
      <x:c r="Y18" s="8" t="n">
        <x:f>IFERROR(T18/O18,0)</x:f>
        <x:v>0.10075017314493259</x:v>
      </x:c>
    </x:row>
    <x:row r="19">
      <x:c r="A19" t="str">
        <x:v>2024-02-01</x:v>
      </x:c>
      <x:c r="B19" t="n">
        <x:v>2024</x:v>
      </x:c>
      <x:c r="C19" t="str">
        <x:v>Q1</x:v>
      </x:c>
      <x:c r="D19" t="str">
        <x:v>SMB</x:v>
      </x:c>
      <x:c r="E19" t="str">
        <x:v>West</x:v>
      </x:c>
      <x:c r="F19" s="6" t="n">
        <x:v>915868.03</x:v>
      </x:c>
      <x:c r="G19" s="6" t="n">
        <x:v>907971.37</x:v>
      </x:c>
      <x:c r="H19" s="6" t="n">
        <x:v>905253.94</x:v>
      </x:c>
      <x:c r="I19" s="6" t="n">
        <x:v>498841.27</x:v>
      </x:c>
      <x:c r="J19" s="6" t="n">
        <x:v>490304.54</x:v>
      </x:c>
      <x:c r="K19" s="6" t="n">
        <x:v>490647.63</x:v>
      </x:c>
      <x:c r="L19" s="6" t="n">
        <x:v>257676.32</x:v>
      </x:c>
      <x:c r="M19" s="6" t="n">
        <x:v>263311.7</x:v>
      </x:c>
      <x:c r="N19" s="6" t="n">
        <x:v>266144.66</x:v>
      </x:c>
      <x:c r="O19" s="6" t="n">
        <x:v>1556975.65</x:v>
      </x:c>
      <x:c r="P19" s="6" t="n">
        <x:v>128588.32</x:v>
      </x:c>
      <x:c r="Q19" s="6" t="n">
        <x:v>74</x:v>
      </x:c>
      <x:c r="R19" s="6" t="n">
        <x:f>F19-I19</x:f>
        <x:v>417026.76</x:v>
      </x:c>
      <x:c r="S19" s="6" t="n">
        <x:f>G19-J19</x:f>
        <x:v>417666.83</x:v>
      </x:c>
      <x:c r="T19" s="6" t="n">
        <x:f>R19-L19</x:f>
        <x:v>159350.44</x:v>
      </x:c>
      <x:c r="U19" s="6" t="n">
        <x:f>S19-M19</x:f>
        <x:v>154355.13</x:v>
      </x:c>
      <x:c r="V19" s="6" t="n">
        <x:f>F19-G19</x:f>
        <x:v>7896.660000000033</x:v>
      </x:c>
      <x:c r="W19" s="8" t="n">
        <x:f>IFERROR(V19/G19,0)</x:f>
        <x:v>0.00869703633937272</x:v>
      </x:c>
      <x:c r="X19" s="8" t="n">
        <x:f>IFERROR(T19/F19,0)</x:f>
        <x:v>0.1739884293155205</x:v>
      </x:c>
      <x:c r="Y19" s="8" t="n">
        <x:f>IFERROR(T19/O19,0)</x:f>
        <x:v>0.10234613495721659</x:v>
      </x:c>
    </x:row>
    <x:row r="20">
      <x:c r="A20" t="str">
        <x:v>2024-02-01</x:v>
      </x:c>
      <x:c r="B20" t="n">
        <x:v>2024</x:v>
      </x:c>
      <x:c r="C20" t="str">
        <x:v>Q1</x:v>
      </x:c>
      <x:c r="D20" t="str">
        <x:v>Digital</x:v>
      </x:c>
      <x:c r="E20" t="str">
        <x:v>East</x:v>
      </x:c>
      <x:c r="F20" s="6" t="n">
        <x:v>719619.71</x:v>
      </x:c>
      <x:c r="G20" s="6" t="n">
        <x:v>685103.12</x:v>
      </x:c>
      <x:c r="H20" s="6" t="n">
        <x:v>701828.8</x:v>
      </x:c>
      <x:c r="I20" s="6" t="n">
        <x:v>255355.7</x:v>
      </x:c>
      <x:c r="J20" s="6" t="n">
        <x:v>246637.12</x:v>
      </x:c>
      <x:c r="K20" s="6" t="n">
        <x:v>254062.03</x:v>
      </x:c>
      <x:c r="L20" s="6" t="n">
        <x:v>246842.21</x:v>
      </x:c>
      <x:c r="M20" s="6" t="n">
        <x:v>232935.06</x:v>
      </x:c>
      <x:c r="N20" s="6" t="n">
        <x:v>241429.11</x:v>
      </x:c>
      <x:c r="O20" s="6" t="n">
        <x:v>1007467.59</x:v>
      </x:c>
      <x:c r="P20" s="6" t="n">
        <x:v>164312.26</x:v>
      </x:c>
      <x:c r="Q20" s="6" t="n">
        <x:v>56</x:v>
      </x:c>
      <x:c r="R20" s="6" t="n">
        <x:f>F20-I20</x:f>
        <x:v>464264.00999999995</x:v>
      </x:c>
      <x:c r="S20" s="6" t="n">
        <x:f>G20-J20</x:f>
        <x:v>438466</x:v>
      </x:c>
      <x:c r="T20" s="6" t="n">
        <x:f>R20-L20</x:f>
        <x:v>217421.79999999996</x:v>
      </x:c>
      <x:c r="U20" s="6" t="n">
        <x:f>S20-M20</x:f>
        <x:v>205530.94</x:v>
      </x:c>
      <x:c r="V20" s="6" t="n">
        <x:f>F20-G20</x:f>
        <x:v>34516.58999999997</x:v>
      </x:c>
      <x:c r="W20" s="8" t="n">
        <x:f>IFERROR(V20/G20,0)</x:f>
        <x:v>0.05038159802862957</x:v>
      </x:c>
      <x:c r="X20" s="8" t="n">
        <x:f>IFERROR(T20/F20,0)</x:f>
        <x:v>0.3021343036865958</x:v>
      </x:c>
      <x:c r="Y20" s="8" t="n">
        <x:f>IFERROR(T20/O20,0)</x:f>
        <x:v>0.21581021777583928</x:v>
      </x:c>
    </x:row>
    <x:row r="21">
      <x:c r="A21" t="str">
        <x:v>2024-02-01</x:v>
      </x:c>
      <x:c r="B21" t="n">
        <x:v>2024</x:v>
      </x:c>
      <x:c r="C21" t="str">
        <x:v>Q1</x:v>
      </x:c>
      <x:c r="D21" t="str">
        <x:v>Digital</x:v>
      </x:c>
      <x:c r="E21" t="str">
        <x:v>Central</x:v>
      </x:c>
      <x:c r="F21" s="6" t="n">
        <x:v>647933.2</x:v>
      </x:c>
      <x:c r="G21" s="6" t="n">
        <x:v>621785.95</x:v>
      </x:c>
      <x:c r="H21" s="6" t="n">
        <x:v>620809.75</x:v>
      </x:c>
      <x:c r="I21" s="6" t="n">
        <x:v>236244.66</x:v>
      </x:c>
      <x:c r="J21" s="6" t="n">
        <x:v>223842.94</x:v>
      </x:c>
      <x:c r="K21" s="6" t="n">
        <x:v>224733.13</x:v>
      </x:c>
      <x:c r="L21" s="6" t="n">
        <x:v>224359.25</x:v>
      </x:c>
      <x:c r="M21" s="6" t="n">
        <x:v>211407.22</x:v>
      </x:c>
      <x:c r="N21" s="6" t="n">
        <x:v>213558.55</x:v>
      </x:c>
      <x:c r="O21" s="6" t="n">
        <x:v>907106.48</x:v>
      </x:c>
      <x:c r="P21" s="6" t="n">
        <x:v>140603.34</x:v>
      </x:c>
      <x:c r="Q21" s="6" t="n">
        <x:v>50</x:v>
      </x:c>
      <x:c r="R21" s="6" t="n">
        <x:f>F21-I21</x:f>
        <x:v>411688.5399999999</x:v>
      </x:c>
      <x:c r="S21" s="6" t="n">
        <x:f>G21-J21</x:f>
        <x:v>397943.00999999995</x:v>
      </x:c>
      <x:c r="T21" s="6" t="n">
        <x:f>R21-L21</x:f>
        <x:v>187329.28999999992</x:v>
      </x:c>
      <x:c r="U21" s="6" t="n">
        <x:f>S21-M21</x:f>
        <x:v>186535.78999999995</x:v>
      </x:c>
      <x:c r="V21" s="6" t="n">
        <x:f>F21-G21</x:f>
        <x:v>26147.25</x:v>
      </x:c>
      <x:c r="W21" s="8" t="n">
        <x:f>IFERROR(V21/G21,0)</x:f>
        <x:v>0.04205185080171078</x:v>
      </x:c>
      <x:c r="X21" s="8" t="n">
        <x:f>IFERROR(T21/F21,0)</x:f>
        <x:v>0.2891182146554613</x:v>
      </x:c>
      <x:c r="Y21" s="8" t="n">
        <x:f>IFERROR(T21/O21,0)</x:f>
        <x:v>0.20651301046818663</x:v>
      </x:c>
    </x:row>
    <x:row r="22">
      <x:c r="A22" t="str">
        <x:v>2024-02-01</x:v>
      </x:c>
      <x:c r="B22" t="n">
        <x:v>2024</x:v>
      </x:c>
      <x:c r="C22" t="str">
        <x:v>Q1</x:v>
      </x:c>
      <x:c r="D22" t="str">
        <x:v>Digital</x:v>
      </x:c>
      <x:c r="E22" t="str">
        <x:v>West</x:v>
      </x:c>
      <x:c r="F22" s="6" t="n">
        <x:v>671061.95</x:v>
      </x:c>
      <x:c r="G22" s="6" t="n">
        <x:v>665117.2</x:v>
      </x:c>
      <x:c r="H22" s="6" t="n">
        <x:v>678444.94</x:v>
      </x:c>
      <x:c r="I22" s="6" t="n">
        <x:v>242782.96</x:v>
      </x:c>
      <x:c r="J22" s="6" t="n">
        <x:v>239442.19</x:v>
      </x:c>
      <x:c r="K22" s="6" t="n">
        <x:v>245597.07</x:v>
      </x:c>
      <x:c r="L22" s="6" t="n">
        <x:v>220119.83</x:v>
      </x:c>
      <x:c r="M22" s="6" t="n">
        <x:v>226139.85</x:v>
      </x:c>
      <x:c r="N22" s="6" t="n">
        <x:v>233385.06</x:v>
      </x:c>
      <x:c r="O22" s="6" t="n">
        <x:v>939486.73</x:v>
      </x:c>
      <x:c r="P22" s="6" t="n">
        <x:v>163369.8</x:v>
      </x:c>
      <x:c r="Q22" s="6" t="n">
        <x:v>54</x:v>
      </x:c>
      <x:c r="R22" s="6" t="n">
        <x:f>F22-I22</x:f>
        <x:v>428278.99</x:v>
      </x:c>
      <x:c r="S22" s="6" t="n">
        <x:f>G22-J22</x:f>
        <x:v>425675.00999999995</x:v>
      </x:c>
      <x:c r="T22" s="6" t="n">
        <x:f>R22-L22</x:f>
        <x:v>208159.16</x:v>
      </x:c>
      <x:c r="U22" s="6" t="n">
        <x:f>S22-M22</x:f>
        <x:v>199535.15999999995</x:v>
      </x:c>
      <x:c r="V22" s="6" t="n">
        <x:f>F22-G22</x:f>
        <x:v>5944.75</x:v>
      </x:c>
      <x:c r="W22" s="8" t="n">
        <x:f>IFERROR(V22/G22,0)</x:f>
        <x:v>0.008937898463609121</x:v>
      </x:c>
      <x:c r="X22" s="8" t="n">
        <x:f>IFERROR(T22/F22,0)</x:f>
        <x:v>0.31019365648730346</x:v>
      </x:c>
      <x:c r="Y22" s="8" t="n">
        <x:f>IFERROR(T22/O22,0)</x:f>
        <x:v>0.22156689749093103</x:v>
      </x:c>
    </x:row>
    <x:row r="23">
      <x:c r="A23" t="str">
        <x:v>2024-02-01</x:v>
      </x:c>
      <x:c r="B23" t="n">
        <x:v>2024</x:v>
      </x:c>
      <x:c r="C23" t="str">
        <x:v>Q1</x:v>
      </x:c>
      <x:c r="D23" t="str">
        <x:v>Services</x:v>
      </x:c>
      <x:c r="E23" t="str">
        <x:v>East</x:v>
      </x:c>
      <x:c r="F23" s="6" t="n">
        <x:v>522097.28</x:v>
      </x:c>
      <x:c r="G23" s="6" t="n">
        <x:v>498227.28</x:v>
      </x:c>
      <x:c r="H23" s="6" t="n">
        <x:v>510455.01</x:v>
      </x:c>
      <x:c r="I23" s="6" t="n">
        <x:v>224305.16</x:v>
      </x:c>
      <x:c r="J23" s="6" t="n">
        <x:v>209255.46</x:v>
      </x:c>
      <x:c r="K23" s="6" t="n">
        <x:v>215412.02</x:v>
      </x:c>
      <x:c r="L23" s="6" t="n">
        <x:v>160401.56</x:v>
      </x:c>
      <x:c r="M23" s="6" t="n">
        <x:v>154450.46</x:v>
      </x:c>
      <x:c r="N23" s="6" t="n">
        <x:v>160282.87</x:v>
      </x:c>
      <x:c r="O23" s="6" t="n">
        <x:v>835355.65</x:v>
      </x:c>
      <x:c r="P23" s="6" t="n">
        <x:v>100512.88</x:v>
      </x:c>
      <x:c r="Q23" s="6" t="n">
        <x:v>50</x:v>
      </x:c>
      <x:c r="R23" s="6" t="n">
        <x:f>F23-I23</x:f>
        <x:v>297792.12</x:v>
      </x:c>
      <x:c r="S23" s="6" t="n">
        <x:f>G23-J23</x:f>
        <x:v>288971.82000000007</x:v>
      </x:c>
      <x:c r="T23" s="6" t="n">
        <x:f>R23-L23</x:f>
        <x:v>137390.56</x:v>
      </x:c>
      <x:c r="U23" s="6" t="n">
        <x:f>S23-M23</x:f>
        <x:v>134521.36000000007</x:v>
      </x:c>
      <x:c r="V23" s="6" t="n">
        <x:f>F23-G23</x:f>
        <x:v>23870</x:v>
      </x:c>
      <x:c r="W23" s="8" t="n">
        <x:f>IFERROR(V23/G23,0)</x:f>
        <x:v>0.04790986153949659</x:v>
      </x:c>
      <x:c r="X23" s="8" t="n">
        <x:f>IFERROR(T23/F23,0)</x:f>
        <x:v>0.26315126560322244</x:v>
      </x:c>
      <x:c r="Y23" s="8" t="n">
        <x:f>IFERROR(T23/O23,0)</x:f>
        <x:v>0.16446954060824273</x:v>
      </x:c>
    </x:row>
    <x:row r="24">
      <x:c r="A24" t="str">
        <x:v>2024-02-01</x:v>
      </x:c>
      <x:c r="B24" t="n">
        <x:v>2024</x:v>
      </x:c>
      <x:c r="C24" t="str">
        <x:v>Q1</x:v>
      </x:c>
      <x:c r="D24" t="str">
        <x:v>Services</x:v>
      </x:c>
      <x:c r="E24" t="str">
        <x:v>Central</x:v>
      </x:c>
      <x:c r="F24" s="6" t="n">
        <x:v>480432.85</x:v>
      </x:c>
      <x:c r="G24" s="6" t="n">
        <x:v>457688.06</x:v>
      </x:c>
      <x:c r="H24" s="6" t="n">
        <x:v>452586.86</x:v>
      </x:c>
      <x:c r="I24" s="6" t="n">
        <x:v>202087.23</x:v>
      </x:c>
      <x:c r="J24" s="6" t="n">
        <x:v>192228.99</x:v>
      </x:c>
      <x:c r="K24" s="6" t="n">
        <x:v>190991.65</x:v>
      </x:c>
      <x:c r="L24" s="6" t="n">
        <x:v>144166.55</x:v>
      </x:c>
      <x:c r="M24" s="6" t="n">
        <x:v>141883.3</x:v>
      </x:c>
      <x:c r="N24" s="6" t="n">
        <x:v>142112.27</x:v>
      </x:c>
      <x:c r="O24" s="6" t="n">
        <x:v>768692.56</x:v>
      </x:c>
      <x:c r="P24" s="6" t="n">
        <x:v>117020.31</x:v>
      </x:c>
      <x:c r="Q24" s="6" t="n">
        <x:v>45</x:v>
      </x:c>
      <x:c r="R24" s="6" t="n">
        <x:f>F24-I24</x:f>
        <x:v>278345.62</x:v>
      </x:c>
      <x:c r="S24" s="6" t="n">
        <x:f>G24-J24</x:f>
        <x:v>265459.07</x:v>
      </x:c>
      <x:c r="T24" s="6" t="n">
        <x:f>R24-L24</x:f>
        <x:v>134179.07</x:v>
      </x:c>
      <x:c r="U24" s="6" t="n">
        <x:f>S24-M24</x:f>
        <x:v>123575.77000000002</x:v>
      </x:c>
      <x:c r="V24" s="6" t="n">
        <x:f>F24-G24</x:f>
        <x:v>22744.78999999998</x:v>
      </x:c>
      <x:c r="W24" s="8" t="n">
        <x:f>IFERROR(V24/G24,0)</x:f>
        <x:v>0.049694960362304356</x:v>
      </x:c>
      <x:c r="X24" s="8" t="n">
        <x:f>IFERROR(T24/F24,0)</x:f>
        <x:v>0.27928787550643136</x:v>
      </x:c>
      <x:c r="Y24" s="8" t="n">
        <x:f>IFERROR(T24/O24,0)</x:f>
        <x:v>0.17455492219151958</x:v>
      </x:c>
    </x:row>
    <x:row r="25">
      <x:c r="A25" t="str">
        <x:v>2024-02-01</x:v>
      </x:c>
      <x:c r="B25" t="n">
        <x:v>2024</x:v>
      </x:c>
      <x:c r="C25" t="str">
        <x:v>Q1</x:v>
      </x:c>
      <x:c r="D25" t="str">
        <x:v>Services</x:v>
      </x:c>
      <x:c r="E25" t="str">
        <x:v>West</x:v>
      </x:c>
      <x:c r="F25" s="6" t="n">
        <x:v>474371.69</x:v>
      </x:c>
      <x:c r="G25" s="6" t="n">
        <x:v>490134.84</x:v>
      </x:c>
      <x:c r="H25" s="6" t="n">
        <x:v>493265.68</x:v>
      </x:c>
      <x:c r="I25" s="6" t="n">
        <x:v>200324.74</x:v>
      </x:c>
      <x:c r="J25" s="6" t="n">
        <x:v>205856.63</x:v>
      </x:c>
      <x:c r="K25" s="6" t="n">
        <x:v>208158.12</x:v>
      </x:c>
      <x:c r="L25" s="6" t="n">
        <x:v>145134.82</x:v>
      </x:c>
      <x:c r="M25" s="6" t="n">
        <x:v>151941.8</x:v>
      </x:c>
      <x:c r="N25" s="6" t="n">
        <x:v>154885.42</x:v>
      </x:c>
      <x:c r="O25" s="6" t="n">
        <x:v>758994.7</x:v>
      </x:c>
      <x:c r="P25" s="6" t="n">
        <x:v>115310.17</x:v>
      </x:c>
      <x:c r="Q25" s="6" t="n">
        <x:v>48</x:v>
      </x:c>
      <x:c r="R25" s="6" t="n">
        <x:f>F25-I25</x:f>
        <x:v>274046.95</x:v>
      </x:c>
      <x:c r="S25" s="6" t="n">
        <x:f>G25-J25</x:f>
        <x:v>284278.21</x:v>
      </x:c>
      <x:c r="T25" s="6" t="n">
        <x:f>R25-L25</x:f>
        <x:v>128912.13</x:v>
      </x:c>
      <x:c r="U25" s="6" t="n">
        <x:f>S25-M25</x:f>
        <x:v>132336.41000000003</x:v>
      </x:c>
      <x:c r="V25" s="6" t="n">
        <x:f>F25-G25</x:f>
        <x:v>-15763.150000000023</x:v>
      </x:c>
      <x:c r="W25" s="8" t="n">
        <x:f>IFERROR(V25/G25,0)</x:f>
        <x:v>-0.03216084373842925</x:v>
      </x:c>
      <x:c r="X25" s="8" t="n">
        <x:f>IFERROR(T25/F25,0)</x:f>
        <x:v>0.27175342187894896</x:v>
      </x:c>
      <x:c r="Y25" s="8" t="n">
        <x:f>IFERROR(T25/O25,0)</x:f>
        <x:v>0.16984588956945287</x:v>
      </x:c>
    </x:row>
    <x:row r="26">
      <x:c r="A26" t="str">
        <x:v>2024-03-01</x:v>
      </x:c>
      <x:c r="B26" t="n">
        <x:v>2024</x:v>
      </x:c>
      <x:c r="C26" t="str">
        <x:v>Q1</x:v>
      </x:c>
      <x:c r="D26" t="str">
        <x:v>Enterprise</x:v>
      </x:c>
      <x:c r="E26" t="str">
        <x:v>East</x:v>
      </x:c>
      <x:c r="F26" s="6" t="n">
        <x:v>1621164.13</x:v>
      </x:c>
      <x:c r="G26" s="6" t="n">
        <x:v>1660722.85</x:v>
      </x:c>
      <x:c r="H26" s="6" t="n">
        <x:v>1676114.96</x:v>
      </x:c>
      <x:c r="I26" s="6" t="n">
        <x:v>789471.6</x:v>
      </x:c>
      <x:c r="J26" s="6" t="n">
        <x:v>797146.97</x:v>
      </x:c>
      <x:c r="K26" s="6" t="n">
        <x:v>807887.41</x:v>
      </x:c>
      <x:c r="L26" s="6" t="n">
        <x:v>428043.31</x:v>
      </x:c>
      <x:c r="M26" s="6" t="n">
        <x:v>448395.17</x:v>
      </x:c>
      <x:c r="N26" s="6" t="n">
        <x:v>459255.5</x:v>
      </x:c>
      <x:c r="O26" s="6" t="n">
        <x:v>3404444.67</x:v>
      </x:c>
      <x:c r="P26" s="6" t="n">
        <x:v>315792.24</x:v>
      </x:c>
      <x:c r="Q26" s="6" t="n">
        <x:v>109</x:v>
      </x:c>
      <x:c r="R26" s="6" t="n">
        <x:f>F26-I26</x:f>
        <x:v>831692.5299999999</x:v>
      </x:c>
      <x:c r="S26" s="6" t="n">
        <x:f>G26-J26</x:f>
        <x:v>863575.8800000001</x:v>
      </x:c>
      <x:c r="T26" s="6" t="n">
        <x:f>R26-L26</x:f>
        <x:v>403649.2199999999</x:v>
      </x:c>
      <x:c r="U26" s="6" t="n">
        <x:f>S26-M26</x:f>
        <x:v>415180.71000000014</x:v>
      </x:c>
      <x:c r="V26" s="6" t="n">
        <x:f>F26-G26</x:f>
        <x:v>-39558.720000000205</x:v>
      </x:c>
      <x:c r="W26" s="8" t="n">
        <x:f>IFERROR(V26/G26,0)</x:f>
        <x:v>-0.023820181675708384</x:v>
      </x:c>
      <x:c r="X26" s="8" t="n">
        <x:f>IFERROR(T26/F26,0)</x:f>
        <x:v>0.2489872632452088</x:v>
      </x:c>
      <x:c r="Y26" s="8" t="n">
        <x:f>IFERROR(T26/O26,0)</x:f>
        <x:v>0.11856536355457935</x:v>
      </x:c>
    </x:row>
    <x:row r="27">
      <x:c r="A27" t="str">
        <x:v>2024-03-01</x:v>
      </x:c>
      <x:c r="B27" t="n">
        <x:v>2024</x:v>
      </x:c>
      <x:c r="C27" t="str">
        <x:v>Q1</x:v>
      </x:c>
      <x:c r="D27" t="str">
        <x:v>Enterprise</x:v>
      </x:c>
      <x:c r="E27" t="str">
        <x:v>Central</x:v>
      </x:c>
      <x:c r="F27" s="6" t="n">
        <x:v>1542542.18</x:v>
      </x:c>
      <x:c r="G27" s="6" t="n">
        <x:v>1512314.33</x:v>
      </x:c>
      <x:c r="H27" s="6" t="n">
        <x:v>1519444.14</x:v>
      </x:c>
      <x:c r="I27" s="6" t="n">
        <x:v>742667.69</x:v>
      </x:c>
      <x:c r="J27" s="6" t="n">
        <x:v>725910.88</x:v>
      </x:c>
      <x:c r="K27" s="6" t="n">
        <x:v>732372.08</x:v>
      </x:c>
      <x:c r="L27" s="6" t="n">
        <x:v>403575.5</x:v>
      </x:c>
      <x:c r="M27" s="6" t="n">
        <x:v>408324.87</x:v>
      </x:c>
      <x:c r="N27" s="6" t="n">
        <x:v>416327.7</x:v>
      </x:c>
      <x:c r="O27" s="6" t="n">
        <x:v>3239338.57</x:v>
      </x:c>
      <x:c r="P27" s="6" t="n">
        <x:v>303144.74</x:v>
      </x:c>
      <x:c r="Q27" s="6" t="n">
        <x:v>97</x:v>
      </x:c>
      <x:c r="R27" s="6" t="n">
        <x:f>F27-I27</x:f>
        <x:v>799874.49</x:v>
      </x:c>
      <x:c r="S27" s="6" t="n">
        <x:f>G27-J27</x:f>
        <x:v>786403.4500000001</x:v>
      </x:c>
      <x:c r="T27" s="6" t="n">
        <x:f>R27-L27</x:f>
        <x:v>396298.99</x:v>
      </x:c>
      <x:c r="U27" s="6" t="n">
        <x:f>S27-M27</x:f>
        <x:v>378078.5800000001</x:v>
      </x:c>
      <x:c r="V27" s="6" t="n">
        <x:f>F27-G27</x:f>
        <x:v>30227.84999999986</x:v>
      </x:c>
      <x:c r="W27" s="8" t="n">
        <x:f>IFERROR(V27/G27,0)</x:f>
        <x:v>0.01998780901586766</x:v>
      </x:c>
      <x:c r="X27" s="8" t="n">
        <x:f>IFERROR(T27/F27,0)</x:f>
        <x:v>0.2569129033476414</x:v>
      </x:c>
      <x:c r="Y27" s="8" t="n">
        <x:f>IFERROR(T27/O27,0)</x:f>
        <x:v>0.12233947808672559</x:v>
      </x:c>
    </x:row>
    <x:row r="28">
      <x:c r="A28" t="str">
        <x:v>2024-03-01</x:v>
      </x:c>
      <x:c r="B28" t="n">
        <x:v>2024</x:v>
      </x:c>
      <x:c r="C28" t="str">
        <x:v>Q1</x:v>
      </x:c>
      <x:c r="D28" t="str">
        <x:v>Enterprise</x:v>
      </x:c>
      <x:c r="E28" t="str">
        <x:v>West</x:v>
      </x:c>
      <x:c r="F28" s="6" t="n">
        <x:v>1615409.49</x:v>
      </x:c>
      <x:c r="G28" s="6" t="n">
        <x:v>1593371.77</x:v>
      </x:c>
      <x:c r="H28" s="6" t="n">
        <x:v>1585970.82</x:v>
      </x:c>
      <x:c r="I28" s="6" t="n">
        <x:v>765260.91</x:v>
      </x:c>
      <x:c r="J28" s="6" t="n">
        <x:v>764818.45</x:v>
      </x:c>
      <x:c r="K28" s="6" t="n">
        <x:v>764437.93</x:v>
      </x:c>
      <x:c r="L28" s="6" t="n">
        <x:v>420216.14</x:v>
      </x:c>
      <x:c r="M28" s="6" t="n">
        <x:v>430210.38</x:v>
      </x:c>
      <x:c r="N28" s="6" t="n">
        <x:v>434556</x:v>
      </x:c>
      <x:c r="O28" s="6" t="n">
        <x:v>3392359.93</x:v>
      </x:c>
      <x:c r="P28" s="6" t="n">
        <x:v>363817.68</x:v>
      </x:c>
      <x:c r="Q28" s="6" t="n">
        <x:v>104</x:v>
      </x:c>
      <x:c r="R28" s="6" t="n">
        <x:f>F28-I28</x:f>
        <x:v>850148.58</x:v>
      </x:c>
      <x:c r="S28" s="6" t="n">
        <x:f>G28-J28</x:f>
        <x:v>828553.3200000001</x:v>
      </x:c>
      <x:c r="T28" s="6" t="n">
        <x:f>R28-L28</x:f>
        <x:v>429932.43999999994</x:v>
      </x:c>
      <x:c r="U28" s="6" t="n">
        <x:f>S28-M28</x:f>
        <x:v>398342.94000000006</x:v>
      </x:c>
      <x:c r="V28" s="6" t="n">
        <x:f>F28-G28</x:f>
        <x:v>22037.719999999972</x:v>
      </x:c>
      <x:c r="W28" s="8" t="n">
        <x:f>IFERROR(V28/G28,0)</x:f>
        <x:v>0.013830871372849772</x:v>
      </x:c>
      <x:c r="X28" s="8" t="n">
        <x:f>IFERROR(T28/F28,0)</x:f>
        <x:v>0.2661445550873915</x:v>
      </x:c>
      <x:c r="Y28" s="8" t="n">
        <x:f>IFERROR(T28/O28,0)</x:f>
        <x:v>0.12673550238520825</x:v>
      </x:c>
    </x:row>
    <x:row r="29">
      <x:c r="A29" t="str">
        <x:v>2024-03-01</x:v>
      </x:c>
      <x:c r="B29" t="n">
        <x:v>2024</x:v>
      </x:c>
      <x:c r="C29" t="str">
        <x:v>Q1</x:v>
      </x:c>
      <x:c r="D29" t="str">
        <x:v>SMB</x:v>
      </x:c>
      <x:c r="E29" t="str">
        <x:v>East</x:v>
      </x:c>
      <x:c r="F29" s="6" t="n">
        <x:v>997369.42</x:v>
      </x:c>
      <x:c r="G29" s="6" t="n">
        <x:v>953925.73</x:v>
      </x:c>
      <x:c r="H29" s="6" t="n">
        <x:v>976518.12</x:v>
      </x:c>
      <x:c r="I29" s="6" t="n">
        <x:v>528448.5</x:v>
      </x:c>
      <x:c r="J29" s="6" t="n">
        <x:v>515119.9</x:v>
      </x:c>
      <x:c r="K29" s="6" t="n">
        <x:v>529272.82</x:v>
      </x:c>
      <x:c r="L29" s="6" t="n">
        <x:v>284390.05</x:v>
      </x:c>
      <x:c r="M29" s="6" t="n">
        <x:v>276638.46</x:v>
      </x:c>
      <x:c r="N29" s="6" t="n">
        <x:v>287096.33</x:v>
      </x:c>
      <x:c r="O29" s="6" t="n">
        <x:v>1695528.01</x:v>
      </x:c>
      <x:c r="P29" s="6" t="n">
        <x:v>157551.63</x:v>
      </x:c>
      <x:c r="Q29" s="6" t="n">
        <x:v>77</x:v>
      </x:c>
      <x:c r="R29" s="6" t="n">
        <x:f>F29-I29</x:f>
        <x:v>468920.92000000004</x:v>
      </x:c>
      <x:c r="S29" s="6" t="n">
        <x:f>G29-J29</x:f>
        <x:v>438805.82999999996</x:v>
      </x:c>
      <x:c r="T29" s="6" t="n">
        <x:f>R29-L29</x:f>
        <x:v>184530.87000000005</x:v>
      </x:c>
      <x:c r="U29" s="6" t="n">
        <x:f>S29-M29</x:f>
        <x:v>162167.36999999994</x:v>
      </x:c>
      <x:c r="V29" s="6" t="n">
        <x:f>F29-G29</x:f>
        <x:v>43443.69000000006</x:v>
      </x:c>
      <x:c r="W29" s="8" t="n">
        <x:f>IFERROR(V29/G29,0)</x:f>
        <x:v>0.0455420046170681</x:v>
      </x:c>
      <x:c r="X29" s="8" t="n">
        <x:f>IFERROR(T29/F29,0)</x:f>
        <x:v>0.18501757352857284</x:v>
      </x:c>
      <x:c r="Y29" s="8" t="n">
        <x:f>IFERROR(T29/O29,0)</x:f>
        <x:v>0.10883386703826854</x:v>
      </x:c>
    </x:row>
    <x:row r="30">
      <x:c r="A30" t="str">
        <x:v>2024-03-01</x:v>
      </x:c>
      <x:c r="B30" t="n">
        <x:v>2024</x:v>
      </x:c>
      <x:c r="C30" t="str">
        <x:v>Q1</x:v>
      </x:c>
      <x:c r="D30" t="str">
        <x:v>SMB</x:v>
      </x:c>
      <x:c r="E30" t="str">
        <x:v>Central</x:v>
      </x:c>
      <x:c r="F30" s="6" t="n">
        <x:v>826492.62</x:v>
      </x:c>
      <x:c r="G30" s="6" t="n">
        <x:v>853610.83</x:v>
      </x:c>
      <x:c r="H30" s="6" t="n">
        <x:v>876742.1</x:v>
      </x:c>
      <x:c r="I30" s="6" t="n">
        <x:v>448659.14</x:v>
      </x:c>
      <x:c r="J30" s="6" t="n">
        <x:v>460949.85</x:v>
      </x:c>
      <x:c r="K30" s="6" t="n">
        <x:v>475194.22</x:v>
      </x:c>
      <x:c r="L30" s="6" t="n">
        <x:v>241484.72</x:v>
      </x:c>
      <x:c r="M30" s="6" t="n">
        <x:v>247547.14</x:v>
      </x:c>
      <x:c r="N30" s="6" t="n">
        <x:v>257762.18</x:v>
      </x:c>
      <x:c r="O30" s="6" t="n">
        <x:v>1405037.46</x:v>
      </x:c>
      <x:c r="P30" s="6" t="n">
        <x:v>119567.48</x:v>
      </x:c>
      <x:c r="Q30" s="6" t="n">
        <x:v>69</x:v>
      </x:c>
      <x:c r="R30" s="6" t="n">
        <x:f>F30-I30</x:f>
        <x:v>377833.48</x:v>
      </x:c>
      <x:c r="S30" s="6" t="n">
        <x:f>G30-J30</x:f>
        <x:v>392660.98</x:v>
      </x:c>
      <x:c r="T30" s="6" t="n">
        <x:f>R30-L30</x:f>
        <x:v>136348.75999999998</x:v>
      </x:c>
      <x:c r="U30" s="6" t="n">
        <x:f>S30-M30</x:f>
        <x:v>145113.83999999997</x:v>
      </x:c>
      <x:c r="V30" s="6" t="n">
        <x:f>F30-G30</x:f>
        <x:v>-27118.209999999963</x:v>
      </x:c>
      <x:c r="W30" s="8" t="n">
        <x:f>IFERROR(V30/G30,0)</x:f>
        <x:v>-0.031768821396045276</x:v>
      </x:c>
      <x:c r="X30" s="8" t="n">
        <x:f>IFERROR(T30/F30,0)</x:f>
        <x:v>0.16497274954493843</x:v>
      </x:c>
      <x:c r="Y30" s="8" t="n">
        <x:f>IFERROR(T30/O30,0)</x:f>
        <x:v>0.09704279343555722</x:v>
      </x:c>
    </x:row>
    <x:row r="31">
      <x:c r="A31" t="str">
        <x:v>2024-03-01</x:v>
      </x:c>
      <x:c r="B31" t="n">
        <x:v>2024</x:v>
      </x:c>
      <x:c r="C31" t="str">
        <x:v>Q1</x:v>
      </x:c>
      <x:c r="D31" t="str">
        <x:v>SMB</x:v>
      </x:c>
      <x:c r="E31" t="str">
        <x:v>West</x:v>
      </x:c>
      <x:c r="F31" s="6" t="n">
        <x:v>909406.06</x:v>
      </x:c>
      <x:c r="G31" s="6" t="n">
        <x:v>933642.49</x:v>
      </x:c>
      <x:c r="H31" s="6" t="n">
        <x:v>923710.3</x:v>
      </x:c>
      <x:c r="I31" s="6" t="n">
        <x:v>490358.41</x:v>
      </x:c>
      <x:c r="J31" s="6" t="n">
        <x:v>504166.95</x:v>
      </x:c>
      <x:c r="K31" s="6" t="n">
        <x:v>500650.98</x:v>
      </x:c>
      <x:c r="L31" s="6" t="n">
        <x:v>264371.03</x:v>
      </x:c>
      <x:c r="M31" s="6" t="n">
        <x:v>270756.32</x:v>
      </x:c>
      <x:c r="N31" s="6" t="n">
        <x:v>271570.83</x:v>
      </x:c>
      <x:c r="O31" s="6" t="n">
        <x:v>1545990.3</x:v>
      </x:c>
      <x:c r="P31" s="6" t="n">
        <x:v>125814.72</x:v>
      </x:c>
      <x:c r="Q31" s="6" t="n">
        <x:v>74</x:v>
      </x:c>
      <x:c r="R31" s="6" t="n">
        <x:f>F31-I31</x:f>
        <x:v>419047.6500000001</x:v>
      </x:c>
      <x:c r="S31" s="6" t="n">
        <x:f>G31-J31</x:f>
        <x:v>429475.54</x:v>
      </x:c>
      <x:c r="T31" s="6" t="n">
        <x:f>R31-L31</x:f>
        <x:v>154676.62000000005</x:v>
      </x:c>
      <x:c r="U31" s="6" t="n">
        <x:f>S31-M31</x:f>
        <x:v>158719.21999999997</x:v>
      </x:c>
      <x:c r="V31" s="6" t="n">
        <x:f>F31-G31</x:f>
        <x:v>-24236.429999999935</x:v>
      </x:c>
      <x:c r="W31" s="8" t="n">
        <x:f>IFERROR(V31/G31,0)</x:f>
        <x:v>-0.02595900492917791</x:v>
      </x:c>
      <x:c r="X31" s="8" t="n">
        <x:f>IFERROR(T31/F31,0)</x:f>
        <x:v>0.17008531920273331</x:v>
      </x:c>
      <x:c r="Y31" s="8" t="n">
        <x:f>IFERROR(T31/O31,0)</x:f>
        <x:v>0.10005018789574556</x:v>
      </x:c>
    </x:row>
    <x:row r="32">
      <x:c r="A32" t="str">
        <x:v>2024-03-01</x:v>
      </x:c>
      <x:c r="B32" t="n">
        <x:v>2024</x:v>
      </x:c>
      <x:c r="C32" t="str">
        <x:v>Q1</x:v>
      </x:c>
      <x:c r="D32" t="str">
        <x:v>Digital</x:v>
      </x:c>
      <x:c r="E32" t="str">
        <x:v>East</x:v>
      </x:c>
      <x:c r="F32" s="6" t="n">
        <x:v>723450.89</x:v>
      </x:c>
      <x:c r="G32" s="6" t="n">
        <x:v>707644.62</x:v>
      </x:c>
      <x:c r="H32" s="6" t="n">
        <x:v>728369.72</x:v>
      </x:c>
      <x:c r="I32" s="6" t="n">
        <x:v>253612.12</x:v>
      </x:c>
      <x:c r="J32" s="6" t="n">
        <x:v>254752.06</x:v>
      </x:c>
      <x:c r="K32" s="6" t="n">
        <x:v>263669.84</x:v>
      </x:c>
      <x:c r="L32" s="6" t="n">
        <x:v>246030.19</x:v>
      </x:c>
      <x:c r="M32" s="6" t="n">
        <x:v>240599.17</x:v>
      </x:c>
      <x:c r="N32" s="6" t="n">
        <x:v>250559.18</x:v>
      </x:c>
      <x:c r="O32" s="6" t="n">
        <x:v>1012831.25</x:v>
      </x:c>
      <x:c r="P32" s="6" t="n">
        <x:v>176329.94</x:v>
      </x:c>
      <x:c r="Q32" s="6" t="n">
        <x:v>56</x:v>
      </x:c>
      <x:c r="R32" s="6" t="n">
        <x:f>F32-I32</x:f>
        <x:v>469838.77</x:v>
      </x:c>
      <x:c r="S32" s="6" t="n">
        <x:f>G32-J32</x:f>
        <x:v>452892.56</x:v>
      </x:c>
      <x:c r="T32" s="6" t="n">
        <x:f>R32-L32</x:f>
        <x:v>223808.58000000002</x:v>
      </x:c>
      <x:c r="U32" s="6" t="n">
        <x:f>S32-M32</x:f>
        <x:v>212293.38999999998</x:v>
      </x:c>
      <x:c r="V32" s="6" t="n">
        <x:f>F32-G32</x:f>
        <x:v>15806.270000000019</x:v>
      </x:c>
      <x:c r="W32" s="8" t="n">
        <x:f>IFERROR(V32/G32,0)</x:f>
        <x:v>0.022336451876084382</x:v>
      </x:c>
      <x:c r="X32" s="8" t="n">
        <x:f>IFERROR(T32/F32,0)</x:f>
        <x:v>0.3093625055876288</x:v>
      </x:c>
      <x:c r="Y32" s="8" t="n">
        <x:f>IFERROR(T32/O32,0)</x:f>
        <x:v>0.2209732174041826</x:v>
      </x:c>
    </x:row>
    <x:row r="33">
      <x:c r="A33" t="str">
        <x:v>2024-03-01</x:v>
      </x:c>
      <x:c r="B33" t="n">
        <x:v>2024</x:v>
      </x:c>
      <x:c r="C33" t="str">
        <x:v>Q1</x:v>
      </x:c>
      <x:c r="D33" t="str">
        <x:v>Digital</x:v>
      </x:c>
      <x:c r="E33" t="str">
        <x:v>Central</x:v>
      </x:c>
      <x:c r="F33" s="6" t="n">
        <x:v>623207.54</x:v>
      </x:c>
      <x:c r="G33" s="6" t="n">
        <x:v>636013.26</x:v>
      </x:c>
      <x:c r="H33" s="6" t="n">
        <x:v>631916.96</x:v>
      </x:c>
      <x:c r="I33" s="6" t="n">
        <x:v>224145.29</x:v>
      </x:c>
      <x:c r="J33" s="6" t="n">
        <x:v>228964.77</x:v>
      </x:c>
      <x:c r="K33" s="6" t="n">
        <x:v>228753.94</x:v>
      </x:c>
      <x:c r="L33" s="6" t="n">
        <x:v>212299.67</x:v>
      </x:c>
      <x:c r="M33" s="6" t="n">
        <x:v>216244.51</x:v>
      </x:c>
      <x:c r="N33" s="6" t="n">
        <x:v>217379.43</x:v>
      </x:c>
      <x:c r="O33" s="6" t="n">
        <x:v>872490.55</x:v>
      </x:c>
      <x:c r="P33" s="6" t="n">
        <x:v>144873.42</x:v>
      </x:c>
      <x:c r="Q33" s="6" t="n">
        <x:v>50</x:v>
      </x:c>
      <x:c r="R33" s="6" t="n">
        <x:f>F33-I33</x:f>
        <x:v>399062.25</x:v>
      </x:c>
      <x:c r="S33" s="6" t="n">
        <x:f>G33-J33</x:f>
        <x:v>407048.49</x:v>
      </x:c>
      <x:c r="T33" s="6" t="n">
        <x:f>R33-L33</x:f>
        <x:v>186762.58</x:v>
      </x:c>
      <x:c r="U33" s="6" t="n">
        <x:f>S33-M33</x:f>
        <x:v>190803.97999999998</x:v>
      </x:c>
      <x:c r="V33" s="6" t="n">
        <x:f>F33-G33</x:f>
        <x:v>-12805.719999999972</x:v>
      </x:c>
      <x:c r="W33" s="8" t="n">
        <x:f>IFERROR(V33/G33,0)</x:f>
        <x:v>-0.020134360091800557</x:v>
      </x:c>
      <x:c r="X33" s="8" t="n">
        <x:f>IFERROR(T33/F33,0)</x:f>
        <x:v>0.2996795898842944</x:v>
      </x:c>
      <x:c r="Y33" s="8" t="n">
        <x:f>IFERROR(T33/O33,0)</x:f>
        <x:v>0.21405685138939323</x:v>
      </x:c>
    </x:row>
    <x:row r="34">
      <x:c r="A34" t="str">
        <x:v>2024-03-01</x:v>
      </x:c>
      <x:c r="B34" t="n">
        <x:v>2024</x:v>
      </x:c>
      <x:c r="C34" t="str">
        <x:v>Q1</x:v>
      </x:c>
      <x:c r="D34" t="str">
        <x:v>Digital</x:v>
      </x:c>
      <x:c r="E34" t="str">
        <x:v>West</x:v>
      </x:c>
      <x:c r="F34" s="6" t="n">
        <x:v>702721.1</x:v>
      </x:c>
      <x:c r="G34" s="6" t="n">
        <x:v>670966.56</x:v>
      </x:c>
      <x:c r="H34" s="6" t="n">
        <x:v>674281.73</x:v>
      </x:c>
      <x:c r="I34" s="6" t="n">
        <x:v>260284.44</x:v>
      </x:c>
      <x:c r="J34" s="6" t="n">
        <x:v>241547.96</x:v>
      </x:c>
      <x:c r="K34" s="6" t="n">
        <x:v>244089.99</x:v>
      </x:c>
      <x:c r="L34" s="6" t="n">
        <x:v>242094.28</x:v>
      </x:c>
      <x:c r="M34" s="6" t="n">
        <x:v>228128.63</x:v>
      </x:c>
      <x:c r="N34" s="6" t="n">
        <x:v>231952.91</x:v>
      </x:c>
      <x:c r="O34" s="6" t="n">
        <x:v>983809.54</x:v>
      </x:c>
      <x:c r="P34" s="6" t="n">
        <x:v>146273.52</x:v>
      </x:c>
      <x:c r="Q34" s="6" t="n">
        <x:v>54</x:v>
      </x:c>
      <x:c r="R34" s="6" t="n">
        <x:f>F34-I34</x:f>
        <x:v>442436.66</x:v>
      </x:c>
      <x:c r="S34" s="6" t="n">
        <x:f>G34-J34</x:f>
        <x:v>429418.6000000001</x:v>
      </x:c>
      <x:c r="T34" s="6" t="n">
        <x:f>R34-L34</x:f>
        <x:v>200342.37999999998</x:v>
      </x:c>
      <x:c r="U34" s="6" t="n">
        <x:f>S34-M34</x:f>
        <x:v>201289.9700000001</x:v>
      </x:c>
      <x:c r="V34" s="6" t="n">
        <x:f>F34-G34</x:f>
        <x:v>31754.53999999992</x:v>
      </x:c>
      <x:c r="W34" s="8" t="n">
        <x:f>IFERROR(V34/G34,0)</x:f>
        <x:v>0.04732656125217316</x:v>
      </x:c>
      <x:c r="X34" s="8" t="n">
        <x:f>IFERROR(T34/F34,0)</x:f>
        <x:v>0.2850951536818803</x:v>
      </x:c>
      <x:c r="Y34" s="8" t="n">
        <x:f>IFERROR(T34/O34,0)</x:f>
        <x:v>0.20363939548705734</x:v>
      </x:c>
    </x:row>
    <x:row r="35">
      <x:c r="A35" t="str">
        <x:v>2024-03-01</x:v>
      </x:c>
      <x:c r="B35" t="n">
        <x:v>2024</x:v>
      </x:c>
      <x:c r="C35" t="str">
        <x:v>Q1</x:v>
      </x:c>
      <x:c r="D35" t="str">
        <x:v>Services</x:v>
      </x:c>
      <x:c r="E35" t="str">
        <x:v>East</x:v>
      </x:c>
      <x:c r="F35" s="6" t="n">
        <x:v>545910.65</x:v>
      </x:c>
      <x:c r="G35" s="6" t="n">
        <x:v>525620.26</x:v>
      </x:c>
      <x:c r="H35" s="6" t="n">
        <x:v>540655.53</x:v>
      </x:c>
      <x:c r="I35" s="6" t="n">
        <x:v>235880.1</x:v>
      </x:c>
      <x:c r="J35" s="6" t="n">
        <x:v>220760.51</x:v>
      </x:c>
      <x:c r="K35" s="6" t="n">
        <x:v>228156.64</x:v>
      </x:c>
      <x:c r="L35" s="6" t="n">
        <x:v>176580.73</x:v>
      </x:c>
      <x:c r="M35" s="6" t="n">
        <x:v>162942.28</x:v>
      </x:c>
      <x:c r="N35" s="6" t="n">
        <x:v>169765.84</x:v>
      </x:c>
      <x:c r="O35" s="6" t="n">
        <x:v>873457.04</x:v>
      </x:c>
      <x:c r="P35" s="6" t="n">
        <x:v>100522.7</x:v>
      </x:c>
      <x:c r="Q35" s="6" t="n">
        <x:v>51</x:v>
      </x:c>
      <x:c r="R35" s="6" t="n">
        <x:f>F35-I35</x:f>
        <x:v>310030.55000000005</x:v>
      </x:c>
      <x:c r="S35" s="6" t="n">
        <x:f>G35-J35</x:f>
        <x:v>304859.75</x:v>
      </x:c>
      <x:c r="T35" s="6" t="n">
        <x:f>R35-L35</x:f>
        <x:v>133449.82000000004</x:v>
      </x:c>
      <x:c r="U35" s="6" t="n">
        <x:f>S35-M35</x:f>
        <x:v>141917.47</x:v>
      </x:c>
      <x:c r="V35" s="6" t="n">
        <x:f>F35-G35</x:f>
        <x:v>20290.390000000014</x:v>
      </x:c>
      <x:c r="W35" s="8" t="n">
        <x:f>IFERROR(V35/G35,0)</x:f>
        <x:v>0.03860275477204782</x:v>
      </x:c>
      <x:c r="X35" s="8" t="n">
        <x:f>IFERROR(T35/F35,0)</x:f>
        <x:v>0.24445359327574948</x:v>
      </x:c>
      <x:c r="Y35" s="8" t="n">
        <x:f>IFERROR(T35/O35,0)</x:f>
        <x:v>0.15278349579734343</x:v>
      </x:c>
    </x:row>
    <x:row r="36">
      <x:c r="A36" t="str">
        <x:v>2024-03-01</x:v>
      </x:c>
      <x:c r="B36" t="n">
        <x:v>2024</x:v>
      </x:c>
      <x:c r="C36" t="str">
        <x:v>Q1</x:v>
      </x:c>
      <x:c r="D36" t="str">
        <x:v>Services</x:v>
      </x:c>
      <x:c r="E36" t="str">
        <x:v>Central</x:v>
      </x:c>
      <x:c r="F36" s="6" t="n">
        <x:v>452463.16</x:v>
      </x:c>
      <x:c r="G36" s="6" t="n">
        <x:v>463411.38</x:v>
      </x:c>
      <x:c r="H36" s="6" t="n">
        <x:v>464823.31</x:v>
      </x:c>
      <x:c r="I36" s="6" t="n">
        <x:v>185294.76</x:v>
      </x:c>
      <x:c r="J36" s="6" t="n">
        <x:v>194632.78</x:v>
      </x:c>
      <x:c r="K36" s="6" t="n">
        <x:v>196155.44</x:v>
      </x:c>
      <x:c r="L36" s="6" t="n">
        <x:v>139978.16</x:v>
      </x:c>
      <x:c r="M36" s="6" t="n">
        <x:v>143657.53</x:v>
      </x:c>
      <x:c r="N36" s="6" t="n">
        <x:v>145954.52</x:v>
      </x:c>
      <x:c r="O36" s="6" t="n">
        <x:v>723941.06</x:v>
      </x:c>
      <x:c r="P36" s="6" t="n">
        <x:v>116641.31</x:v>
      </x:c>
      <x:c r="Q36" s="6" t="n">
        <x:v>45</x:v>
      </x:c>
      <x:c r="R36" s="6" t="n">
        <x:f>F36-I36</x:f>
        <x:v>267168.39999999997</x:v>
      </x:c>
      <x:c r="S36" s="6" t="n">
        <x:f>G36-J36</x:f>
        <x:v>268778.6</x:v>
      </x:c>
      <x:c r="T36" s="6" t="n">
        <x:f>R36-L36</x:f>
        <x:v>127190.23999999996</x:v>
      </x:c>
      <x:c r="U36" s="6" t="n">
        <x:f>S36-M36</x:f>
        <x:v>125121.06999999998</x:v>
      </x:c>
      <x:c r="V36" s="6" t="n">
        <x:f>F36-G36</x:f>
        <x:v>-10948.22000000003</x:v>
      </x:c>
      <x:c r="W36" s="8" t="n">
        <x:f>IFERROR(V36/G36,0)</x:f>
        <x:v>-0.023625272214937904</x:v>
      </x:c>
      <x:c r="X36" s="8" t="n">
        <x:f>IFERROR(T36/F36,0)</x:f>
        <x:v>0.28110628940486554</x:v>
      </x:c>
      <x:c r="Y36" s="8" t="n">
        <x:f>IFERROR(T36/O36,0)</x:f>
        <x:v>0.175691429907291</x:v>
      </x:c>
    </x:row>
    <x:row r="37">
      <x:c r="A37" t="str">
        <x:v>2024-03-01</x:v>
      </x:c>
      <x:c r="B37" t="n">
        <x:v>2024</x:v>
      </x:c>
      <x:c r="C37" t="str">
        <x:v>Q1</x:v>
      </x:c>
      <x:c r="D37" t="str">
        <x:v>Services</x:v>
      </x:c>
      <x:c r="E37" t="str">
        <x:v>West</x:v>
      </x:c>
      <x:c r="F37" s="6" t="n">
        <x:v>511150.52</x:v>
      </x:c>
      <x:c r="G37" s="6" t="n">
        <x:v>494626.5</x:v>
      </x:c>
      <x:c r="H37" s="6" t="n">
        <x:v>497334.77</x:v>
      </x:c>
      <x:c r="I37" s="6" t="n">
        <x:v>214171.14</x:v>
      </x:c>
      <x:c r="J37" s="6" t="n">
        <x:v>207743.13</x:v>
      </x:c>
      <x:c r="K37" s="6" t="n">
        <x:v>209875.27</x:v>
      </x:c>
      <x:c r="L37" s="6" t="n">
        <x:v>167002.86</x:v>
      </x:c>
      <x:c r="M37" s="6" t="n">
        <x:v>153334.22</x:v>
      </x:c>
      <x:c r="N37" s="6" t="n">
        <x:v>156163.12</x:v>
      </x:c>
      <x:c r="O37" s="6" t="n">
        <x:v>817840.83</x:v>
      </x:c>
      <x:c r="P37" s="6" t="n">
        <x:v>119459.41</x:v>
      </x:c>
      <x:c r="Q37" s="6" t="n">
        <x:v>49</x:v>
      </x:c>
      <x:c r="R37" s="6" t="n">
        <x:f>F37-I37</x:f>
        <x:v>296979.38</x:v>
      </x:c>
      <x:c r="S37" s="6" t="n">
        <x:f>G37-J37</x:f>
        <x:v>286883.37</x:v>
      </x:c>
      <x:c r="T37" s="6" t="n">
        <x:f>R37-L37</x:f>
        <x:v>129976.52000000002</x:v>
      </x:c>
      <x:c r="U37" s="6" t="n">
        <x:f>S37-M37</x:f>
        <x:v>133549.15</x:v>
      </x:c>
      <x:c r="V37" s="6" t="n">
        <x:f>F37-G37</x:f>
        <x:v>16524.02000000002</x:v>
      </x:c>
      <x:c r="W37" s="8" t="n">
        <x:f>IFERROR(V37/G37,0)</x:f>
        <x:v>0.03340706573545901</x:v>
      </x:c>
      <x:c r="X37" s="8" t="n">
        <x:f>IFERROR(T37/F37,0)</x:f>
        <x:v>0.2542822806871057</x:v>
      </x:c>
      <x:c r="Y37" s="8" t="n">
        <x:f>IFERROR(T37/O37,0)</x:f>
        <x:v>0.15892642581808983</x:v>
      </x:c>
    </x:row>
    <x:row r="38">
      <x:c r="A38" t="str">
        <x:v>2024-04-01</x:v>
      </x:c>
      <x:c r="B38" t="n">
        <x:v>2024</x:v>
      </x:c>
      <x:c r="C38" t="str">
        <x:v>Q2</x:v>
      </x:c>
      <x:c r="D38" t="str">
        <x:v>Enterprise</x:v>
      </x:c>
      <x:c r="E38" t="str">
        <x:v>East</x:v>
      </x:c>
      <x:c r="F38" s="6" t="n">
        <x:v>1734148.18</x:v>
      </x:c>
      <x:c r="G38" s="6" t="n">
        <x:v>1688818.88</x:v>
      </x:c>
      <x:c r="H38" s="6" t="n">
        <x:v>1675250.67</x:v>
      </x:c>
      <x:c r="I38" s="6" t="n">
        <x:v>824959.27</x:v>
      </x:c>
      <x:c r="J38" s="6" t="n">
        <x:v>810633.06</x:v>
      </x:c>
      <x:c r="K38" s="6" t="n">
        <x:v>807470.82</x:v>
      </x:c>
      <x:c r="L38" s="6" t="n">
        <x:v>497806.8</x:v>
      </x:c>
      <x:c r="M38" s="6" t="n">
        <x:v>455981.1</x:v>
      </x:c>
      <x:c r="N38" s="6" t="n">
        <x:v>459018.68</x:v>
      </x:c>
      <x:c r="O38" s="6" t="n">
        <x:v>3641711.18</x:v>
      </x:c>
      <x:c r="P38" s="6" t="n">
        <x:v>343848.01</x:v>
      </x:c>
      <x:c r="Q38" s="6" t="n">
        <x:v>109</x:v>
      </x:c>
      <x:c r="R38" s="6" t="n">
        <x:f>F38-I38</x:f>
        <x:v>909188.9099999999</x:v>
      </x:c>
      <x:c r="S38" s="6" t="n">
        <x:f>G38-J38</x:f>
        <x:v>878185.8199999998</x:v>
      </x:c>
      <x:c r="T38" s="6" t="n">
        <x:f>R38-L38</x:f>
        <x:v>411382.1099999999</x:v>
      </x:c>
      <x:c r="U38" s="6" t="n">
        <x:f>S38-M38</x:f>
        <x:v>422204.71999999986</x:v>
      </x:c>
      <x:c r="V38" s="6" t="n">
        <x:f>F38-G38</x:f>
        <x:v>45329.30000000005</x:v>
      </x:c>
      <x:c r="W38" s="8" t="n">
        <x:f>IFERROR(V38/G38,0)</x:f>
        <x:v>0.026840829728289186</x:v>
      </x:c>
      <x:c r="X38" s="8" t="n">
        <x:f>IFERROR(T38/F38,0)</x:f>
        <x:v>0.23722431263053884</x:v>
      </x:c>
      <x:c r="Y38" s="8" t="n">
        <x:f>IFERROR(T38/O38,0)</x:f>
        <x:v>0.11296395833345574</x:v>
      </x:c>
    </x:row>
    <x:row r="39">
      <x:c r="A39" t="str">
        <x:v>2024-04-01</x:v>
      </x:c>
      <x:c r="B39" t="n">
        <x:v>2024</x:v>
      </x:c>
      <x:c r="C39" t="str">
        <x:v>Q2</x:v>
      </x:c>
      <x:c r="D39" t="str">
        <x:v>Enterprise</x:v>
      </x:c>
      <x:c r="E39" t="str">
        <x:v>Central</x:v>
      </x:c>
      <x:c r="F39" s="6" t="n">
        <x:v>1556312.86</x:v>
      </x:c>
      <x:c r="G39" s="6" t="n">
        <x:v>1511280.39</x:v>
      </x:c>
      <x:c r="H39" s="6" t="n">
        <x:v>1492498.86</x:v>
      </x:c>
      <x:c r="I39" s="6" t="n">
        <x:v>751992.66</x:v>
      </x:c>
      <x:c r="J39" s="6" t="n">
        <x:v>725414.59</x:v>
      </x:c>
      <x:c r="K39" s="6" t="n">
        <x:v>719384.45</x:v>
      </x:c>
      <x:c r="L39" s="6" t="n">
        <x:v>425006.49</x:v>
      </x:c>
      <x:c r="M39" s="6" t="n">
        <x:v>408045.71</x:v>
      </x:c>
      <x:c r="N39" s="6" t="n">
        <x:v>408944.69</x:v>
      </x:c>
      <x:c r="O39" s="6" t="n">
        <x:v>3268257</x:v>
      </x:c>
      <x:c r="P39" s="6" t="n">
        <x:v>337795.54</x:v>
      </x:c>
      <x:c r="Q39" s="6" t="n">
        <x:v>97</x:v>
      </x:c>
      <x:c r="R39" s="6" t="n">
        <x:f>F39-I39</x:f>
        <x:v>804320.2000000001</x:v>
      </x:c>
      <x:c r="S39" s="6" t="n">
        <x:f>G39-J39</x:f>
        <x:v>785865.7999999999</x:v>
      </x:c>
      <x:c r="T39" s="6" t="n">
        <x:f>R39-L39</x:f>
        <x:v>379313.7100000001</x:v>
      </x:c>
      <x:c r="U39" s="6" t="n">
        <x:f>S39-M39</x:f>
        <x:v>377820.0899999999</x:v>
      </x:c>
      <x:c r="V39" s="6" t="n">
        <x:f>F39-G39</x:f>
        <x:v>45032.470000000205</x:v>
      </x:c>
      <x:c r="W39" s="8" t="n">
        <x:f>IFERROR(V39/G39,0)</x:f>
        <x:v>0.029797561258635936</x:v>
      </x:c>
      <x:c r="X39" s="8" t="n">
        <x:f>IFERROR(T39/F39,0)</x:f>
        <x:v>0.24372587270145674</x:v>
      </x:c>
      <x:c r="Y39" s="8" t="n">
        <x:f>IFERROR(T39/O39,0)</x:f>
        <x:v>0.11605993959471365</x:v>
      </x:c>
    </x:row>
    <x:row r="40">
      <x:c r="A40" t="str">
        <x:v>2024-04-01</x:v>
      </x:c>
      <x:c r="B40" t="n">
        <x:v>2024</x:v>
      </x:c>
      <x:c r="C40" t="str">
        <x:v>Q2</x:v>
      </x:c>
      <x:c r="D40" t="str">
        <x:v>Enterprise</x:v>
      </x:c>
      <x:c r="E40" t="str">
        <x:v>West</x:v>
      </x:c>
      <x:c r="F40" s="6" t="n">
        <x:v>1687087.93</x:v>
      </x:c>
      <x:c r="G40" s="6" t="n">
        <x:v>1605102.67</x:v>
      </x:c>
      <x:c r="H40" s="6" t="n">
        <x:v>1586812.55</x:v>
      </x:c>
      <x:c r="I40" s="6" t="n">
        <x:v>797708.23</x:v>
      </x:c>
      <x:c r="J40" s="6" t="n">
        <x:v>770449.28</x:v>
      </x:c>
      <x:c r="K40" s="6" t="n">
        <x:v>764843.65</x:v>
      </x:c>
      <x:c r="L40" s="6" t="n">
        <x:v>465384.98</x:v>
      </x:c>
      <x:c r="M40" s="6" t="n">
        <x:v>433377.72</x:v>
      </x:c>
      <x:c r="N40" s="6" t="n">
        <x:v>434786.64</x:v>
      </x:c>
      <x:c r="O40" s="6" t="n">
        <x:v>3542884.65</x:v>
      </x:c>
      <x:c r="P40" s="6" t="n">
        <x:v>362533.51</x:v>
      </x:c>
      <x:c r="Q40" s="6" t="n">
        <x:v>105</x:v>
      </x:c>
      <x:c r="R40" s="6" t="n">
        <x:f>F40-I40</x:f>
        <x:v>889379.7</x:v>
      </x:c>
      <x:c r="S40" s="6" t="n">
        <x:f>G40-J40</x:f>
        <x:v>834653.3899999999</x:v>
      </x:c>
      <x:c r="T40" s="6" t="n">
        <x:f>R40-L40</x:f>
        <x:v>423994.72</x:v>
      </x:c>
      <x:c r="U40" s="6" t="n">
        <x:f>S40-M40</x:f>
        <x:v>401275.6699999999</x:v>
      </x:c>
      <x:c r="V40" s="6" t="n">
        <x:f>F40-G40</x:f>
        <x:v>81985.26000000001</x:v>
      </x:c>
      <x:c r="W40" s="8" t="n">
        <x:f>IFERROR(V40/G40,0)</x:f>
        <x:v>0.051077891484661235</x:v>
      </x:c>
      <x:c r="X40" s="8" t="n">
        <x:f>IFERROR(T40/F40,0)</x:f>
        <x:v>0.2513174994974921</x:v>
      </x:c>
      <x:c r="Y40" s="8" t="n">
        <x:f>IFERROR(T40/O40,0)</x:f>
        <x:v>0.11967499986204744</x:v>
      </x:c>
    </x:row>
    <x:row r="41">
      <x:c r="A41" t="str">
        <x:v>2024-04-01</x:v>
      </x:c>
      <x:c r="B41" t="n">
        <x:v>2024</x:v>
      </x:c>
      <x:c r="C41" t="str">
        <x:v>Q2</x:v>
      </x:c>
      <x:c r="D41" t="str">
        <x:v>SMB</x:v>
      </x:c>
      <x:c r="E41" t="str">
        <x:v>East</x:v>
      </x:c>
      <x:c r="F41" s="6" t="n">
        <x:v>934491.9</x:v>
      </x:c>
      <x:c r="G41" s="6" t="n">
        <x:v>966393.86</x:v>
      </x:c>
      <x:c r="H41" s="6" t="n">
        <x:v>990614.52</x:v>
      </x:c>
      <x:c r="I41" s="6" t="n">
        <x:v>499393.97</x:v>
      </x:c>
      <x:c r="J41" s="6" t="n">
        <x:v>521852.68</x:v>
      </x:c>
      <x:c r="K41" s="6" t="n">
        <x:v>536913.07</x:v>
      </x:c>
      <x:c r="L41" s="6" t="n">
        <x:v>276455.95</x:v>
      </x:c>
      <x:c r="M41" s="6" t="n">
        <x:v>280254.22</x:v>
      </x:c>
      <x:c r="N41" s="6" t="n">
        <x:v>291240.67</x:v>
      </x:c>
      <x:c r="O41" s="6" t="n">
        <x:v>1588636.23</x:v>
      </x:c>
      <x:c r="P41" s="6" t="n">
        <x:v>133874.21</x:v>
      </x:c>
      <x:c r="Q41" s="6" t="n">
        <x:v>77</x:v>
      </x:c>
      <x:c r="R41" s="6" t="n">
        <x:f>F41-I41</x:f>
        <x:v>435097.93000000005</x:v>
      </x:c>
      <x:c r="S41" s="6" t="n">
        <x:f>G41-J41</x:f>
        <x:v>444541.18</x:v>
      </x:c>
      <x:c r="T41" s="6" t="n">
        <x:f>R41-L41</x:f>
        <x:v>158641.98000000004</x:v>
      </x:c>
      <x:c r="U41" s="6" t="n">
        <x:f>S41-M41</x:f>
        <x:v>164286.96000000002</x:v>
      </x:c>
      <x:c r="V41" s="6" t="n">
        <x:f>F41-G41</x:f>
        <x:v>-31901.959999999963</x:v>
      </x:c>
      <x:c r="W41" s="8" t="n">
        <x:f>IFERROR(V41/G41,0)</x:f>
        <x:v>-0.033011343842768166</x:v>
      </x:c>
      <x:c r="X41" s="8" t="n">
        <x:f>IFERROR(T41/F41,0)</x:f>
        <x:v>0.1697628197740398</x:v>
      </x:c>
      <x:c r="Y41" s="8" t="n">
        <x:f>IFERROR(T41/O41,0)</x:f>
        <x:v>0.09986048222002342</x:v>
      </x:c>
    </x:row>
    <x:row r="42">
      <x:c r="A42" t="str">
        <x:v>2024-04-01</x:v>
      </x:c>
      <x:c r="B42" t="n">
        <x:v>2024</x:v>
      </x:c>
      <x:c r="C42" t="str">
        <x:v>Q2</x:v>
      </x:c>
      <x:c r="D42" t="str">
        <x:v>SMB</x:v>
      </x:c>
      <x:c r="E42" t="str">
        <x:v>Central</x:v>
      </x:c>
      <x:c r="F42" s="6" t="n">
        <x:v>881596.08</x:v>
      </x:c>
      <x:c r="G42" s="6" t="n">
        <x:v>869967.03</x:v>
      </x:c>
      <x:c r="H42" s="6" t="n">
        <x:v>877383.69</x:v>
      </x:c>
      <x:c r="I42" s="6" t="n">
        <x:v>486907.6</x:v>
      </x:c>
      <x:c r="J42" s="6" t="n">
        <x:v>469782.2</x:v>
      </x:c>
      <x:c r="K42" s="6" t="n">
        <x:v>475541.96</x:v>
      </x:c>
      <x:c r="L42" s="6" t="n">
        <x:v>250485.93</x:v>
      </x:c>
      <x:c r="M42" s="6" t="n">
        <x:v>252290.44</x:v>
      </x:c>
      <x:c r="N42" s="6" t="n">
        <x:v>257950.81</x:v>
      </x:c>
      <x:c r="O42" s="6" t="n">
        <x:v>1498713.33</x:v>
      </x:c>
      <x:c r="P42" s="6" t="n">
        <x:v>124481.17</x:v>
      </x:c>
      <x:c r="Q42" s="6" t="n">
        <x:v>69</x:v>
      </x:c>
      <x:c r="R42" s="6" t="n">
        <x:f>F42-I42</x:f>
        <x:v>394688.48</x:v>
      </x:c>
      <x:c r="S42" s="6" t="n">
        <x:f>G42-J42</x:f>
        <x:v>400184.83</x:v>
      </x:c>
      <x:c r="T42" s="6" t="n">
        <x:f>R42-L42</x:f>
        <x:v>144202.55</x:v>
      </x:c>
      <x:c r="U42" s="6" t="n">
        <x:f>S42-M42</x:f>
        <x:v>147894.39</x:v>
      </x:c>
      <x:c r="V42" s="6" t="n">
        <x:f>F42-G42</x:f>
        <x:v>11629.04999999993</x:v>
      </x:c>
      <x:c r="W42" s="8" t="n">
        <x:f>IFERROR(V42/G42,0)</x:f>
        <x:v>0.013367230709880959</x:v>
      </x:c>
      <x:c r="X42" s="8" t="n">
        <x:f>IFERROR(T42/F42,0)</x:f>
        <x:v>0.16356986296944515</x:v>
      </x:c>
      <x:c r="Y42" s="8" t="n">
        <x:f>IFERROR(T42/O42,0)</x:f>
        <x:v>0.09621756683781546</x:v>
      </x:c>
    </x:row>
    <x:row r="43">
      <x:c r="A43" t="str">
        <x:v>2024-04-01</x:v>
      </x:c>
      <x:c r="B43" t="n">
        <x:v>2024</x:v>
      </x:c>
      <x:c r="C43" t="str">
        <x:v>Q2</x:v>
      </x:c>
      <x:c r="D43" t="str">
        <x:v>SMB</x:v>
      </x:c>
      <x:c r="E43" t="str">
        <x:v>West</x:v>
      </x:c>
      <x:c r="F43" s="6" t="n">
        <x:v>924636.57</x:v>
      </x:c>
      <x:c r="G43" s="6" t="n">
        <x:v>929676.74</x:v>
      </x:c>
      <x:c r="H43" s="6" t="n">
        <x:v>943832.05</x:v>
      </x:c>
      <x:c r="I43" s="6" t="n">
        <x:v>495420.21</x:v>
      </x:c>
      <x:c r="J43" s="6" t="n">
        <x:v>502025.44</x:v>
      </x:c>
      <x:c r="K43" s="6" t="n">
        <x:v>511556.97</x:v>
      </x:c>
      <x:c r="L43" s="6" t="n">
        <x:v>265819.44</x:v>
      </x:c>
      <x:c r="M43" s="6" t="n">
        <x:v>269606.25</x:v>
      </x:c>
      <x:c r="N43" s="6" t="n">
        <x:v>277486.62</x:v>
      </x:c>
      <x:c r="O43" s="6" t="n">
        <x:v>1571882.17</x:v>
      </x:c>
      <x:c r="P43" s="6" t="n">
        <x:v>142216.26</x:v>
      </x:c>
      <x:c r="Q43" s="6" t="n">
        <x:v>74</x:v>
      </x:c>
      <x:c r="R43" s="6" t="n">
        <x:f>F43-I43</x:f>
        <x:v>429216.3599999999</x:v>
      </x:c>
      <x:c r="S43" s="6" t="n">
        <x:f>G43-J43</x:f>
        <x:v>427651.3</x:v>
      </x:c>
      <x:c r="T43" s="6" t="n">
        <x:f>R43-L43</x:f>
        <x:v>163396.91999999993</x:v>
      </x:c>
      <x:c r="U43" s="6" t="n">
        <x:f>S43-M43</x:f>
        <x:v>158045.05</x:v>
      </x:c>
      <x:c r="V43" s="6" t="n">
        <x:f>F43-G43</x:f>
        <x:v>-5040.170000000042</x:v>
      </x:c>
      <x:c r="W43" s="8" t="n">
        <x:f>IFERROR(V43/G43,0)</x:f>
        <x:v>-0.005421422074085711</x:v>
      </x:c>
      <x:c r="X43" s="8" t="n">
        <x:f>IFERROR(T43/F43,0)</x:f>
        <x:v>0.17671474966645537</x:v>
      </x:c>
      <x:c r="Y43" s="8" t="n">
        <x:f>IFERROR(T43/O43,0)</x:f>
        <x:v>0.10394985267884292</x:v>
      </x:c>
    </x:row>
    <x:row r="44">
      <x:c r="A44" t="str">
        <x:v>2024-04-01</x:v>
      </x:c>
      <x:c r="B44" t="n">
        <x:v>2024</x:v>
      </x:c>
      <x:c r="C44" t="str">
        <x:v>Q2</x:v>
      </x:c>
      <x:c r="D44" t="str">
        <x:v>Digital</x:v>
      </x:c>
      <x:c r="E44" t="str">
        <x:v>East</x:v>
      </x:c>
      <x:c r="F44" s="6" t="n">
        <x:v>703319.37</x:v>
      </x:c>
      <x:c r="G44" s="6" t="n">
        <x:v>702737.12</x:v>
      </x:c>
      <x:c r="H44" s="6" t="n">
        <x:v>723770.35</x:v>
      </x:c>
      <x:c r="I44" s="6" t="n">
        <x:v>262970.06</x:v>
      </x:c>
      <x:c r="J44" s="6" t="n">
        <x:v>252985.36</x:v>
      </x:c>
      <x:c r="K44" s="6" t="n">
        <x:v>262004.87</x:v>
      </x:c>
      <x:c r="L44" s="6" t="n">
        <x:v>232234.52</x:v>
      </x:c>
      <x:c r="M44" s="6" t="n">
        <x:v>238930.62</x:v>
      </x:c>
      <x:c r="N44" s="6" t="n">
        <x:v>248977</x:v>
      </x:c>
      <x:c r="O44" s="6" t="n">
        <x:v>984647.12</x:v>
      </x:c>
      <x:c r="P44" s="6" t="n">
        <x:v>158714.76</x:v>
      </x:c>
      <x:c r="Q44" s="6" t="n">
        <x:v>56</x:v>
      </x:c>
      <x:c r="R44" s="6" t="n">
        <x:f>F44-I44</x:f>
        <x:v>440349.31</x:v>
      </x:c>
      <x:c r="S44" s="6" t="n">
        <x:f>G44-J44</x:f>
        <x:v>449751.76</x:v>
      </x:c>
      <x:c r="T44" s="6" t="n">
        <x:f>R44-L44</x:f>
        <x:v>208114.79</x:v>
      </x:c>
      <x:c r="U44" s="6" t="n">
        <x:f>S44-M44</x:f>
        <x:v>210821.14</x:v>
      </x:c>
      <x:c r="V44" s="6" t="n">
        <x:f>F44-G44</x:f>
        <x:v>582.25</x:v>
      </x:c>
      <x:c r="W44" s="8" t="n">
        <x:f>IFERROR(V44/G44,0)</x:f>
        <x:v>0.0008285459575552235</x:v>
      </x:c>
      <x:c r="X44" s="8" t="n">
        <x:f>IFERROR(T44/F44,0)</x:f>
        <x:v>0.29590368028680913</x:v>
      </x:c>
      <x:c r="Y44" s="8" t="n">
        <x:f>IFERROR(T44/O44,0)</x:f>
        <x:v>0.21135977120412439</x:v>
      </x:c>
    </x:row>
    <x:row r="45">
      <x:c r="A45" t="str">
        <x:v>2024-04-01</x:v>
      </x:c>
      <x:c r="B45" t="n">
        <x:v>2024</x:v>
      </x:c>
      <x:c r="C45" t="str">
        <x:v>Q2</x:v>
      </x:c>
      <x:c r="D45" t="str">
        <x:v>Digital</x:v>
      </x:c>
      <x:c r="E45" t="str">
        <x:v>Central</x:v>
      </x:c>
      <x:c r="F45" s="6" t="n">
        <x:v>663381.06</x:v>
      </x:c>
      <x:c r="G45" s="6" t="n">
        <x:v>632800.39</x:v>
      </x:c>
      <x:c r="H45" s="6" t="n">
        <x:v>648391.89</x:v>
      </x:c>
      <x:c r="I45" s="6" t="n">
        <x:v>246022.18</x:v>
      </x:c>
      <x:c r="J45" s="6" t="n">
        <x:v>227808.14</x:v>
      </x:c>
      <x:c r="K45" s="6" t="n">
        <x:v>234717.86</x:v>
      </x:c>
      <x:c r="L45" s="6" t="n">
        <x:v>224943.11</x:v>
      </x:c>
      <x:c r="M45" s="6" t="n">
        <x:v>215152.13</x:v>
      </x:c>
      <x:c r="N45" s="6" t="n">
        <x:v>223046.81</x:v>
      </x:c>
      <x:c r="O45" s="6" t="n">
        <x:v>928733.49</x:v>
      </x:c>
      <x:c r="P45" s="6" t="n">
        <x:v>144609.95</x:v>
      </x:c>
      <x:c r="Q45" s="6" t="n">
        <x:v>50</x:v>
      </x:c>
      <x:c r="R45" s="6" t="n">
        <x:f>F45-I45</x:f>
        <x:v>417358.88000000006</x:v>
      </x:c>
      <x:c r="S45" s="6" t="n">
        <x:f>G45-J45</x:f>
        <x:v>404992.25</x:v>
      </x:c>
      <x:c r="T45" s="6" t="n">
        <x:f>R45-L45</x:f>
        <x:v>192415.77000000008</x:v>
      </x:c>
      <x:c r="U45" s="6" t="n">
        <x:f>S45-M45</x:f>
        <x:v>189840.12</x:v>
      </x:c>
      <x:c r="V45" s="6" t="n">
        <x:f>F45-G45</x:f>
        <x:v>30580.670000000042</x:v>
      </x:c>
      <x:c r="W45" s="8" t="n">
        <x:f>IFERROR(V45/G45,0)</x:f>
        <x:v>0.04832593418597615</x:v>
      </x:c>
      <x:c r="X45" s="8" t="n">
        <x:f>IFERROR(T45/F45,0)</x:f>
        <x:v>0.29005315587394076</x:v>
      </x:c>
      <x:c r="Y45" s="8" t="n">
        <x:f>IFERROR(T45/O45,0)</x:f>
        <x:v>0.20718082428577017</x:v>
      </x:c>
    </x:row>
    <x:row r="46">
      <x:c r="A46" t="str">
        <x:v>2024-04-01</x:v>
      </x:c>
      <x:c r="B46" t="n">
        <x:v>2024</x:v>
      </x:c>
      <x:c r="C46" t="str">
        <x:v>Q2</x:v>
      </x:c>
      <x:c r="D46" t="str">
        <x:v>Digital</x:v>
      </x:c>
      <x:c r="E46" t="str">
        <x:v>West</x:v>
      </x:c>
      <x:c r="F46" s="6" t="n">
        <x:v>709138</x:v>
      </x:c>
      <x:c r="G46" s="6" t="n">
        <x:v>691603.1</x:v>
      </x:c>
      <x:c r="H46" s="6" t="n">
        <x:v>700265.78</x:v>
      </x:c>
      <x:c r="I46" s="6" t="n">
        <x:v>264982.22</x:v>
      </x:c>
      <x:c r="J46" s="6" t="n">
        <x:v>248977.12</x:v>
      </x:c>
      <x:c r="K46" s="6" t="n">
        <x:v>253496.21</x:v>
      </x:c>
      <x:c r="L46" s="6" t="n">
        <x:v>246510.05</x:v>
      </x:c>
      <x:c r="M46" s="6" t="n">
        <x:v>235145.05</x:v>
      </x:c>
      <x:c r="N46" s="6" t="n">
        <x:v>240891.43</x:v>
      </x:c>
      <x:c r="O46" s="6" t="n">
        <x:v>992793.2</x:v>
      </x:c>
      <x:c r="P46" s="6" t="n">
        <x:v>142614.17</x:v>
      </x:c>
      <x:c r="Q46" s="6" t="n">
        <x:v>54</x:v>
      </x:c>
      <x:c r="R46" s="6" t="n">
        <x:f>F46-I46</x:f>
        <x:v>444155.78</x:v>
      </x:c>
      <x:c r="S46" s="6" t="n">
        <x:f>G46-J46</x:f>
        <x:v>442625.98</x:v>
      </x:c>
      <x:c r="T46" s="6" t="n">
        <x:f>R46-L46</x:f>
        <x:v>197645.73000000004</x:v>
      </x:c>
      <x:c r="U46" s="6" t="n">
        <x:f>S46-M46</x:f>
        <x:v>207480.93</x:v>
      </x:c>
      <x:c r="V46" s="6" t="n">
        <x:f>F46-G46</x:f>
        <x:v>17534.900000000023</x:v>
      </x:c>
      <x:c r="W46" s="8" t="n">
        <x:f>IFERROR(V46/G46,0)</x:f>
        <x:v>0.02535399277417933</x:v>
      </x:c>
      <x:c r="X46" s="8" t="n">
        <x:f>IFERROR(T46/F46,0)</x:f>
        <x:v>0.27871264831386844</x:v>
      </x:c>
      <x:c r="Y46" s="8" t="n">
        <x:f>IFERROR(T46/O46,0)</x:f>
        <x:v>0.19908046308133462</x:v>
      </x:c>
    </x:row>
    <x:row r="47">
      <x:c r="A47" t="str">
        <x:v>2024-04-01</x:v>
      </x:c>
      <x:c r="B47" t="n">
        <x:v>2024</x:v>
      </x:c>
      <x:c r="C47" t="str">
        <x:v>Q2</x:v>
      </x:c>
      <x:c r="D47" t="str">
        <x:v>Services</x:v>
      </x:c>
      <x:c r="E47" t="str">
        <x:v>East</x:v>
      </x:c>
      <x:c r="F47" s="6" t="n">
        <x:v>521546.96</x:v>
      </x:c>
      <x:c r="G47" s="6" t="n">
        <x:v>529522.7</x:v>
      </x:c>
      <x:c r="H47" s="6" t="n">
        <x:v>537387.43</x:v>
      </x:c>
      <x:c r="I47" s="6" t="n">
        <x:v>225523.26</x:v>
      </x:c>
      <x:c r="J47" s="6" t="n">
        <x:v>222399.53</x:v>
      </x:c>
      <x:c r="K47" s="6" t="n">
        <x:v>226777.49</x:v>
      </x:c>
      <x:c r="L47" s="6" t="n">
        <x:v>157522.17</x:v>
      </x:c>
      <x:c r="M47" s="6" t="n">
        <x:v>164152.04</x:v>
      </x:c>
      <x:c r="N47" s="6" t="n">
        <x:v>168739.65</x:v>
      </x:c>
      <x:c r="O47" s="6" t="n">
        <x:v>834475.13</x:v>
      </x:c>
      <x:c r="P47" s="6" t="n">
        <x:v>102918.51</x:v>
      </x:c>
      <x:c r="Q47" s="6" t="n">
        <x:v>51</x:v>
      </x:c>
      <x:c r="R47" s="6" t="n">
        <x:f>F47-I47</x:f>
        <x:v>296023.7</x:v>
      </x:c>
      <x:c r="S47" s="6" t="n">
        <x:f>G47-J47</x:f>
        <x:v>307123.1699999999</x:v>
      </x:c>
      <x:c r="T47" s="6" t="n">
        <x:f>R47-L47</x:f>
        <x:v>138501.53</x:v>
      </x:c>
      <x:c r="U47" s="6" t="n">
        <x:f>S47-M47</x:f>
        <x:v>142971.12999999992</x:v>
      </x:c>
      <x:c r="V47" s="6" t="n">
        <x:f>F47-G47</x:f>
        <x:v>-7975.7399999999325</x:v>
      </x:c>
      <x:c r="W47" s="8" t="n">
        <x:f>IFERROR(V47/G47,0)</x:f>
        <x:v>-0.01506213048090277</x:v>
      </x:c>
      <x:c r="X47" s="8" t="n">
        <x:f>IFERROR(T47/F47,0)</x:f>
        <x:v>0.26555907832345527</x:v>
      </x:c>
      <x:c r="Y47" s="8" t="n">
        <x:f>IFERROR(T47/O47,0)</x:f>
        <x:v>0.16597442514554028</x:v>
      </x:c>
    </x:row>
    <x:row r="48">
      <x:c r="A48" t="str">
        <x:v>2024-04-01</x:v>
      </x:c>
      <x:c r="B48" t="n">
        <x:v>2024</x:v>
      </x:c>
      <x:c r="C48" t="str">
        <x:v>Q2</x:v>
      </x:c>
      <x:c r="D48" t="str">
        <x:v>Services</x:v>
      </x:c>
      <x:c r="E48" t="str">
        <x:v>Central</x:v>
      </x:c>
      <x:c r="F48" s="6" t="n">
        <x:v>468835.89</x:v>
      </x:c>
      <x:c r="G48" s="6" t="n">
        <x:v>464045.84</x:v>
      </x:c>
      <x:c r="H48" s="6" t="n">
        <x:v>462772.34</x:v>
      </x:c>
      <x:c r="I48" s="6" t="n">
        <x:v>198657.76</x:v>
      </x:c>
      <x:c r="J48" s="6" t="n">
        <x:v>194899.25</x:v>
      </x:c>
      <x:c r="K48" s="6" t="n">
        <x:v>195289.93</x:v>
      </x:c>
      <x:c r="L48" s="6" t="n">
        <x:v>149806.37</x:v>
      </x:c>
      <x:c r="M48" s="6" t="n">
        <x:v>143854.21</x:v>
      </x:c>
      <x:c r="N48" s="6" t="n">
        <x:v>145310.52</x:v>
      </x:c>
      <x:c r="O48" s="6" t="n">
        <x:v>750137.42</x:v>
      </x:c>
      <x:c r="P48" s="6" t="n">
        <x:v>91569.15</x:v>
      </x:c>
      <x:c r="Q48" s="6" t="n">
        <x:v>45</x:v>
      </x:c>
      <x:c r="R48" s="6" t="n">
        <x:f>F48-I48</x:f>
        <x:v>270178.13</x:v>
      </x:c>
      <x:c r="S48" s="6" t="n">
        <x:f>G48-J48</x:f>
        <x:v>269146.59</x:v>
      </x:c>
      <x:c r="T48" s="6" t="n">
        <x:f>R48-L48</x:f>
        <x:v>120371.76000000001</x:v>
      </x:c>
      <x:c r="U48" s="6" t="n">
        <x:f>S48-M48</x:f>
        <x:v>125292.38000000003</x:v>
      </x:c>
      <x:c r="V48" s="6" t="n">
        <x:f>F48-G48</x:f>
        <x:v>4790.049999999988</x:v>
      </x:c>
      <x:c r="W48" s="8" t="n">
        <x:f>IFERROR(V48/G48,0)</x:f>
        <x:v>0.010322363842330724</x:v>
      </x:c>
      <x:c r="X48" s="8" t="n">
        <x:f>IFERROR(T48/F48,0)</x:f>
        <x:v>0.2567460439088825</x:v>
      </x:c>
      <x:c r="Y48" s="8" t="n">
        <x:f>IFERROR(T48/O48,0)</x:f>
        <x:v>0.16046627829871493</x:v>
      </x:c>
    </x:row>
    <x:row r="49">
      <x:c r="A49" t="str">
        <x:v>2024-04-01</x:v>
      </x:c>
      <x:c r="B49" t="n">
        <x:v>2024</x:v>
      </x:c>
      <x:c r="C49" t="str">
        <x:v>Q2</x:v>
      </x:c>
      <x:c r="D49" t="str">
        <x:v>Services</x:v>
      </x:c>
      <x:c r="E49" t="str">
        <x:v>West</x:v>
      </x:c>
      <x:c r="F49" s="6" t="n">
        <x:v>497159.2</x:v>
      </x:c>
      <x:c r="G49" s="6" t="n">
        <x:v>506582.45</x:v>
      </x:c>
      <x:c r="H49" s="6" t="n">
        <x:v>510120.38</x:v>
      </x:c>
      <x:c r="I49" s="6" t="n">
        <x:v>214543.46</x:v>
      </x:c>
      <x:c r="J49" s="6" t="n">
        <x:v>212764.63</x:v>
      </x:c>
      <x:c r="K49" s="6" t="n">
        <x:v>215270.8</x:v>
      </x:c>
      <x:c r="L49" s="6" t="n">
        <x:v>160772.89</x:v>
      </x:c>
      <x:c r="M49" s="6" t="n">
        <x:v>157040.56</x:v>
      </x:c>
      <x:c r="N49" s="6" t="n">
        <x:v>160177.8</x:v>
      </x:c>
      <x:c r="O49" s="6" t="n">
        <x:v>795454.71</x:v>
      </x:c>
      <x:c r="P49" s="6" t="n">
        <x:v>89976.03</x:v>
      </x:c>
      <x:c r="Q49" s="6" t="n">
        <x:v>49</x:v>
      </x:c>
      <x:c r="R49" s="6" t="n">
        <x:f>F49-I49</x:f>
        <x:v>282615.74</x:v>
      </x:c>
      <x:c r="S49" s="6" t="n">
        <x:f>G49-J49</x:f>
        <x:v>293817.82</x:v>
      </x:c>
      <x:c r="T49" s="6" t="n">
        <x:f>R49-L49</x:f>
        <x:v>121842.84999999998</x:v>
      </x:c>
      <x:c r="U49" s="6" t="n">
        <x:f>S49-M49</x:f>
        <x:v>136777.26</x:v>
      </x:c>
      <x:c r="V49" s="6" t="n">
        <x:f>F49-G49</x:f>
        <x:v>-9423.25</x:v>
      </x:c>
      <x:c r="W49" s="8" t="n">
        <x:f>IFERROR(V49/G49,0)</x:f>
        <x:v>-0.018601611642882616</x:v>
      </x:c>
      <x:c r="X49" s="8" t="n">
        <x:f>IFERROR(T49/F49,0)</x:f>
        <x:v>0.2450781359371404</x:v>
      </x:c>
      <x:c r="Y49" s="8" t="n">
        <x:f>IFERROR(T49/O49,0)</x:f>
        <x:v>0.1531738368863263</x:v>
      </x:c>
    </x:row>
    <x:row r="50">
      <x:c r="A50" t="str">
        <x:v>2024-05-01</x:v>
      </x:c>
      <x:c r="B50" t="n">
        <x:v>2024</x:v>
      </x:c>
      <x:c r="C50" t="str">
        <x:v>Q2</x:v>
      </x:c>
      <x:c r="D50" t="str">
        <x:v>Enterprise</x:v>
      </x:c>
      <x:c r="E50" t="str">
        <x:v>East</x:v>
      </x:c>
      <x:c r="F50" s="6" t="n">
        <x:v>1652903.95</x:v>
      </x:c>
      <x:c r="G50" s="6" t="n">
        <x:v>1682057.33</x:v>
      </x:c>
      <x:c r="H50" s="6" t="n">
        <x:v>1657094.85</x:v>
      </x:c>
      <x:c r="I50" s="6" t="n">
        <x:v>806698.28</x:v>
      </x:c>
      <x:c r="J50" s="6" t="n">
        <x:v>807387.52</x:v>
      </x:c>
      <x:c r="K50" s="6" t="n">
        <x:v>798719.72</x:v>
      </x:c>
      <x:c r="L50" s="6" t="n">
        <x:v>458041.83</x:v>
      </x:c>
      <x:c r="M50" s="6" t="n">
        <x:v>454155.48</x:v>
      </x:c>
      <x:c r="N50" s="6" t="n">
        <x:v>454043.99</x:v>
      </x:c>
      <x:c r="O50" s="6" t="n">
        <x:v>3471098.29</x:v>
      </x:c>
      <x:c r="P50" s="6" t="n">
        <x:v>299814.27</x:v>
      </x:c>
      <x:c r="Q50" s="6" t="n">
        <x:v>109</x:v>
      </x:c>
      <x:c r="R50" s="6" t="n">
        <x:f>F50-I50</x:f>
        <x:v>846205.6699999999</x:v>
      </x:c>
      <x:c r="S50" s="6" t="n">
        <x:f>G50-J50</x:f>
        <x:v>874669.81</x:v>
      </x:c>
      <x:c r="T50" s="6" t="n">
        <x:f>R50-L50</x:f>
        <x:v>388163.8399999999</x:v>
      </x:c>
      <x:c r="U50" s="6" t="n">
        <x:f>S50-M50</x:f>
        <x:v>420514.3300000001</x:v>
      </x:c>
      <x:c r="V50" s="6" t="n">
        <x:f>F50-G50</x:f>
        <x:v>-29153.38000000012</x:v>
      </x:c>
      <x:c r="W50" s="8" t="n">
        <x:f>IFERROR(V50/G50,0)</x:f>
        <x:v>-0.01733197762052505</x:v>
      </x:c>
      <x:c r="X50" s="8" t="n">
        <x:f>IFERROR(T50/F50,0)</x:f>
        <x:v>0.2348375052282983</x:v>
      </x:c>
      <x:c r="Y50" s="8" t="n">
        <x:f>IFERROR(T50/O50,0)</x:f>
        <x:v>0.11182738360313038</x:v>
      </x:c>
    </x:row>
    <x:row r="51">
      <x:c r="A51" t="str">
        <x:v>2024-05-01</x:v>
      </x:c>
      <x:c r="B51" t="n">
        <x:v>2024</x:v>
      </x:c>
      <x:c r="C51" t="str">
        <x:v>Q2</x:v>
      </x:c>
      <x:c r="D51" t="str">
        <x:v>Enterprise</x:v>
      </x:c>
      <x:c r="E51" t="str">
        <x:v>Central</x:v>
      </x:c>
      <x:c r="F51" s="6" t="n">
        <x:v>1535682.64</x:v>
      </x:c>
      <x:c r="G51" s="6" t="n">
        <x:v>1520224.93</x:v>
      </x:c>
      <x:c r="H51" s="6" t="n">
        <x:v>1526679.67</x:v>
      </x:c>
      <x:c r="I51" s="6" t="n">
        <x:v>719085.56</x:v>
      </x:c>
      <x:c r="J51" s="6" t="n">
        <x:v>729707.96</x:v>
      </x:c>
      <x:c r="K51" s="6" t="n">
        <x:v>735859.6</x:v>
      </x:c>
      <x:c r="L51" s="6" t="n">
        <x:v>399672.64</x:v>
      </x:c>
      <x:c r="M51" s="6" t="n">
        <x:v>410460.73</x:v>
      </x:c>
      <x:c r="N51" s="6" t="n">
        <x:v>418310.23</x:v>
      </x:c>
      <x:c r="O51" s="6" t="n">
        <x:v>3224933.54</x:v>
      </x:c>
      <x:c r="P51" s="6" t="n">
        <x:v>373823.32</x:v>
      </x:c>
      <x:c r="Q51" s="6" t="n">
        <x:v>98</x:v>
      </x:c>
      <x:c r="R51" s="6" t="n">
        <x:f>F51-I51</x:f>
        <x:v>816597.0799999998</x:v>
      </x:c>
      <x:c r="S51" s="6" t="n">
        <x:f>G51-J51</x:f>
        <x:v>790516.97</x:v>
      </x:c>
      <x:c r="T51" s="6" t="n">
        <x:f>R51-L51</x:f>
        <x:v>416924.4399999998</x:v>
      </x:c>
      <x:c r="U51" s="6" t="n">
        <x:f>S51-M51</x:f>
        <x:v>380056.24</x:v>
      </x:c>
      <x:c r="V51" s="6" t="n">
        <x:f>F51-G51</x:f>
        <x:v>15457.709999999963</x:v>
      </x:c>
      <x:c r="W51" s="8" t="n">
        <x:f>IFERROR(V51/G51,0)</x:f>
        <x:v>0.01016804138319187</x:v>
      </x:c>
      <x:c r="X51" s="8" t="n">
        <x:f>IFERROR(T51/F51,0)</x:f>
        <x:v>0.271491276348608</x:v>
      </x:c>
      <x:c r="Y51" s="8" t="n">
        <x:f>IFERROR(T51/O51,0)</x:f>
        <x:v>0.12928156032635632</x:v>
      </x:c>
    </x:row>
    <x:row r="52">
      <x:c r="A52" t="str">
        <x:v>2024-05-01</x:v>
      </x:c>
      <x:c r="B52" t="n">
        <x:v>2024</x:v>
      </x:c>
      <x:c r="C52" t="str">
        <x:v>Q2</x:v>
      </x:c>
      <x:c r="D52" t="str">
        <x:v>Enterprise</x:v>
      </x:c>
      <x:c r="E52" t="str">
        <x:v>West</x:v>
      </x:c>
      <x:c r="F52" s="6" t="n">
        <x:v>1657038.25</x:v>
      </x:c>
      <x:c r="G52" s="6" t="n">
        <x:v>1641348.55</x:v>
      </x:c>
      <x:c r="H52" s="6" t="n">
        <x:v>1678372.09</x:v>
      </x:c>
      <x:c r="I52" s="6" t="n">
        <x:v>800590.16</x:v>
      </x:c>
      <x:c r="J52" s="6" t="n">
        <x:v>787847.31</x:v>
      </x:c>
      <x:c r="K52" s="6" t="n">
        <x:v>808975.35</x:v>
      </x:c>
      <x:c r="L52" s="6" t="n">
        <x:v>434877.78</x:v>
      </x:c>
      <x:c r="M52" s="6" t="n">
        <x:v>443164.11</x:v>
      </x:c>
      <x:c r="N52" s="6" t="n">
        <x:v>459873.95</x:v>
      </x:c>
      <x:c r="O52" s="6" t="n">
        <x:v>3479780.33</x:v>
      </x:c>
      <x:c r="P52" s="6" t="n">
        <x:v>314276.07</x:v>
      </x:c>
      <x:c r="Q52" s="6" t="n">
        <x:v>105</x:v>
      </x:c>
      <x:c r="R52" s="6" t="n">
        <x:f>F52-I52</x:f>
        <x:v>856448.09</x:v>
      </x:c>
      <x:c r="S52" s="6" t="n">
        <x:f>G52-J52</x:f>
        <x:v>853501.24</x:v>
      </x:c>
      <x:c r="T52" s="6" t="n">
        <x:f>R52-L52</x:f>
        <x:v>421570.30999999994</x:v>
      </x:c>
      <x:c r="U52" s="6" t="n">
        <x:f>S52-M52</x:f>
        <x:v>410337.13</x:v>
      </x:c>
      <x:c r="V52" s="6" t="n">
        <x:f>F52-G52</x:f>
        <x:v>15689.699999999953</x:v>
      </x:c>
      <x:c r="W52" s="8" t="n">
        <x:f>IFERROR(V52/G52,0)</x:f>
        <x:v>0.009559029981779283</x:v>
      </x:c>
      <x:c r="X52" s="8" t="n">
        <x:f>IFERROR(T52/F52,0)</x:f>
        <x:v>0.25441193647762805</x:v>
      </x:c>
      <x:c r="Y52" s="8" t="n">
        <x:f>IFERROR(T52/O52,0)</x:f>
        <x:v>0.12114854100574789</x:v>
      </x:c>
    </x:row>
    <x:row r="53">
      <x:c r="A53" t="str">
        <x:v>2024-05-01</x:v>
      </x:c>
      <x:c r="B53" t="n">
        <x:v>2024</x:v>
      </x:c>
      <x:c r="C53" t="str">
        <x:v>Q2</x:v>
      </x:c>
      <x:c r="D53" t="str">
        <x:v>SMB</x:v>
      </x:c>
      <x:c r="E53" t="str">
        <x:v>East</x:v>
      </x:c>
      <x:c r="F53" s="6" t="n">
        <x:v>1011968.67</x:v>
      </x:c>
      <x:c r="G53" s="6" t="n">
        <x:v>968485.46</x:v>
      </x:c>
      <x:c r="H53" s="6" t="n">
        <x:v>988654.66</x:v>
      </x:c>
      <x:c r="I53" s="6" t="n">
        <x:v>556965.56</x:v>
      </x:c>
      <x:c r="J53" s="6" t="n">
        <x:v>522982.15</x:v>
      </x:c>
      <x:c r="K53" s="6" t="n">
        <x:v>535850.83</x:v>
      </x:c>
      <x:c r="L53" s="6" t="n">
        <x:v>308617.8</x:v>
      </x:c>
      <x:c r="M53" s="6" t="n">
        <x:v>280860.78</x:v>
      </x:c>
      <x:c r="N53" s="6" t="n">
        <x:v>290664.47</x:v>
      </x:c>
      <x:c r="O53" s="6" t="n">
        <x:v>1720346.73</x:v>
      </x:c>
      <x:c r="P53" s="6" t="n">
        <x:v>111547.85</x:v>
      </x:c>
      <x:c r="Q53" s="6" t="n">
        <x:v>77</x:v>
      </x:c>
      <x:c r="R53" s="6" t="n">
        <x:f>F53-I53</x:f>
        <x:v>455003.11</x:v>
      </x:c>
      <x:c r="S53" s="6" t="n">
        <x:f>G53-J53</x:f>
        <x:v>445503.30999999994</x:v>
      </x:c>
      <x:c r="T53" s="6" t="n">
        <x:f>R53-L53</x:f>
        <x:v>146385.31</x:v>
      </x:c>
      <x:c r="U53" s="6" t="n">
        <x:f>S53-M53</x:f>
        <x:v>164642.5299999999</x:v>
      </x:c>
      <x:c r="V53" s="6" t="n">
        <x:f>F53-G53</x:f>
        <x:v>43483.21000000008</x:v>
      </x:c>
      <x:c r="W53" s="8" t="n">
        <x:f>IFERROR(V53/G53,0)</x:f>
        <x:v>0.04489815469196624</x:v>
      </x:c>
      <x:c r="X53" s="8" t="n">
        <x:f>IFERROR(T53/F53,0)</x:f>
        <x:v>0.14465399408066654</x:v>
      </x:c>
      <x:c r="Y53" s="8" t="n">
        <x:f>IFERROR(T53/O53,0)</x:f>
        <x:v>0.08509058519848496</x:v>
      </x:c>
    </x:row>
    <x:row r="54">
      <x:c r="A54" t="str">
        <x:v>2024-05-01</x:v>
      </x:c>
      <x:c r="B54" t="n">
        <x:v>2024</x:v>
      </x:c>
      <x:c r="C54" t="str">
        <x:v>Q2</x:v>
      </x:c>
      <x:c r="D54" t="str">
        <x:v>SMB</x:v>
      </x:c>
      <x:c r="E54" t="str">
        <x:v>Central</x:v>
      </x:c>
      <x:c r="F54" s="6" t="n">
        <x:v>835438.35</x:v>
      </x:c>
      <x:c r="G54" s="6" t="n">
        <x:v>865488.67</x:v>
      </x:c>
      <x:c r="H54" s="6" t="n">
        <x:v>882889.52</x:v>
      </x:c>
      <x:c r="I54" s="6" t="n">
        <x:v>460316.09</x:v>
      </x:c>
      <x:c r="J54" s="6" t="n">
        <x:v>467363.88</x:v>
      </x:c>
      <x:c r="K54" s="6" t="n">
        <x:v>478526.12</x:v>
      </x:c>
      <x:c r="L54" s="6" t="n">
        <x:v>242436.96</x:v>
      </x:c>
      <x:c r="M54" s="6" t="n">
        <x:v>250991.71</x:v>
      </x:c>
      <x:c r="N54" s="6" t="n">
        <x:v>259569.52</x:v>
      </x:c>
      <x:c r="O54" s="6" t="n">
        <x:v>1420245.19</x:v>
      </x:c>
      <x:c r="P54" s="6" t="n">
        <x:v>112003.95</x:v>
      </x:c>
      <x:c r="Q54" s="6" t="n">
        <x:v>69</x:v>
      </x:c>
      <x:c r="R54" s="6" t="n">
        <x:f>F54-I54</x:f>
        <x:v>375122.25999999995</x:v>
      </x:c>
      <x:c r="S54" s="6" t="n">
        <x:f>G54-J54</x:f>
        <x:v>398124.79000000004</x:v>
      </x:c>
      <x:c r="T54" s="6" t="n">
        <x:f>R54-L54</x:f>
        <x:v>132685.29999999996</x:v>
      </x:c>
      <x:c r="U54" s="6" t="n">
        <x:f>S54-M54</x:f>
        <x:v>147133.08000000005</x:v>
      </x:c>
      <x:c r="V54" s="6" t="n">
        <x:f>F54-G54</x:f>
        <x:v>-30050.320000000065</x:v>
      </x:c>
      <x:c r="W54" s="8" t="n">
        <x:f>IFERROR(V54/G54,0)</x:f>
        <x:v>-0.034720639381680254</x:v>
      </x:c>
      <x:c r="X54" s="8" t="n">
        <x:f>IFERROR(T54/F54,0)</x:f>
        <x:v>0.15882117453669678</x:v>
      </x:c>
      <x:c r="Y54" s="8" t="n">
        <x:f>IFERROR(T54/O54,0)</x:f>
        <x:v>0.09342422064460572</x:v>
      </x:c>
    </x:row>
    <x:row r="55">
      <x:c r="A55" t="str">
        <x:v>2024-05-01</x:v>
      </x:c>
      <x:c r="B55" t="n">
        <x:v>2024</x:v>
      </x:c>
      <x:c r="C55" t="str">
        <x:v>Q2</x:v>
      </x:c>
      <x:c r="D55" t="str">
        <x:v>SMB</x:v>
      </x:c>
      <x:c r="E55" t="str">
        <x:v>West</x:v>
      </x:c>
      <x:c r="F55" s="6" t="n">
        <x:v>971768.16</x:v>
      </x:c>
      <x:c r="G55" s="6" t="n">
        <x:v>927270.22</x:v>
      </x:c>
      <x:c r="H55" s="6" t="n">
        <x:v>949438.71</x:v>
      </x:c>
      <x:c r="I55" s="6" t="n">
        <x:v>537758.38</x:v>
      </x:c>
      <x:c r="J55" s="6" t="n">
        <x:v>500725.92</x:v>
      </x:c>
      <x:c r="K55" s="6" t="n">
        <x:v>514595.78</x:v>
      </x:c>
      <x:c r="L55" s="6" t="n">
        <x:v>293788.01</x:v>
      </x:c>
      <x:c r="M55" s="6" t="n">
        <x:v>268908.36</x:v>
      </x:c>
      <x:c r="N55" s="6" t="n">
        <x:v>279134.98</x:v>
      </x:c>
      <x:c r="O55" s="6" t="n">
        <x:v>1652005.87</x:v>
      </x:c>
      <x:c r="P55" s="6" t="n">
        <x:v>125678.42</x:v>
      </x:c>
      <x:c r="Q55" s="6" t="n">
        <x:v>74</x:v>
      </x:c>
      <x:c r="R55" s="6" t="n">
        <x:f>F55-I55</x:f>
        <x:v>434009.78</x:v>
      </x:c>
      <x:c r="S55" s="6" t="n">
        <x:f>G55-J55</x:f>
        <x:v>426544.3</x:v>
      </x:c>
      <x:c r="T55" s="6" t="n">
        <x:f>R55-L55</x:f>
        <x:v>140221.77000000002</x:v>
      </x:c>
      <x:c r="U55" s="6" t="n">
        <x:f>S55-M55</x:f>
        <x:v>157635.94</x:v>
      </x:c>
      <x:c r="V55" s="6" t="n">
        <x:f>F55-G55</x:f>
        <x:v>44497.94000000006</x:v>
      </x:c>
      <x:c r="W55" s="8" t="n">
        <x:f>IFERROR(V55/G55,0)</x:f>
        <x:v>0.04798810426587415</x:v>
      </x:c>
      <x:c r="X55" s="8" t="n">
        <x:f>IFERROR(T55/F55,0)</x:f>
        <x:v>0.1442954973951812</x:v>
      </x:c>
      <x:c r="Y55" s="8" t="n">
        <x:f>IFERROR(T55/O55,0)</x:f>
        <x:v>0.08487970445286615</x:v>
      </x:c>
    </x:row>
    <x:row r="56">
      <x:c r="A56" t="str">
        <x:v>2024-05-01</x:v>
      </x:c>
      <x:c r="B56" t="n">
        <x:v>2024</x:v>
      </x:c>
      <x:c r="C56" t="str">
        <x:v>Q2</x:v>
      </x:c>
      <x:c r="D56" t="str">
        <x:v>Digital</x:v>
      </x:c>
      <x:c r="E56" t="str">
        <x:v>East</x:v>
      </x:c>
      <x:c r="F56" s="6" t="n">
        <x:v>721793.65</x:v>
      </x:c>
      <x:c r="G56" s="6" t="n">
        <x:v>701685.83</x:v>
      </x:c>
      <x:c r="H56" s="6" t="n">
        <x:v>701649.58</x:v>
      </x:c>
      <x:c r="I56" s="6" t="n">
        <x:v>268652.47</x:v>
      </x:c>
      <x:c r="J56" s="6" t="n">
        <x:v>252606.9</x:v>
      </x:c>
      <x:c r="K56" s="6" t="n">
        <x:v>253997.15</x:v>
      </x:c>
      <x:c r="L56" s="6" t="n">
        <x:v>254119.76</x:v>
      </x:c>
      <x:c r="M56" s="6" t="n">
        <x:v>238573.18</x:v>
      </x:c>
      <x:c r="N56" s="6" t="n">
        <x:v>241367.46</x:v>
      </x:c>
      <x:c r="O56" s="6" t="n">
        <x:v>1010511.11</x:v>
      </x:c>
      <x:c r="P56" s="6" t="n">
        <x:v>177688.87</x:v>
      </x:c>
      <x:c r="Q56" s="6" t="n">
        <x:v>56</x:v>
      </x:c>
      <x:c r="R56" s="6" t="n">
        <x:f>F56-I56</x:f>
        <x:v>453141.18000000005</x:v>
      </x:c>
      <x:c r="S56" s="6" t="n">
        <x:f>G56-J56</x:f>
        <x:v>449078.92999999993</x:v>
      </x:c>
      <x:c r="T56" s="6" t="n">
        <x:f>R56-L56</x:f>
        <x:v>199021.42000000004</x:v>
      </x:c>
      <x:c r="U56" s="6" t="n">
        <x:f>S56-M56</x:f>
        <x:v>210505.74999999994</x:v>
      </x:c>
      <x:c r="V56" s="6" t="n">
        <x:f>F56-G56</x:f>
        <x:v>20107.820000000065</x:v>
      </x:c>
      <x:c r="W56" s="8" t="n">
        <x:f>IFERROR(V56/G56,0)</x:f>
        <x:v>0.02865644301239497</x:v>
      </x:c>
      <x:c r="X56" s="8" t="n">
        <x:f>IFERROR(T56/F56,0)</x:f>
        <x:v>0.27573174133632244</x:v>
      </x:c>
      <x:c r="Y56" s="8" t="n">
        <x:f>IFERROR(T56/O56,0)</x:f>
        <x:v>0.19695124381165888</x:v>
      </x:c>
    </x:row>
    <x:row r="57">
      <x:c r="A57" t="str">
        <x:v>2024-05-01</x:v>
      </x:c>
      <x:c r="B57" t="n">
        <x:v>2024</x:v>
      </x:c>
      <x:c r="C57" t="str">
        <x:v>Q2</x:v>
      </x:c>
      <x:c r="D57" t="str">
        <x:v>Digital</x:v>
      </x:c>
      <x:c r="E57" t="str">
        <x:v>Central</x:v>
      </x:c>
      <x:c r="F57" s="6" t="n">
        <x:v>631418.7</x:v>
      </x:c>
      <x:c r="G57" s="6" t="n">
        <x:v>643201.79</x:v>
      </x:c>
      <x:c r="H57" s="6" t="n">
        <x:v>656343.59</x:v>
      </x:c>
      <x:c r="I57" s="6" t="n">
        <x:v>221508.3</x:v>
      </x:c>
      <x:c r="J57" s="6" t="n">
        <x:v>231552.64</x:v>
      </x:c>
      <x:c r="K57" s="6" t="n">
        <x:v>237596.38</x:v>
      </x:c>
      <x:c r="L57" s="6" t="n">
        <x:v>223626.41</x:v>
      </x:c>
      <x:c r="M57" s="6" t="n">
        <x:v>218688.61</x:v>
      </x:c>
      <x:c r="N57" s="6" t="n">
        <x:v>225782.2</x:v>
      </x:c>
      <x:c r="O57" s="6" t="n">
        <x:v>883986.18</x:v>
      </x:c>
      <x:c r="P57" s="6" t="n">
        <x:v>166112.91</x:v>
      </x:c>
      <x:c r="Q57" s="6" t="n">
        <x:v>50</x:v>
      </x:c>
      <x:c r="R57" s="6" t="n">
        <x:f>F57-I57</x:f>
        <x:v>409910.39999999997</x:v>
      </x:c>
      <x:c r="S57" s="6" t="n">
        <x:f>G57-J57</x:f>
        <x:v>411649.15</x:v>
      </x:c>
      <x:c r="T57" s="6" t="n">
        <x:f>R57-L57</x:f>
        <x:v>186283.98999999996</x:v>
      </x:c>
      <x:c r="U57" s="6" t="n">
        <x:f>S57-M57</x:f>
        <x:v>192960.54000000004</x:v>
      </x:c>
      <x:c r="V57" s="6" t="n">
        <x:f>F57-G57</x:f>
        <x:v>-11783.090000000084</x:v>
      </x:c>
      <x:c r="W57" s="8" t="n">
        <x:f>IFERROR(V57/G57,0)</x:f>
        <x:v>-0.01831942973914933</x:v>
      </x:c>
      <x:c r="X57" s="8" t="n">
        <x:f>IFERROR(T57/F57,0)</x:f>
        <x:v>0.2950245059260994</x:v>
      </x:c>
      <x:c r="Y57" s="8" t="n">
        <x:f>IFERROR(T57/O57,0)</x:f>
        <x:v>0.21073178994721384</x:v>
      </x:c>
    </x:row>
    <x:row r="58">
      <x:c r="A58" t="str">
        <x:v>2024-05-01</x:v>
      </x:c>
      <x:c r="B58" t="n">
        <x:v>2024</x:v>
      </x:c>
      <x:c r="C58" t="str">
        <x:v>Q2</x:v>
      </x:c>
      <x:c r="D58" t="str">
        <x:v>Digital</x:v>
      </x:c>
      <x:c r="E58" t="str">
        <x:v>West</x:v>
      </x:c>
      <x:c r="F58" s="6" t="n">
        <x:v>703906.69</x:v>
      </x:c>
      <x:c r="G58" s="6" t="n">
        <x:v>679014.91</x:v>
      </x:c>
      <x:c r="H58" s="6" t="n">
        <x:v>682894.56</x:v>
      </x:c>
      <x:c r="I58" s="6" t="n">
        <x:v>250545</x:v>
      </x:c>
      <x:c r="J58" s="6" t="n">
        <x:v>244445.37</x:v>
      </x:c>
      <x:c r="K58" s="6" t="n">
        <x:v>247207.83</x:v>
      </x:c>
      <x:c r="L58" s="6" t="n">
        <x:v>247676.86</x:v>
      </x:c>
      <x:c r="M58" s="6" t="n">
        <x:v>230865.07</x:v>
      </x:c>
      <x:c r="N58" s="6" t="n">
        <x:v>234915.73</x:v>
      </x:c>
      <x:c r="O58" s="6" t="n">
        <x:v>985469.36</x:v>
      </x:c>
      <x:c r="P58" s="6" t="n">
        <x:v>157455.66</x:v>
      </x:c>
      <x:c r="Q58" s="6" t="n">
        <x:v>54</x:v>
      </x:c>
      <x:c r="R58" s="6" t="n">
        <x:f>F58-I58</x:f>
        <x:v>453361.68999999994</x:v>
      </x:c>
      <x:c r="S58" s="6" t="n">
        <x:f>G58-J58</x:f>
        <x:v>434569.54000000004</x:v>
      </x:c>
      <x:c r="T58" s="6" t="n">
        <x:f>R58-L58</x:f>
        <x:v>205684.82999999996</x:v>
      </x:c>
      <x:c r="U58" s="6" t="n">
        <x:f>S58-M58</x:f>
        <x:v>203704.47000000003</x:v>
      </x:c>
      <x:c r="V58" s="6" t="n">
        <x:f>F58-G58</x:f>
        <x:v>24891.77999999991</x:v>
      </x:c>
      <x:c r="W58" s="8" t="n">
        <x:f>IFERROR(V58/G58,0)</x:f>
        <x:v>0.03665866482961311</x:v>
      </x:c>
      <x:c r="X58" s="8" t="n">
        <x:f>IFERROR(T58/F58,0)</x:f>
        <x:v>0.2922046812767186</x:v>
      </x:c>
      <x:c r="Y58" s="8" t="n">
        <x:f>IFERROR(T58/O58,0)</x:f>
        <x:v>0.20871763075414132</x:v>
      </x:c>
    </x:row>
    <x:row r="59">
      <x:c r="A59" t="str">
        <x:v>2024-05-01</x:v>
      </x:c>
      <x:c r="B59" t="n">
        <x:v>2024</x:v>
      </x:c>
      <x:c r="C59" t="str">
        <x:v>Q2</x:v>
      </x:c>
      <x:c r="D59" t="str">
        <x:v>Services</x:v>
      </x:c>
      <x:c r="E59" t="str">
        <x:v>East</x:v>
      </x:c>
      <x:c r="F59" s="6" t="n">
        <x:v>503733.46</x:v>
      </x:c>
      <x:c r="G59" s="6" t="n">
        <x:v>517014.01</x:v>
      </x:c>
      <x:c r="H59" s="6" t="n">
        <x:v>516896.02</x:v>
      </x:c>
      <x:c r="I59" s="6" t="n">
        <x:v>216843.74</x:v>
      </x:c>
      <x:c r="J59" s="6" t="n">
        <x:v>217145.88</x:v>
      </x:c>
      <x:c r="K59" s="6" t="n">
        <x:v>218130.12</x:v>
      </x:c>
      <x:c r="L59" s="6" t="n">
        <x:v>164724.2</x:v>
      </x:c>
      <x:c r="M59" s="6" t="n">
        <x:v>160274.34</x:v>
      </x:c>
      <x:c r="N59" s="6" t="n">
        <x:v>162305.35</x:v>
      </x:c>
      <x:c r="O59" s="6" t="n">
        <x:v>805973.53</x:v>
      </x:c>
      <x:c r="P59" s="6" t="n">
        <x:v>94779.06</x:v>
      </x:c>
      <x:c r="Q59" s="6" t="n">
        <x:v>51</x:v>
      </x:c>
      <x:c r="R59" s="6" t="n">
        <x:f>F59-I59</x:f>
        <x:v>286889.72000000003</x:v>
      </x:c>
      <x:c r="S59" s="6" t="n">
        <x:f>G59-J59</x:f>
        <x:v>299868.13</x:v>
      </x:c>
      <x:c r="T59" s="6" t="n">
        <x:f>R59-L59</x:f>
        <x:v>122165.52000000002</x:v>
      </x:c>
      <x:c r="U59" s="6" t="n">
        <x:f>S59-M59</x:f>
        <x:v>139593.79</x:v>
      </x:c>
      <x:c r="V59" s="6" t="n">
        <x:f>F59-G59</x:f>
        <x:v>-13280.549999999988</x:v>
      </x:c>
      <x:c r="W59" s="8" t="n">
        <x:f>IFERROR(V59/G59,0)</x:f>
        <x:v>-0.02568702151804356</x:v>
      </x:c>
      <x:c r="X59" s="8" t="n">
        <x:f>IFERROR(T59/F59,0)</x:f>
        <x:v>0.242520161356762</x:v>
      </x:c>
      <x:c r="Y59" s="8" t="n">
        <x:f>IFERROR(T59/O59,0)</x:f>
        <x:v>0.15157510197636392</x:v>
      </x:c>
    </x:row>
    <x:row r="60">
      <x:c r="A60" t="str">
        <x:v>2024-05-01</x:v>
      </x:c>
      <x:c r="B60" t="n">
        <x:v>2024</x:v>
      </x:c>
      <x:c r="C60" t="str">
        <x:v>Q2</x:v>
      </x:c>
      <x:c r="D60" t="str">
        <x:v>Services</x:v>
      </x:c>
      <x:c r="E60" t="str">
        <x:v>Central</x:v>
      </x:c>
      <x:c r="F60" s="6" t="n">
        <x:v>469180.78</x:v>
      </x:c>
      <x:c r="G60" s="6" t="n">
        <x:v>471553.72</x:v>
      </x:c>
      <x:c r="H60" s="6" t="n">
        <x:v>485300.33</x:v>
      </x:c>
      <x:c r="I60" s="6" t="n">
        <x:v>197966.89</x:v>
      </x:c>
      <x:c r="J60" s="6" t="n">
        <x:v>198052.56</x:v>
      </x:c>
      <x:c r="K60" s="6" t="n">
        <x:v>204796.74</x:v>
      </x:c>
      <x:c r="L60" s="6" t="n">
        <x:v>153036.03</x:v>
      </x:c>
      <x:c r="M60" s="6" t="n">
        <x:v>146181.65</x:v>
      </x:c>
      <x:c r="N60" s="6" t="n">
        <x:v>152384.3</x:v>
      </x:c>
      <x:c r="O60" s="6" t="n">
        <x:v>750689.25</x:v>
      </x:c>
      <x:c r="P60" s="6" t="n">
        <x:v>87814.22</x:v>
      </x:c>
      <x:c r="Q60" s="6" t="n">
        <x:v>45</x:v>
      </x:c>
      <x:c r="R60" s="6" t="n">
        <x:f>F60-I60</x:f>
        <x:v>271213.89</x:v>
      </x:c>
      <x:c r="S60" s="6" t="n">
        <x:f>G60-J60</x:f>
        <x:v>273501.16</x:v>
      </x:c>
      <x:c r="T60" s="6" t="n">
        <x:f>R60-L60</x:f>
        <x:v>118177.86000000002</x:v>
      </x:c>
      <x:c r="U60" s="6" t="n">
        <x:f>S60-M60</x:f>
        <x:v>127319.50999999998</x:v>
      </x:c>
      <x:c r="V60" s="6" t="n">
        <x:f>F60-G60</x:f>
        <x:v>-2372.939999999944</x:v>
      </x:c>
      <x:c r="W60" s="8" t="n">
        <x:f>IFERROR(V60/G60,0)</x:f>
        <x:v>-0.005032173216659057</x:v>
      </x:c>
      <x:c r="X60" s="8" t="n">
        <x:f>IFERROR(T60/F60,0)</x:f>
        <x:v>0.25188128976638813</x:v>
      </x:c>
      <x:c r="Y60" s="8" t="n">
        <x:f>IFERROR(T60/O60,0)</x:f>
        <x:v>0.1574258056845759</x:v>
      </x:c>
    </x:row>
    <x:row r="61">
      <x:c r="A61" t="str">
        <x:v>2024-05-01</x:v>
      </x:c>
      <x:c r="B61" t="n">
        <x:v>2024</x:v>
      </x:c>
      <x:c r="C61" t="str">
        <x:v>Q2</x:v>
      </x:c>
      <x:c r="D61" t="str">
        <x:v>Services</x:v>
      </x:c>
      <x:c r="E61" t="str">
        <x:v>West</x:v>
      </x:c>
      <x:c r="F61" s="6" t="n">
        <x:v>497760.11</x:v>
      </x:c>
      <x:c r="G61" s="6" t="n">
        <x:v>511647.88</x:v>
      </x:c>
      <x:c r="H61" s="6" t="n">
        <x:v>526134.7</x:v>
      </x:c>
      <x:c r="I61" s="6" t="n">
        <x:v>206521.73</x:v>
      </x:c>
      <x:c r="J61" s="6" t="n">
        <x:v>214892.11</x:v>
      </x:c>
      <x:c r="K61" s="6" t="n">
        <x:v>222028.84</x:v>
      </x:c>
      <x:c r="L61" s="6" t="n">
        <x:v>149951.27</x:v>
      </x:c>
      <x:c r="M61" s="6" t="n">
        <x:v>158610.84</x:v>
      </x:c>
      <x:c r="N61" s="6" t="n">
        <x:v>165206.3</x:v>
      </x:c>
      <x:c r="O61" s="6" t="n">
        <x:v>796416.18</x:v>
      </x:c>
      <x:c r="P61" s="6" t="n">
        <x:v>114006.38</x:v>
      </x:c>
      <x:c r="Q61" s="6" t="n">
        <x:v>49</x:v>
      </x:c>
      <x:c r="R61" s="6" t="n">
        <x:f>F61-I61</x:f>
        <x:v>291238.38</x:v>
      </x:c>
      <x:c r="S61" s="6" t="n">
        <x:f>G61-J61</x:f>
        <x:v>296755.77</x:v>
      </x:c>
      <x:c r="T61" s="6" t="n">
        <x:f>R61-L61</x:f>
        <x:v>141287.11000000002</x:v>
      </x:c>
      <x:c r="U61" s="6" t="n">
        <x:f>S61-M61</x:f>
        <x:v>138144.93000000002</x:v>
      </x:c>
      <x:c r="V61" s="6" t="n">
        <x:f>F61-G61</x:f>
        <x:v>-13887.770000000019</x:v>
      </x:c>
      <x:c r="W61" s="8" t="n">
        <x:f>IFERROR(V61/G61,0)</x:f>
        <x:v>-0.027143218105389236</x:v>
      </x:c>
      <x:c r="X61" s="8" t="n">
        <x:f>IFERROR(T61/F61,0)</x:f>
        <x:v>0.2838457866782455</x:v>
      </x:c>
      <x:c r="Y61" s="8" t="n">
        <x:f>IFERROR(T61/O61,0)</x:f>
        <x:v>0.17740361578289382</x:v>
      </x:c>
    </x:row>
    <x:row r="62">
      <x:c r="A62" t="str">
        <x:v>2024-06-01</x:v>
      </x:c>
      <x:c r="B62" t="n">
        <x:v>2024</x:v>
      </x:c>
      <x:c r="C62" t="str">
        <x:v>Q2</x:v>
      </x:c>
      <x:c r="D62" t="str">
        <x:v>Enterprise</x:v>
      </x:c>
      <x:c r="E62" t="str">
        <x:v>East</x:v>
      </x:c>
      <x:c r="F62" s="6" t="n">
        <x:v>1655392.01</x:v>
      </x:c>
      <x:c r="G62" s="6" t="n">
        <x:v>1678270.64</x:v>
      </x:c>
      <x:c r="H62" s="6" t="n">
        <x:v>1698878.8</x:v>
      </x:c>
      <x:c r="I62" s="6" t="n">
        <x:v>796735.21</x:v>
      </x:c>
      <x:c r="J62" s="6" t="n">
        <x:v>805569.91</x:v>
      </x:c>
      <x:c r="K62" s="6" t="n">
        <x:v>818859.58</x:v>
      </x:c>
      <x:c r="L62" s="6" t="n">
        <x:v>446220.62</x:v>
      </x:c>
      <x:c r="M62" s="6" t="n">
        <x:v>453133.07</x:v>
      </x:c>
      <x:c r="N62" s="6" t="n">
        <x:v>465492.79</x:v>
      </x:c>
      <x:c r="O62" s="6" t="n">
        <x:v>3476323.22</x:v>
      </x:c>
      <x:c r="P62" s="6" t="n">
        <x:v>344515.2</x:v>
      </x:c>
      <x:c r="Q62" s="6" t="n">
        <x:v>109</x:v>
      </x:c>
      <x:c r="R62" s="6" t="n">
        <x:f>F62-I62</x:f>
        <x:v>858656.8</x:v>
      </x:c>
      <x:c r="S62" s="6" t="n">
        <x:f>G62-J62</x:f>
        <x:v>872700.7299999999</x:v>
      </x:c>
      <x:c r="T62" s="6" t="n">
        <x:f>R62-L62</x:f>
        <x:v>412436.18000000005</x:v>
      </x:c>
      <x:c r="U62" s="6" t="n">
        <x:f>S62-M62</x:f>
        <x:v>419567.65999999986</x:v>
      </x:c>
      <x:c r="V62" s="6" t="n">
        <x:f>F62-G62</x:f>
        <x:v>-22878.62999999989</x:v>
      </x:c>
      <x:c r="W62" s="8" t="n">
        <x:f>IFERROR(V62/G62,0)</x:f>
        <x:v>-0.013632264936720748</x:v>
      </x:c>
      <x:c r="X62" s="8" t="n">
        <x:f>IFERROR(T62/F62,0)</x:f>
        <x:v>0.2491471370578864</x:v>
      </x:c>
      <x:c r="Y62" s="8" t="n">
        <x:f>IFERROR(T62/O62,0)</x:f>
        <x:v>0.1186414938712172</x:v>
      </x:c>
    </x:row>
    <x:row r="63">
      <x:c r="A63" t="str">
        <x:v>2024-06-01</x:v>
      </x:c>
      <x:c r="B63" t="n">
        <x:v>2024</x:v>
      </x:c>
      <x:c r="C63" t="str">
        <x:v>Q2</x:v>
      </x:c>
      <x:c r="D63" t="str">
        <x:v>Enterprise</x:v>
      </x:c>
      <x:c r="E63" t="str">
        <x:v>Central</x:v>
      </x:c>
      <x:c r="F63" s="6" t="n">
        <x:v>1519572.7</x:v>
      </x:c>
      <x:c r="G63" s="6" t="n">
        <x:v>1481240.38</x:v>
      </x:c>
      <x:c r="H63" s="6" t="n">
        <x:v>1459134.51</x:v>
      </x:c>
      <x:c r="I63" s="6" t="n">
        <x:v>747728.47</x:v>
      </x:c>
      <x:c r="J63" s="6" t="n">
        <x:v>710995.38</x:v>
      </x:c>
      <x:c r="K63" s="6" t="n">
        <x:v>703302.83</x:v>
      </x:c>
      <x:c r="L63" s="6" t="n">
        <x:v>416596.27</x:v>
      </x:c>
      <x:c r="M63" s="6" t="n">
        <x:v>399934.9</x:v>
      </x:c>
      <x:c r="N63" s="6" t="n">
        <x:v>399802.86</x:v>
      </x:c>
      <x:c r="O63" s="6" t="n">
        <x:v>3191102.67</x:v>
      </x:c>
      <x:c r="P63" s="6" t="n">
        <x:v>306893.74</x:v>
      </x:c>
      <x:c r="Q63" s="6" t="n">
        <x:v>98</x:v>
      </x:c>
      <x:c r="R63" s="6" t="n">
        <x:f>F63-I63</x:f>
        <x:v>771844.23</x:v>
      </x:c>
      <x:c r="S63" s="6" t="n">
        <x:f>G63-J63</x:f>
        <x:v>770244.9999999999</x:v>
      </x:c>
      <x:c r="T63" s="6" t="n">
        <x:f>R63-L63</x:f>
        <x:v>355247.95999999996</x:v>
      </x:c>
      <x:c r="U63" s="6" t="n">
        <x:f>S63-M63</x:f>
        <x:v>370310.09999999986</x:v>
      </x:c>
      <x:c r="V63" s="6" t="n">
        <x:f>F63-G63</x:f>
        <x:v>38332.320000000065</x:v>
      </x:c>
      <x:c r="W63" s="8" t="n">
        <x:f>IFERROR(V63/G63,0)</x:f>
        <x:v>0.025878527562150356</x:v>
      </x:c>
      <x:c r="X63" s="8" t="n">
        <x:f>IFERROR(T63/F63,0)</x:f>
        <x:v>0.23378148343939054</x:v>
      </x:c>
      <x:c r="Y63" s="8" t="n">
        <x:f>IFERROR(T63/O63,0)</x:f>
        <x:v>0.1113245159235193</x:v>
      </x:c>
    </x:row>
    <x:row r="64">
      <x:c r="A64" t="str">
        <x:v>2024-06-01</x:v>
      </x:c>
      <x:c r="B64" t="n">
        <x:v>2024</x:v>
      </x:c>
      <x:c r="C64" t="str">
        <x:v>Q2</x:v>
      </x:c>
      <x:c r="D64" t="str">
        <x:v>Enterprise</x:v>
      </x:c>
      <x:c r="E64" t="str">
        <x:v>West</x:v>
      </x:c>
      <x:c r="F64" s="6" t="n">
        <x:v>1650612.4</x:v>
      </x:c>
      <x:c r="G64" s="6" t="n">
        <x:v>1614981.31</x:v>
      </x:c>
      <x:c r="H64" s="6" t="n">
        <x:v>1617226.08</x:v>
      </x:c>
      <x:c r="I64" s="6" t="n">
        <x:v>775489.59</x:v>
      </x:c>
      <x:c r="J64" s="6" t="n">
        <x:v>775191.03</x:v>
      </x:c>
      <x:c r="K64" s="6" t="n">
        <x:v>779502.97</x:v>
      </x:c>
      <x:c r="L64" s="6" t="n">
        <x:v>458749.97</x:v>
      </x:c>
      <x:c r="M64" s="6" t="n">
        <x:v>436044.95</x:v>
      </x:c>
      <x:c r="N64" s="6" t="n">
        <x:v>443119.95</x:v>
      </x:c>
      <x:c r="O64" s="6" t="n">
        <x:v>3466286.04</x:v>
      </x:c>
      <x:c r="P64" s="6" t="n">
        <x:v>327285.71</x:v>
      </x:c>
      <x:c r="Q64" s="6" t="n">
        <x:v>105</x:v>
      </x:c>
      <x:c r="R64" s="6" t="n">
        <x:f>F64-I64</x:f>
        <x:v>875122.8099999999</x:v>
      </x:c>
      <x:c r="S64" s="6" t="n">
        <x:f>G64-J64</x:f>
        <x:v>839790.28</x:v>
      </x:c>
      <x:c r="T64" s="6" t="n">
        <x:f>R64-L64</x:f>
        <x:v>416372.83999999997</x:v>
      </x:c>
      <x:c r="U64" s="6" t="n">
        <x:f>S64-M64</x:f>
        <x:v>403745.33</x:v>
      </x:c>
      <x:c r="V64" s="6" t="n">
        <x:f>F64-G64</x:f>
        <x:v>35631.08999999985</x:v>
      </x:c>
      <x:c r="W64" s="8" t="n">
        <x:f>IFERROR(V64/G64,0)</x:f>
        <x:v>0.02206284975520853</x:v>
      </x:c>
      <x:c r="X64" s="8" t="n">
        <x:f>IFERROR(T64/F64,0)</x:f>
        <x:v>0.25225355146974543</x:v>
      </x:c>
      <x:c r="Y64" s="8" t="n">
        <x:f>IFERROR(T64/O64,0)</x:f>
        <x:v>0.12012073879511685</x:v>
      </x:c>
    </x:row>
    <x:row r="65">
      <x:c r="A65" t="str">
        <x:v>2024-06-01</x:v>
      </x:c>
      <x:c r="B65" t="n">
        <x:v>2024</x:v>
      </x:c>
      <x:c r="C65" t="str">
        <x:v>Q2</x:v>
      </x:c>
      <x:c r="D65" t="str">
        <x:v>SMB</x:v>
      </x:c>
      <x:c r="E65" t="str">
        <x:v>East</x:v>
      </x:c>
      <x:c r="F65" s="6" t="n">
        <x:v>995805.49</x:v>
      </x:c>
      <x:c r="G65" s="6" t="n">
        <x:v>957688.04</x:v>
      </x:c>
      <x:c r="H65" s="6" t="n">
        <x:v>974341.22</x:v>
      </x:c>
      <x:c r="I65" s="6" t="n">
        <x:v>533560.92</x:v>
      </x:c>
      <x:c r="J65" s="6" t="n">
        <x:v>517151.54</x:v>
      </x:c>
      <x:c r="K65" s="6" t="n">
        <x:v>528092.94</x:v>
      </x:c>
      <x:c r="L65" s="6" t="n">
        <x:v>286073.55</x:v>
      </x:c>
      <x:c r="M65" s="6" t="n">
        <x:v>277729.53</x:v>
      </x:c>
      <x:c r="N65" s="6" t="n">
        <x:v>286456.32</x:v>
      </x:c>
      <x:c r="O65" s="6" t="n">
        <x:v>1692869.33</x:v>
      </x:c>
      <x:c r="P65" s="6" t="n">
        <x:v>141232.53</x:v>
      </x:c>
      <x:c r="Q65" s="6" t="n">
        <x:v>77</x:v>
      </x:c>
      <x:c r="R65" s="6" t="n">
        <x:f>F65-I65</x:f>
        <x:v>462244.56999999995</x:v>
      </x:c>
      <x:c r="S65" s="6" t="n">
        <x:f>G65-J65</x:f>
        <x:v>440536.50000000006</x:v>
      </x:c>
      <x:c r="T65" s="6" t="n">
        <x:f>R65-L65</x:f>
        <x:v>176171.01999999996</x:v>
      </x:c>
      <x:c r="U65" s="6" t="n">
        <x:f>S65-M65</x:f>
        <x:v>162806.97000000003</x:v>
      </x:c>
      <x:c r="V65" s="6" t="n">
        <x:f>F65-G65</x:f>
        <x:v>38117.44999999995</x:v>
      </x:c>
      <x:c r="W65" s="8" t="n">
        <x:f>IFERROR(V65/G65,0)</x:f>
        <x:v>0.03980153077822707</x:v>
      </x:c>
      <x:c r="X65" s="8" t="n">
        <x:f>IFERROR(T65/F65,0)</x:f>
        <x:v>0.176913083698705</x:v>
      </x:c>
      <x:c r="Y65" s="8" t="n">
        <x:f>IFERROR(T65/O65,0)</x:f>
        <x:v>0.10406652000718801</x:v>
      </x:c>
    </x:row>
    <x:row r="66">
      <x:c r="A66" t="str">
        <x:v>2024-06-01</x:v>
      </x:c>
      <x:c r="B66" t="n">
        <x:v>2024</x:v>
      </x:c>
      <x:c r="C66" t="str">
        <x:v>Q2</x:v>
      </x:c>
      <x:c r="D66" t="str">
        <x:v>SMB</x:v>
      </x:c>
      <x:c r="E66" t="str">
        <x:v>Central</x:v>
      </x:c>
      <x:c r="F66" s="6" t="n">
        <x:v>846379.28</x:v>
      </x:c>
      <x:c r="G66" s="6" t="n">
        <x:v>859647.49</x:v>
      </x:c>
      <x:c r="H66" s="6" t="n">
        <x:v>851676.79</x:v>
      </x:c>
      <x:c r="I66" s="6" t="n">
        <x:v>456140.54</x:v>
      </x:c>
      <x:c r="J66" s="6" t="n">
        <x:v>464209.64</x:v>
      </x:c>
      <x:c r="K66" s="6" t="n">
        <x:v>461608.82</x:v>
      </x:c>
      <x:c r="L66" s="6" t="n">
        <x:v>259170.57</x:v>
      </x:c>
      <x:c r="M66" s="6" t="n">
        <x:v>249297.77</x:v>
      </x:c>
      <x:c r="N66" s="6" t="n">
        <x:v>250392.98</x:v>
      </x:c>
      <x:c r="O66" s="6" t="n">
        <x:v>1438844.77</x:v>
      </x:c>
      <x:c r="P66" s="6" t="n">
        <x:v>112124.04</x:v>
      </x:c>
      <x:c r="Q66" s="6" t="n">
        <x:v>69</x:v>
      </x:c>
      <x:c r="R66" s="6" t="n">
        <x:f>F66-I66</x:f>
        <x:v>390238.74000000005</x:v>
      </x:c>
      <x:c r="S66" s="6" t="n">
        <x:f>G66-J66</x:f>
        <x:v>395437.85</x:v>
      </x:c>
      <x:c r="T66" s="6" t="n">
        <x:f>R66-L66</x:f>
        <x:v>131068.17000000004</x:v>
      </x:c>
      <x:c r="U66" s="6" t="n">
        <x:f>S66-M66</x:f>
        <x:v>146140.08</x:v>
      </x:c>
      <x:c r="V66" s="6" t="n">
        <x:f>F66-G66</x:f>
        <x:v>-13268.209999999963</x:v>
      </x:c>
      <x:c r="W66" s="8" t="n">
        <x:f>IFERROR(V66/G66,0)</x:f>
        <x:v>-0.015434477683404814</x:v>
      </x:c>
      <x:c r="X66" s="8" t="n">
        <x:f>IFERROR(T66/F66,0)</x:f>
        <x:v>0.1548574889498713</x:v>
      </x:c>
      <x:c r="Y66" s="8" t="n">
        <x:f>IFERROR(T66/O66,0)</x:f>
        <x:v>0.09109264093860524</x:v>
      </x:c>
    </x:row>
    <x:row r="67">
      <x:c r="A67" t="str">
        <x:v>2024-06-01</x:v>
      </x:c>
      <x:c r="B67" t="n">
        <x:v>2024</x:v>
      </x:c>
      <x:c r="C67" t="str">
        <x:v>Q2</x:v>
      </x:c>
      <x:c r="D67" t="str">
        <x:v>SMB</x:v>
      </x:c>
      <x:c r="E67" t="str">
        <x:v>West</x:v>
      </x:c>
      <x:c r="F67" s="6" t="n">
        <x:v>953088.89</x:v>
      </x:c>
      <x:c r="G67" s="6" t="n">
        <x:v>937570.69</x:v>
      </x:c>
      <x:c r="H67" s="6" t="n">
        <x:v>936204.41</x:v>
      </x:c>
      <x:c r="I67" s="6" t="n">
        <x:v>516808.99</x:v>
      </x:c>
      <x:c r="J67" s="6" t="n">
        <x:v>506288.17</x:v>
      </x:c>
      <x:c r="K67" s="6" t="n">
        <x:v>507422.79</x:v>
      </x:c>
      <x:c r="L67" s="6" t="n">
        <x:v>264970.32</x:v>
      </x:c>
      <x:c r="M67" s="6" t="n">
        <x:v>271895.5</x:v>
      </x:c>
      <x:c r="N67" s="6" t="n">
        <x:v>275244.1</x:v>
      </x:c>
      <x:c r="O67" s="6" t="n">
        <x:v>1620251.11</x:v>
      </x:c>
      <x:c r="P67" s="6" t="n">
        <x:v>133173.11</x:v>
      </x:c>
      <x:c r="Q67" s="6" t="n">
        <x:v>74</x:v>
      </x:c>
      <x:c r="R67" s="6" t="n">
        <x:f>F67-I67</x:f>
        <x:v>436279.9</x:v>
      </x:c>
      <x:c r="S67" s="6" t="n">
        <x:f>G67-J67</x:f>
        <x:v>431282.51999999996</x:v>
      </x:c>
      <x:c r="T67" s="6" t="n">
        <x:f>R67-L67</x:f>
        <x:v>171309.58000000002</x:v>
      </x:c>
      <x:c r="U67" s="6" t="n">
        <x:f>S67-M67</x:f>
        <x:v>159387.01999999996</x:v>
      </x:c>
      <x:c r="V67" s="6" t="n">
        <x:f>F67-G67</x:f>
        <x:v>15518.20000000007</x:v>
      </x:c>
      <x:c r="W67" s="8" t="n">
        <x:f>IFERROR(V67/G67,0)</x:f>
        <x:v>0.01655149863953199</x:v>
      </x:c>
      <x:c r="X67" s="8" t="n">
        <x:f>IFERROR(T67/F67,0)</x:f>
        <x:v>0.1797414509784077</x:v>
      </x:c>
      <x:c r="Y67" s="8" t="n">
        <x:f>IFERROR(T67/O67,0)</x:f>
        <x:v>0.10573026547718273</x:v>
      </x:c>
    </x:row>
    <x:row r="68">
      <x:c r="A68" t="str">
        <x:v>2024-06-01</x:v>
      </x:c>
      <x:c r="B68" t="n">
        <x:v>2024</x:v>
      </x:c>
      <x:c r="C68" t="str">
        <x:v>Q2</x:v>
      </x:c>
      <x:c r="D68" t="str">
        <x:v>Digital</x:v>
      </x:c>
      <x:c r="E68" t="str">
        <x:v>East</x:v>
      </x:c>
      <x:c r="F68" s="6" t="n">
        <x:v>711426.32</x:v>
      </x:c>
      <x:c r="G68" s="6" t="n">
        <x:v>702297.52</x:v>
      </x:c>
      <x:c r="H68" s="6" t="n">
        <x:v>712453.97</x:v>
      </x:c>
      <x:c r="I68" s="6" t="n">
        <x:v>256177.28</x:v>
      </x:c>
      <x:c r="J68" s="6" t="n">
        <x:v>252827.11</x:v>
      </x:c>
      <x:c r="K68" s="6" t="n">
        <x:v>257908.34</x:v>
      </x:c>
      <x:c r="L68" s="6" t="n">
        <x:v>242784.76</x:v>
      </x:c>
      <x:c r="M68" s="6" t="n">
        <x:v>238781.16</x:v>
      </x:c>
      <x:c r="N68" s="6" t="n">
        <x:v>245084.17</x:v>
      </x:c>
      <x:c r="O68" s="6" t="n">
        <x:v>995996.84</x:v>
      </x:c>
      <x:c r="P68" s="6" t="n">
        <x:v>162055.06</x:v>
      </x:c>
      <x:c r="Q68" s="6" t="n">
        <x:v>56</x:v>
      </x:c>
      <x:c r="R68" s="6" t="n">
        <x:f>F68-I68</x:f>
        <x:v>455249.0399999999</x:v>
      </x:c>
      <x:c r="S68" s="6" t="n">
        <x:f>G68-J68</x:f>
        <x:v>449470.41000000003</x:v>
      </x:c>
      <x:c r="T68" s="6" t="n">
        <x:f>R68-L68</x:f>
        <x:v>212464.2799999999</x:v>
      </x:c>
      <x:c r="U68" s="6" t="n">
        <x:f>S68-M68</x:f>
        <x:v>210689.25000000003</x:v>
      </x:c>
      <x:c r="V68" s="6" t="n">
        <x:f>F68-G68</x:f>
        <x:v>9128.79999999993</x:v>
      </x:c>
      <x:c r="W68" s="8" t="n">
        <x:f>IFERROR(V68/G68,0)</x:f>
        <x:v>0.012998479618723316</x:v>
      </x:c>
      <x:c r="X68" s="8" t="n">
        <x:f>IFERROR(T68/F68,0)</x:f>
        <x:v>0.29864551539223333</x:v>
      </x:c>
      <x:c r="Y68" s="8" t="n">
        <x:f>IFERROR(T68/O68,0)</x:f>
        <x:v>0.2133182269935715</x:v>
      </x:c>
    </x:row>
    <x:row r="69">
      <x:c r="A69" t="str">
        <x:v>2024-06-01</x:v>
      </x:c>
      <x:c r="B69" t="n">
        <x:v>2024</x:v>
      </x:c>
      <x:c r="C69" t="str">
        <x:v>Q2</x:v>
      </x:c>
      <x:c r="D69" t="str">
        <x:v>Digital</x:v>
      </x:c>
      <x:c r="E69" t="str">
        <x:v>Central</x:v>
      </x:c>
      <x:c r="F69" s="6" t="n">
        <x:v>657945.61</x:v>
      </x:c>
      <x:c r="G69" s="6" t="n">
        <x:v>629541.89</x:v>
      </x:c>
      <x:c r="H69" s="6" t="n">
        <x:v>642649.65</x:v>
      </x:c>
      <x:c r="I69" s="6" t="n">
        <x:v>231867.91</x:v>
      </x:c>
      <x:c r="J69" s="6" t="n">
        <x:v>226635.08</x:v>
      </x:c>
      <x:c r="K69" s="6" t="n">
        <x:v>232639.17</x:v>
      </x:c>
      <x:c r="L69" s="6" t="n">
        <x:v>217479.89</x:v>
      </x:c>
      <x:c r="M69" s="6" t="n">
        <x:v>214044.24</x:v>
      </x:c>
      <x:c r="N69" s="6" t="n">
        <x:v>221071.48</x:v>
      </x:c>
      <x:c r="O69" s="6" t="n">
        <x:v>921123.86</x:v>
      </x:c>
      <x:c r="P69" s="6" t="n">
        <x:v>171694.86</x:v>
      </x:c>
      <x:c r="Q69" s="6" t="n">
        <x:v>50</x:v>
      </x:c>
      <x:c r="R69" s="6" t="n">
        <x:f>F69-I69</x:f>
        <x:v>426077.69999999995</x:v>
      </x:c>
      <x:c r="S69" s="6" t="n">
        <x:f>G69-J69</x:f>
        <x:v>402906.81000000006</x:v>
      </x:c>
      <x:c r="T69" s="6" t="n">
        <x:f>R69-L69</x:f>
        <x:v>208597.80999999994</x:v>
      </x:c>
      <x:c r="U69" s="6" t="n">
        <x:f>S69-M69</x:f>
        <x:v>188862.57000000007</x:v>
      </x:c>
      <x:c r="V69" s="6" t="n">
        <x:f>F69-G69</x:f>
        <x:v>28403.719999999972</x:v>
      </x:c>
      <x:c r="W69" s="8" t="n">
        <x:f>IFERROR(V69/G69,0)</x:f>
        <x:v>0.04511807784546311</x:v>
      </x:c>
      <x:c r="X69" s="8" t="n">
        <x:f>IFERROR(T69/F69,0)</x:f>
        <x:v>0.3170441550632125</x:v>
      </x:c>
      <x:c r="Y69" s="8" t="n">
        <x:f>IFERROR(T69/O69,0)</x:f>
        <x:v>0.22646010928432572</x:v>
      </x:c>
    </x:row>
    <x:row r="70">
      <x:c r="A70" t="str">
        <x:v>2024-06-01</x:v>
      </x:c>
      <x:c r="B70" t="n">
        <x:v>2024</x:v>
      </x:c>
      <x:c r="C70" t="str">
        <x:v>Q2</x:v>
      </x:c>
      <x:c r="D70" t="str">
        <x:v>Digital</x:v>
      </x:c>
      <x:c r="E70" t="str">
        <x:v>West</x:v>
      </x:c>
      <x:c r="F70" s="6" t="n">
        <x:v>671863.75</x:v>
      </x:c>
      <x:c r="G70" s="6" t="n">
        <x:v>679667.13</x:v>
      </x:c>
      <x:c r="H70" s="6" t="n">
        <x:v>694503.62</x:v>
      </x:c>
      <x:c r="I70" s="6" t="n">
        <x:v>246929.81</x:v>
      </x:c>
      <x:c r="J70" s="6" t="n">
        <x:v>244680.17</x:v>
      </x:c>
      <x:c r="K70" s="6" t="n">
        <x:v>251410.31</x:v>
      </x:c>
      <x:c r="L70" s="6" t="n">
        <x:v>233932.12</x:v>
      </x:c>
      <x:c r="M70" s="6" t="n">
        <x:v>231086.82</x:v>
      </x:c>
      <x:c r="N70" s="6" t="n">
        <x:v>238909.24</x:v>
      </x:c>
      <x:c r="O70" s="6" t="n">
        <x:v>940609.25</x:v>
      </x:c>
      <x:c r="P70" s="6" t="n">
        <x:v>146102.67</x:v>
      </x:c>
      <x:c r="Q70" s="6" t="n">
        <x:v>54</x:v>
      </x:c>
      <x:c r="R70" s="6" t="n">
        <x:f>F70-I70</x:f>
        <x:v>424933.94</x:v>
      </x:c>
      <x:c r="S70" s="6" t="n">
        <x:f>G70-J70</x:f>
        <x:v>434986.95999999996</x:v>
      </x:c>
      <x:c r="T70" s="6" t="n">
        <x:f>R70-L70</x:f>
        <x:v>191001.82</x:v>
      </x:c>
      <x:c r="U70" s="6" t="n">
        <x:f>S70-M70</x:f>
        <x:v>203900.13999999996</x:v>
      </x:c>
      <x:c r="V70" s="6" t="n">
        <x:f>F70-G70</x:f>
        <x:v>-7803.380000000005</x:v>
      </x:c>
      <x:c r="W70" s="8" t="n">
        <x:f>IFERROR(V70/G70,0)</x:f>
        <x:v>-0.01148117902950523</x:v>
      </x:c>
      <x:c r="X70" s="8" t="n">
        <x:f>IFERROR(T70/F70,0)</x:f>
        <x:v>0.2842865387513465</x:v>
      </x:c>
      <x:c r="Y70" s="8" t="n">
        <x:f>IFERROR(T70/O70,0)</x:f>
        <x:v>0.20306181339381896</x:v>
      </x:c>
    </x:row>
    <x:row r="71">
      <x:c r="A71" t="str">
        <x:v>2024-06-01</x:v>
      </x:c>
      <x:c r="B71" t="n">
        <x:v>2024</x:v>
      </x:c>
      <x:c r="C71" t="str">
        <x:v>Q2</x:v>
      </x:c>
      <x:c r="D71" t="str">
        <x:v>Services</x:v>
      </x:c>
      <x:c r="E71" t="str">
        <x:v>East</x:v>
      </x:c>
      <x:c r="F71" s="6" t="n">
        <x:v>492022.47</x:v>
      </x:c>
      <x:c r="G71" s="6" t="n">
        <x:v>513892.43</x:v>
      </x:c>
      <x:c r="H71" s="6" t="n">
        <x:v>511846.07</x:v>
      </x:c>
      <x:c r="I71" s="6" t="n">
        <x:v>206823.39</x:v>
      </x:c>
      <x:c r="J71" s="6" t="n">
        <x:v>215834.82</x:v>
      </x:c>
      <x:c r="K71" s="6" t="n">
        <x:v>215999.04</x:v>
      </x:c>
      <x:c r="L71" s="6" t="n">
        <x:v>159165.4</x:v>
      </x:c>
      <x:c r="M71" s="6" t="n">
        <x:v>159306.65</x:v>
      </x:c>
      <x:c r="N71" s="6" t="n">
        <x:v>160719.67</x:v>
      </x:c>
      <x:c r="O71" s="6" t="n">
        <x:v>787235.96</x:v>
      </x:c>
      <x:c r="P71" s="6" t="n">
        <x:v>92580.01</x:v>
      </x:c>
      <x:c r="Q71" s="6" t="n">
        <x:v>51</x:v>
      </x:c>
      <x:c r="R71" s="6" t="n">
        <x:f>F71-I71</x:f>
        <x:v>285199.07999999996</x:v>
      </x:c>
      <x:c r="S71" s="6" t="n">
        <x:f>G71-J71</x:f>
        <x:v>298057.61</x:v>
      </x:c>
      <x:c r="T71" s="6" t="n">
        <x:f>R71-L71</x:f>
        <x:v>126033.67999999996</x:v>
      </x:c>
      <x:c r="U71" s="6" t="n">
        <x:f>S71-M71</x:f>
        <x:v>138750.96</x:v>
      </x:c>
      <x:c r="V71" s="6" t="n">
        <x:f>F71-G71</x:f>
        <x:v>-21869.96000000002</x:v>
      </x:c>
      <x:c r="W71" s="8" t="n">
        <x:f>IFERROR(V71/G71,0)</x:f>
        <x:v>-0.04255746674454812</x:v>
      </x:c>
      <x:c r="X71" s="8" t="n">
        <x:f>IFERROR(T71/F71,0)</x:f>
        <x:v>0.2561543175050521</x:v>
      </x:c>
      <x:c r="Y71" s="8" t="n">
        <x:f>IFERROR(T71/O71,0)</x:f>
        <x:v>0.16009644681373544</x:v>
      </x:c>
    </x:row>
    <x:row r="72">
      <x:c r="A72" t="str">
        <x:v>2024-06-01</x:v>
      </x:c>
      <x:c r="B72" t="n">
        <x:v>2024</x:v>
      </x:c>
      <x:c r="C72" t="str">
        <x:v>Q2</x:v>
      </x:c>
      <x:c r="D72" t="str">
        <x:v>Services</x:v>
      </x:c>
      <x:c r="E72" t="str">
        <x:v>Central</x:v>
      </x:c>
      <x:c r="F72" s="6" t="n">
        <x:v>471378.93</x:v>
      </x:c>
      <x:c r="G72" s="6" t="n">
        <x:v>463054.8</x:v>
      </x:c>
      <x:c r="H72" s="6" t="n">
        <x:v>460160.52</x:v>
      </x:c>
      <x:c r="I72" s="6" t="n">
        <x:v>200857.02</x:v>
      </x:c>
      <x:c r="J72" s="6" t="n">
        <x:v>194483.02</x:v>
      </x:c>
      <x:c r="K72" s="6" t="n">
        <x:v>194187.74</x:v>
      </x:c>
      <x:c r="L72" s="6" t="n">
        <x:v>147462.09</x:v>
      </x:c>
      <x:c r="M72" s="6" t="n">
        <x:v>143546.99</x:v>
      </x:c>
      <x:c r="N72" s="6" t="n">
        <x:v>144490.4</x:v>
      </x:c>
      <x:c r="O72" s="6" t="n">
        <x:v>754206.28</x:v>
      </x:c>
      <x:c r="P72" s="6" t="n">
        <x:v>94608.01</x:v>
      </x:c>
      <x:c r="Q72" s="6" t="n">
        <x:v>46</x:v>
      </x:c>
      <x:c r="R72" s="6" t="n">
        <x:f>F72-I72</x:f>
        <x:v>270521.91000000003</x:v>
      </x:c>
      <x:c r="S72" s="6" t="n">
        <x:f>G72-J72</x:f>
        <x:v>268571.78</x:v>
      </x:c>
      <x:c r="T72" s="6" t="n">
        <x:f>R72-L72</x:f>
        <x:v>123059.82000000004</x:v>
      </x:c>
      <x:c r="U72" s="6" t="n">
        <x:f>S72-M72</x:f>
        <x:v>125024.79000000004</x:v>
      </x:c>
      <x:c r="V72" s="6" t="n">
        <x:f>F72-G72</x:f>
        <x:v>8324.130000000005</x:v>
      </x:c>
      <x:c r="W72" s="8" t="n">
        <x:f>IFERROR(V72/G72,0)</x:f>
        <x:v>0.017976554826772132</x:v>
      </x:c>
      <x:c r="X72" s="8" t="n">
        <x:f>IFERROR(T72/F72,0)</x:f>
        <x:v>0.26106347180176265</x:v>
      </x:c>
      <x:c r="Y72" s="8" t="n">
        <x:f>IFERROR(T72/O72,0)</x:f>
        <x:v>0.16316467160681827</x:v>
      </x:c>
    </x:row>
    <x:row r="73">
      <x:c r="A73" t="str">
        <x:v>2024-06-01</x:v>
      </x:c>
      <x:c r="B73" t="n">
        <x:v>2024</x:v>
      </x:c>
      <x:c r="C73" t="str">
        <x:v>Q2</x:v>
      </x:c>
      <x:c r="D73" t="str">
        <x:v>Services</x:v>
      </x:c>
      <x:c r="E73" t="str">
        <x:v>West</x:v>
      </x:c>
      <x:c r="F73" s="6" t="n">
        <x:v>478879.28</x:v>
      </x:c>
      <x:c r="G73" s="6" t="n">
        <x:v>501153.29</x:v>
      </x:c>
      <x:c r="H73" s="6" t="n">
        <x:v>510571.67</x:v>
      </x:c>
      <x:c r="I73" s="6" t="n">
        <x:v>204970.48</x:v>
      </x:c>
      <x:c r="J73" s="6" t="n">
        <x:v>210484.38</x:v>
      </x:c>
      <x:c r="K73" s="6" t="n">
        <x:v>215461.24</x:v>
      </x:c>
      <x:c r="L73" s="6" t="n">
        <x:v>144237.3</x:v>
      </x:c>
      <x:c r="M73" s="6" t="n">
        <x:v>155357.52</x:v>
      </x:c>
      <x:c r="N73" s="6" t="n">
        <x:v>160319.5</x:v>
      </x:c>
      <x:c r="O73" s="6" t="n">
        <x:v>766206.84</x:v>
      </x:c>
      <x:c r="P73" s="6" t="n">
        <x:v>104389.35</x:v>
      </x:c>
      <x:c r="Q73" s="6" t="n">
        <x:v>49</x:v>
      </x:c>
      <x:c r="R73" s="6" t="n">
        <x:f>F73-I73</x:f>
        <x:v>273908.80000000005</x:v>
      </x:c>
      <x:c r="S73" s="6" t="n">
        <x:f>G73-J73</x:f>
        <x:v>290668.91</x:v>
      </x:c>
      <x:c r="T73" s="6" t="n">
        <x:f>R73-L73</x:f>
        <x:v>129671.50000000006</x:v>
      </x:c>
      <x:c r="U73" s="6" t="n">
        <x:f>S73-M73</x:f>
        <x:v>135311.38999999998</x:v>
      </x:c>
      <x:c r="V73" s="6" t="n">
        <x:f>F73-G73</x:f>
        <x:v>-22274.00999999995</x:v>
      </x:c>
      <x:c r="W73" s="8" t="n">
        <x:f>IFERROR(V73/G73,0)</x:f>
        <x:v>-0.044445502891939416</x:v>
      </x:c>
      <x:c r="X73" s="8" t="n">
        <x:f>IFERROR(T73/F73,0)</x:f>
        <x:v>0.27078118727542366</x:v>
      </x:c>
      <x:c r="Y73" s="8" t="n">
        <x:f>IFERROR(T73/O73,0)</x:f>
        <x:v>0.16923824381416389</x:v>
      </x:c>
    </x:row>
    <x:row r="74">
      <x:c r="A74" t="str">
        <x:v>2024-07-01</x:v>
      </x:c>
      <x:c r="B74" t="n">
        <x:v>2024</x:v>
      </x:c>
      <x:c r="C74" t="str">
        <x:v>Q3</x:v>
      </x:c>
      <x:c r="D74" t="str">
        <x:v>Enterprise</x:v>
      </x:c>
      <x:c r="E74" t="str">
        <x:v>East</x:v>
      </x:c>
      <x:c r="F74" s="6" t="n">
        <x:v>1702829.96</x:v>
      </x:c>
      <x:c r="G74" s="6" t="n">
        <x:v>1620513.39</x:v>
      </x:c>
      <x:c r="H74" s="6" t="n">
        <x:v>1633976.77</x:v>
      </x:c>
      <x:c r="I74" s="6" t="n">
        <x:v>799147.77</x:v>
      </x:c>
      <x:c r="J74" s="6" t="n">
        <x:v>777846.43</x:v>
      </x:c>
      <x:c r="K74" s="6" t="n">
        <x:v>787576.8</x:v>
      </x:c>
      <x:c r="L74" s="6" t="n">
        <x:v>452060.4</x:v>
      </x:c>
      <x:c r="M74" s="6" t="n">
        <x:v>437538.61</x:v>
      </x:c>
      <x:c r="N74" s="6" t="n">
        <x:v>447709.64</x:v>
      </x:c>
      <x:c r="O74" s="6" t="n">
        <x:v>3575942.92</x:v>
      </x:c>
      <x:c r="P74" s="6" t="n">
        <x:v>401793.13</x:v>
      </x:c>
      <x:c r="Q74" s="6" t="n">
        <x:v>110</x:v>
      </x:c>
      <x:c r="R74" s="6" t="n">
        <x:f>F74-I74</x:f>
        <x:v>903682.19</x:v>
      </x:c>
      <x:c r="S74" s="6" t="n">
        <x:f>G74-J74</x:f>
        <x:v>842666.9599999998</x:v>
      </x:c>
      <x:c r="T74" s="6" t="n">
        <x:f>R74-L74</x:f>
        <x:v>451621.7899999999</x:v>
      </x:c>
      <x:c r="U74" s="6" t="n">
        <x:f>S74-M74</x:f>
        <x:v>405128.34999999986</x:v>
      </x:c>
      <x:c r="V74" s="6" t="n">
        <x:f>F74-G74</x:f>
        <x:v>82316.57000000007</x:v>
      </x:c>
      <x:c r="W74" s="8" t="n">
        <x:f>IFERROR(V74/G74,0)</x:f>
        <x:v>0.050796599712144355</x:v>
      </x:c>
      <x:c r="X74" s="8" t="n">
        <x:f>IFERROR(T74/F74,0)</x:f>
        <x:v>0.26521837212683286</x:v>
      </x:c>
      <x:c r="Y74" s="8" t="n">
        <x:f>IFERROR(T74/O74,0)</x:f>
        <x:v>0.12629446277626824</x:v>
      </x:c>
    </x:row>
    <x:row r="75">
      <x:c r="A75" t="str">
        <x:v>2024-07-01</x:v>
      </x:c>
      <x:c r="B75" t="n">
        <x:v>2024</x:v>
      </x:c>
      <x:c r="C75" t="str">
        <x:v>Q3</x:v>
      </x:c>
      <x:c r="D75" t="str">
        <x:v>Enterprise</x:v>
      </x:c>
      <x:c r="E75" t="str">
        <x:v>Central</x:v>
      </x:c>
      <x:c r="F75" s="6" t="n">
        <x:v>1514491.45</x:v>
      </x:c>
      <x:c r="G75" s="6" t="n">
        <x:v>1463076.51</x:v>
      </x:c>
      <x:c r="H75" s="6" t="n">
        <x:v>1485082.64</x:v>
      </x:c>
      <x:c r="I75" s="6" t="n">
        <x:v>747682.02</x:v>
      </x:c>
      <x:c r="J75" s="6" t="n">
        <x:v>702276.72</x:v>
      </x:c>
      <x:c r="K75" s="6" t="n">
        <x:v>715809.83</x:v>
      </x:c>
      <x:c r="L75" s="6" t="n">
        <x:v>417793.02</x:v>
      </x:c>
      <x:c r="M75" s="6" t="n">
        <x:v>395030.66</x:v>
      </x:c>
      <x:c r="N75" s="6" t="n">
        <x:v>406912.64</x:v>
      </x:c>
      <x:c r="O75" s="6" t="n">
        <x:v>3180432.04</x:v>
      </x:c>
      <x:c r="P75" s="6" t="n">
        <x:v>317607.7</x:v>
      </x:c>
      <x:c r="Q75" s="6" t="n">
        <x:v>98</x:v>
      </x:c>
      <x:c r="R75" s="6" t="n">
        <x:f>F75-I75</x:f>
        <x:v>766809.4299999999</x:v>
      </x:c>
      <x:c r="S75" s="6" t="n">
        <x:f>G75-J75</x:f>
        <x:v>760799.79</x:v>
      </x:c>
      <x:c r="T75" s="6" t="n">
        <x:f>R75-L75</x:f>
        <x:v>349016.4099999999</x:v>
      </x:c>
      <x:c r="U75" s="6" t="n">
        <x:f>S75-M75</x:f>
        <x:v>365769.13000000006</x:v>
      </x:c>
      <x:c r="V75" s="6" t="n">
        <x:f>F75-G75</x:f>
        <x:v>51414.939999999944</x:v>
      </x:c>
      <x:c r="W75" s="8" t="n">
        <x:f>IFERROR(V75/G75,0)</x:f>
        <x:v>0.03514166186702016</x:v>
      </x:c>
      <x:c r="X75" s="8" t="n">
        <x:f>IFERROR(T75/F75,0)</x:f>
        <x:v>0.23045122506304008</x:v>
      </x:c>
      <x:c r="Y75" s="8" t="n">
        <x:f>IFERROR(T75/O75,0)</x:f>
        <x:v>0.10973867877396931</x:v>
      </x:c>
    </x:row>
    <x:row r="76">
      <x:c r="A76" t="str">
        <x:v>2024-07-01</x:v>
      </x:c>
      <x:c r="B76" t="n">
        <x:v>2024</x:v>
      </x:c>
      <x:c r="C76" t="str">
        <x:v>Q3</x:v>
      </x:c>
      <x:c r="D76" t="str">
        <x:v>Enterprise</x:v>
      </x:c>
      <x:c r="E76" t="str">
        <x:v>West</x:v>
      </x:c>
      <x:c r="F76" s="6" t="n">
        <x:v>1618472.64</x:v>
      </x:c>
      <x:c r="G76" s="6" t="n">
        <x:v>1592569.13</x:v>
      </x:c>
      <x:c r="H76" s="6" t="n">
        <x:v>1620227.8</x:v>
      </x:c>
      <x:c r="I76" s="6" t="n">
        <x:v>778686.41</x:v>
      </x:c>
      <x:c r="J76" s="6" t="n">
        <x:v>764433.18</x:v>
      </x:c>
      <x:c r="K76" s="6" t="n">
        <x:v>780949.8</x:v>
      </x:c>
      <x:c r="L76" s="6" t="n">
        <x:v>457893.54</x:v>
      </x:c>
      <x:c r="M76" s="6" t="n">
        <x:v>429993.67</x:v>
      </x:c>
      <x:c r="N76" s="6" t="n">
        <x:v>443942.42</x:v>
      </x:c>
      <x:c r="O76" s="6" t="n">
        <x:v>3398792.54</x:v>
      </x:c>
      <x:c r="P76" s="6" t="n">
        <x:v>316808.39</x:v>
      </x:c>
      <x:c r="Q76" s="6" t="n">
        <x:v>105</x:v>
      </x:c>
      <x:c r="R76" s="6" t="n">
        <x:f>F76-I76</x:f>
        <x:v>839786.2299999999</x:v>
      </x:c>
      <x:c r="S76" s="6" t="n">
        <x:f>G76-J76</x:f>
        <x:v>828135.9499999998</x:v>
      </x:c>
      <x:c r="T76" s="6" t="n">
        <x:f>R76-L76</x:f>
        <x:v>381892.6899999999</x:v>
      </x:c>
      <x:c r="U76" s="6" t="n">
        <x:f>S76-M76</x:f>
        <x:v>398142.27999999985</x:v>
      </x:c>
      <x:c r="V76" s="6" t="n">
        <x:f>F76-G76</x:f>
        <x:v>25903.51000000001</x:v>
      </x:c>
      <x:c r="W76" s="8" t="n">
        <x:f>IFERROR(V76/G76,0)</x:f>
        <x:v>0.016265234275889807</x:v>
      </x:c>
      <x:c r="X76" s="8" t="n">
        <x:f>IFERROR(T76/F76,0)</x:f>
        <x:v>0.2359586937472109</x:v>
      </x:c>
      <x:c r="Y76" s="8" t="n">
        <x:f>IFERROR(T76/O76,0)</x:f>
        <x:v>0.11236128286900379</x:v>
      </x:c>
    </x:row>
    <x:row r="77">
      <x:c r="A77" t="str">
        <x:v>2024-07-01</x:v>
      </x:c>
      <x:c r="B77" t="n">
        <x:v>2024</x:v>
      </x:c>
      <x:c r="C77" t="str">
        <x:v>Q3</x:v>
      </x:c>
      <x:c r="D77" t="str">
        <x:v>SMB</x:v>
      </x:c>
      <x:c r="E77" t="str">
        <x:v>East</x:v>
      </x:c>
      <x:c r="F77" s="6" t="n">
        <x:v>984852.37</x:v>
      </x:c>
      <x:c r="G77" s="6" t="n">
        <x:v>956756.69</x:v>
      </x:c>
      <x:c r="H77" s="6" t="n">
        <x:v>962842</x:v>
      </x:c>
      <x:c r="I77" s="6" t="n">
        <x:v>526638.95</x:v>
      </x:c>
      <x:c r="J77" s="6" t="n">
        <x:v>516648.61</x:v>
      </x:c>
      <x:c r="K77" s="6" t="n">
        <x:v>521860.36</x:v>
      </x:c>
      <x:c r="L77" s="6" t="n">
        <x:v>281093.8</x:v>
      </x:c>
      <x:c r="M77" s="6" t="n">
        <x:v>277459.44</x:v>
      </x:c>
      <x:c r="N77" s="6" t="n">
        <x:v>283075.55</x:v>
      </x:c>
      <x:c r="O77" s="6" t="n">
        <x:v>1674249.03</x:v>
      </x:c>
      <x:c r="P77" s="6" t="n">
        <x:v>150114.6</x:v>
      </x:c>
      <x:c r="Q77" s="6" t="n">
        <x:v>78</x:v>
      </x:c>
      <x:c r="R77" s="6" t="n">
        <x:f>F77-I77</x:f>
        <x:v>458213.42000000004</x:v>
      </x:c>
      <x:c r="S77" s="6" t="n">
        <x:f>G77-J77</x:f>
        <x:v>440108.07999999996</x:v>
      </x:c>
      <x:c r="T77" s="6" t="n">
        <x:f>R77-L77</x:f>
        <x:v>177119.62000000005</x:v>
      </x:c>
      <x:c r="U77" s="6" t="n">
        <x:f>S77-M77</x:f>
        <x:v>162648.63999999996</x:v>
      </x:c>
      <x:c r="V77" s="6" t="n">
        <x:f>F77-G77</x:f>
        <x:v>28095.68000000005</x:v>
      </x:c>
      <x:c r="W77" s="8" t="n">
        <x:f>IFERROR(V77/G77,0)</x:f>
        <x:v>0.02936554329188966</x:v>
      </x:c>
      <x:c r="X77" s="8" t="n">
        <x:f>IFERROR(T77/F77,0)</x:f>
        <x:v>0.1798438277607029</x:v>
      </x:c>
      <x:c r="Y77" s="8" t="n">
        <x:f>IFERROR(T77/O77,0)</x:f>
        <x:v>0.1057904868548737</x:v>
      </x:c>
    </x:row>
    <x:row r="78">
      <x:c r="A78" t="str">
        <x:v>2024-07-01</x:v>
      </x:c>
      <x:c r="B78" t="n">
        <x:v>2024</x:v>
      </x:c>
      <x:c r="C78" t="str">
        <x:v>Q3</x:v>
      </x:c>
      <x:c r="D78" t="str">
        <x:v>SMB</x:v>
      </x:c>
      <x:c r="E78" t="str">
        <x:v>Central</x:v>
      </x:c>
      <x:c r="F78" s="6" t="n">
        <x:v>859271.73</x:v>
      </x:c>
      <x:c r="G78" s="6" t="n">
        <x:v>853188.52</x:v>
      </x:c>
      <x:c r="H78" s="6" t="n">
        <x:v>864453.74</x:v>
      </x:c>
      <x:c r="I78" s="6" t="n">
        <x:v>459830.28</x:v>
      </x:c>
      <x:c r="J78" s="6" t="n">
        <x:v>460721.8</x:v>
      </x:c>
      <x:c r="K78" s="6" t="n">
        <x:v>468533.93</x:v>
      </x:c>
      <x:c r="L78" s="6" t="n">
        <x:v>240874.92</x:v>
      </x:c>
      <x:c r="M78" s="6" t="n">
        <x:v>247424.67</x:v>
      </x:c>
      <x:c r="N78" s="6" t="n">
        <x:v>254149.4</x:v>
      </x:c>
      <x:c r="O78" s="6" t="n">
        <x:v>1460761.95</x:v>
      </x:c>
      <x:c r="P78" s="6" t="n">
        <x:v>123229.29</x:v>
      </x:c>
      <x:c r="Q78" s="6" t="n">
        <x:v>69</x:v>
      </x:c>
      <x:c r="R78" s="6" t="n">
        <x:f>F78-I78</x:f>
        <x:v>399441.44999999995</x:v>
      </x:c>
      <x:c r="S78" s="6" t="n">
        <x:f>G78-J78</x:f>
        <x:v>392466.72000000003</x:v>
      </x:c>
      <x:c r="T78" s="6" t="n">
        <x:f>R78-L78</x:f>
        <x:v>158566.52999999994</x:v>
      </x:c>
      <x:c r="U78" s="6" t="n">
        <x:f>S78-M78</x:f>
        <x:v>145042.05000000002</x:v>
      </x:c>
      <x:c r="V78" s="6" t="n">
        <x:f>F78-G78</x:f>
        <x:v>6083.209999999963</x:v>
      </x:c>
      <x:c r="W78" s="8" t="n">
        <x:f>IFERROR(V78/G78,0)</x:f>
        <x:v>0.007129971697228138</x:v>
      </x:c>
      <x:c r="X78" s="8" t="n">
        <x:f>IFERROR(T78/F78,0)</x:f>
        <x:v>0.1845359558145826</x:v>
      </x:c>
      <x:c r="Y78" s="8" t="n">
        <x:f>IFERROR(T78/O78,0)</x:f>
        <x:v>0.10855056157507385</x:v>
      </x:c>
    </x:row>
    <x:row r="79">
      <x:c r="A79" t="str">
        <x:v>2024-07-01</x:v>
      </x:c>
      <x:c r="B79" t="n">
        <x:v>2024</x:v>
      </x:c>
      <x:c r="C79" t="str">
        <x:v>Q3</x:v>
      </x:c>
      <x:c r="D79" t="str">
        <x:v>SMB</x:v>
      </x:c>
      <x:c r="E79" t="str">
        <x:v>West</x:v>
      </x:c>
      <x:c r="F79" s="6" t="n">
        <x:v>891474.39</x:v>
      </x:c>
      <x:c r="G79" s="6" t="n">
        <x:v>903242.78</x:v>
      </x:c>
      <x:c r="H79" s="6" t="n">
        <x:v>911649.12</x:v>
      </x:c>
      <x:c r="I79" s="6" t="n">
        <x:v>473905.76</x:v>
      </x:c>
      <x:c r="J79" s="6" t="n">
        <x:v>487751.1</x:v>
      </x:c>
      <x:c r="K79" s="6" t="n">
        <x:v>494113.82</x:v>
      </x:c>
      <x:c r="L79" s="6" t="n">
        <x:v>254014.79</x:v>
      </x:c>
      <x:c r="M79" s="6" t="n">
        <x:v>261940.41</x:v>
      </x:c>
      <x:c r="N79" s="6" t="n">
        <x:v>268024.84</x:v>
      </x:c>
      <x:c r="O79" s="6" t="n">
        <x:v>1515506.46</x:v>
      </x:c>
      <x:c r="P79" s="6" t="n">
        <x:v>140458.4</x:v>
      </x:c>
      <x:c r="Q79" s="6" t="n">
        <x:v>75</x:v>
      </x:c>
      <x:c r="R79" s="6" t="n">
        <x:f>F79-I79</x:f>
        <x:v>417568.63</x:v>
      </x:c>
      <x:c r="S79" s="6" t="n">
        <x:f>G79-J79</x:f>
        <x:v>415491.68000000005</x:v>
      </x:c>
      <x:c r="T79" s="6" t="n">
        <x:f>R79-L79</x:f>
        <x:v>163553.84</x:v>
      </x:c>
      <x:c r="U79" s="6" t="n">
        <x:f>S79-M79</x:f>
        <x:v>153551.27000000005</x:v>
      </x:c>
      <x:c r="V79" s="6" t="n">
        <x:f>F79-G79</x:f>
        <x:v>-11768.390000000014</x:v>
      </x:c>
      <x:c r="W79" s="8" t="n">
        <x:f>IFERROR(V79/G79,0)</x:f>
        <x:v>-0.013029044084913708</x:v>
      </x:c>
      <x:c r="X79" s="8" t="n">
        <x:f>IFERROR(T79/F79,0)</x:f>
        <x:v>0.1834644290791124</x:v>
      </x:c>
      <x:c r="Y79" s="8" t="n">
        <x:f>IFERROR(T79/O79,0)</x:f>
        <x:v>0.10792025261310995</x:v>
      </x:c>
    </x:row>
    <x:row r="80">
      <x:c r="A80" t="str">
        <x:v>2024-07-01</x:v>
      </x:c>
      <x:c r="B80" t="n">
        <x:v>2024</x:v>
      </x:c>
      <x:c r="C80" t="str">
        <x:v>Q3</x:v>
      </x:c>
      <x:c r="D80" t="str">
        <x:v>Digital</x:v>
      </x:c>
      <x:c r="E80" t="str">
        <x:v>East</x:v>
      </x:c>
      <x:c r="F80" s="6" t="n">
        <x:v>668394.33</x:v>
      </x:c>
      <x:c r="G80" s="6" t="n">
        <x:v>695213.67</x:v>
      </x:c>
      <x:c r="H80" s="6" t="n">
        <x:v>697537.05</x:v>
      </x:c>
      <x:c r="I80" s="6" t="n">
        <x:v>242030.86</x:v>
      </x:c>
      <x:c r="J80" s="6" t="n">
        <x:v>250276.92</x:v>
      </x:c>
      <x:c r="K80" s="6" t="n">
        <x:v>252508.41</x:v>
      </x:c>
      <x:c r="L80" s="6" t="n">
        <x:v>227570.37</x:v>
      </x:c>
      <x:c r="M80" s="6" t="n">
        <x:v>236372.65</x:v>
      </x:c>
      <x:c r="N80" s="6" t="n">
        <x:v>239952.75</x:v>
      </x:c>
      <x:c r="O80" s="6" t="n">
        <x:v>935752.06</x:v>
      </x:c>
      <x:c r="P80" s="6" t="n">
        <x:v>151354.48</x:v>
      </x:c>
      <x:c r="Q80" s="6" t="n">
        <x:v>56</x:v>
      </x:c>
      <x:c r="R80" s="6" t="n">
        <x:f>F80-I80</x:f>
        <x:v>426363.47</x:v>
      </x:c>
      <x:c r="S80" s="6" t="n">
        <x:f>G80-J80</x:f>
        <x:v>444936.75</x:v>
      </x:c>
      <x:c r="T80" s="6" t="n">
        <x:f>R80-L80</x:f>
        <x:v>198793.09999999998</x:v>
      </x:c>
      <x:c r="U80" s="6" t="n">
        <x:f>S80-M80</x:f>
        <x:v>208564.1</x:v>
      </x:c>
      <x:c r="V80" s="6" t="n">
        <x:f>F80-G80</x:f>
        <x:v>-26819.340000000084</x:v>
      </x:c>
      <x:c r="W80" s="8" t="n">
        <x:f>IFERROR(V80/G80,0)</x:f>
        <x:v>-0.038577118312417655</x:v>
      </x:c>
      <x:c r="X80" s="8" t="n">
        <x:f>IFERROR(T80/F80,0)</x:f>
        <x:v>0.2974188904325385</x:v>
      </x:c>
      <x:c r="Y80" s="8" t="n">
        <x:f>IFERROR(T80/O80,0)</x:f>
        <x:v>0.21244206504872665</x:v>
      </x:c>
    </x:row>
    <x:row r="81">
      <x:c r="A81" t="str">
        <x:v>2024-07-01</x:v>
      </x:c>
      <x:c r="B81" t="n">
        <x:v>2024</x:v>
      </x:c>
      <x:c r="C81" t="str">
        <x:v>Q3</x:v>
      </x:c>
      <x:c r="D81" t="str">
        <x:v>Digital</x:v>
      </x:c>
      <x:c r="E81" t="str">
        <x:v>Central</x:v>
      </x:c>
      <x:c r="F81" s="6" t="n">
        <x:v>645136.17</x:v>
      </x:c>
      <x:c r="G81" s="6" t="n">
        <x:v>617069.47</x:v>
      </x:c>
      <x:c r="H81" s="6" t="n">
        <x:v>624032.22</x:v>
      </x:c>
      <x:c r="I81" s="6" t="n">
        <x:v>236173.77</x:v>
      </x:c>
      <x:c r="J81" s="6" t="n">
        <x:v>222145.01</x:v>
      </x:c>
      <x:c r="K81" s="6" t="n">
        <x:v>225899.66</x:v>
      </x:c>
      <x:c r="L81" s="6" t="n">
        <x:v>228185.93</x:v>
      </x:c>
      <x:c r="M81" s="6" t="n">
        <x:v>209803.62</x:v>
      </x:c>
      <x:c r="N81" s="6" t="n">
        <x:v>214667.08</x:v>
      </x:c>
      <x:c r="O81" s="6" t="n">
        <x:v>903190.63</x:v>
      </x:c>
      <x:c r="P81" s="6" t="n">
        <x:v>157839.36</x:v>
      </x:c>
      <x:c r="Q81" s="6" t="n">
        <x:v>50</x:v>
      </x:c>
      <x:c r="R81" s="6" t="n">
        <x:f>F81-I81</x:f>
        <x:v>408962.4</x:v>
      </x:c>
      <x:c r="S81" s="6" t="n">
        <x:f>G81-J81</x:f>
        <x:v>394924.45999999996</x:v>
      </x:c>
      <x:c r="T81" s="6" t="n">
        <x:f>R81-L81</x:f>
        <x:v>180776.47000000003</x:v>
      </x:c>
      <x:c r="U81" s="6" t="n">
        <x:f>S81-M81</x:f>
        <x:v>185120.83999999997</x:v>
      </x:c>
      <x:c r="V81" s="6" t="n">
        <x:f>F81-G81</x:f>
        <x:v>28066.70000000007</x:v>
      </x:c>
      <x:c r="W81" s="8" t="n">
        <x:f>IFERROR(V81/G81,0)</x:f>
        <x:v>0.04548385775753915</x:v>
      </x:c>
      <x:c r="X81" s="8" t="n">
        <x:f>IFERROR(T81/F81,0)</x:f>
        <x:v>0.2802144390695069</x:v>
      </x:c>
      <x:c r="Y81" s="8" t="n">
        <x:f>IFERROR(T81/O81,0)</x:f>
        <x:v>0.20015317253678774</x:v>
      </x:c>
    </x:row>
    <x:row r="82">
      <x:c r="A82" t="str">
        <x:v>2024-07-01</x:v>
      </x:c>
      <x:c r="B82" t="n">
        <x:v>2024</x:v>
      </x:c>
      <x:c r="C82" t="str">
        <x:v>Q3</x:v>
      </x:c>
      <x:c r="D82" t="str">
        <x:v>Digital</x:v>
      </x:c>
      <x:c r="E82" t="str">
        <x:v>West</x:v>
      </x:c>
      <x:c r="F82" s="6" t="n">
        <x:v>632818.82</x:v>
      </x:c>
      <x:c r="G82" s="6" t="n">
        <x:v>662228.65</x:v>
      </x:c>
      <x:c r="H82" s="6" t="n">
        <x:v>662777.74</x:v>
      </x:c>
      <x:c r="I82" s="6" t="n">
        <x:v>232618.09</x:v>
      </x:c>
      <x:c r="J82" s="6" t="n">
        <x:v>238402.32</x:v>
      </x:c>
      <x:c r="K82" s="6" t="n">
        <x:v>239925.54</x:v>
      </x:c>
      <x:c r="L82" s="6" t="n">
        <x:v>223766.91</x:v>
      </x:c>
      <x:c r="M82" s="6" t="n">
        <x:v>225157.74</x:v>
      </x:c>
      <x:c r="N82" s="6" t="n">
        <x:v>227995.54</x:v>
      </x:c>
      <x:c r="O82" s="6" t="n">
        <x:v>885946.35</x:v>
      </x:c>
      <x:c r="P82" s="6" t="n">
        <x:v>160675.82</x:v>
      </x:c>
      <x:c r="Q82" s="6" t="n">
        <x:v>54</x:v>
      </x:c>
      <x:c r="R82" s="6" t="n">
        <x:f>F82-I82</x:f>
        <x:v>400200.73</x:v>
      </x:c>
      <x:c r="S82" s="6" t="n">
        <x:f>G82-J82</x:f>
        <x:v>423826.33</x:v>
      </x:c>
      <x:c r="T82" s="6" t="n">
        <x:f>R82-L82</x:f>
        <x:v>176433.81999999998</x:v>
      </x:c>
      <x:c r="U82" s="6" t="n">
        <x:f>S82-M82</x:f>
        <x:v>198668.59000000003</x:v>
      </x:c>
      <x:c r="V82" s="6" t="n">
        <x:f>F82-G82</x:f>
        <x:v>-29409.830000000075</x:v>
      </x:c>
      <x:c r="W82" s="8" t="n">
        <x:f>IFERROR(V82/G82,0)</x:f>
        <x:v>-0.04441038605019591</x:v>
      </x:c>
      <x:c r="X82" s="8" t="n">
        <x:f>IFERROR(T82/F82,0)</x:f>
        <x:v>0.2788062150237567</x:v>
      </x:c>
      <x:c r="Y82" s="8" t="n">
        <x:f>IFERROR(T82/O82,0)</x:f>
        <x:v>0.19914729599597084</x:v>
      </x:c>
    </x:row>
    <x:row r="83">
      <x:c r="A83" t="str">
        <x:v>2024-07-01</x:v>
      </x:c>
      <x:c r="B83" t="n">
        <x:v>2024</x:v>
      </x:c>
      <x:c r="C83" t="str">
        <x:v>Q3</x:v>
      </x:c>
      <x:c r="D83" t="str">
        <x:v>Services</x:v>
      </x:c>
      <x:c r="E83" t="str">
        <x:v>East</x:v>
      </x:c>
      <x:c r="F83" s="6" t="n">
        <x:v>522983.21</x:v>
      </x:c>
      <x:c r="G83" s="6" t="n">
        <x:v>507873.19</x:v>
      </x:c>
      <x:c r="H83" s="6" t="n">
        <x:v>512736.56</x:v>
      </x:c>
      <x:c r="I83" s="6" t="n">
        <x:v>221579.92</x:v>
      </x:c>
      <x:c r="J83" s="6" t="n">
        <x:v>213306.74</x:v>
      </x:c>
      <x:c r="K83" s="6" t="n">
        <x:v>216374.83</x:v>
      </x:c>
      <x:c r="L83" s="6" t="n">
        <x:v>159309.14</x:v>
      </x:c>
      <x:c r="M83" s="6" t="n">
        <x:v>157440.69</x:v>
      </x:c>
      <x:c r="N83" s="6" t="n">
        <x:v>160999.28</x:v>
      </x:c>
      <x:c r="O83" s="6" t="n">
        <x:v>836773.14</x:v>
      </x:c>
      <x:c r="P83" s="6" t="n">
        <x:v>108543.5</x:v>
      </x:c>
      <x:c r="Q83" s="6" t="n">
        <x:v>51</x:v>
      </x:c>
      <x:c r="R83" s="6" t="n">
        <x:f>F83-I83</x:f>
        <x:v>301403.29000000004</x:v>
      </x:c>
      <x:c r="S83" s="6" t="n">
        <x:f>G83-J83</x:f>
        <x:v>294566.45</x:v>
      </x:c>
      <x:c r="T83" s="6" t="n">
        <x:f>R83-L83</x:f>
        <x:v>142094.15000000002</x:v>
      </x:c>
      <x:c r="U83" s="6" t="n">
        <x:f>S83-M83</x:f>
        <x:v>137125.76</x:v>
      </x:c>
      <x:c r="V83" s="6" t="n">
        <x:f>F83-G83</x:f>
        <x:v>15110.020000000019</x:v>
      </x:c>
      <x:c r="W83" s="8" t="n">
        <x:f>IFERROR(V83/G83,0)</x:f>
        <x:v>0.02975156062087077</x:v>
      </x:c>
      <x:c r="X83" s="8" t="n">
        <x:f>IFERROR(T83/F83,0)</x:f>
        <x:v>0.2716992578021769</x:v>
      </x:c>
      <x:c r="Y83" s="8" t="n">
        <x:f>IFERROR(T83/O83,0)</x:f>
        <x:v>0.1698120353146135</x:v>
      </x:c>
    </x:row>
    <x:row r="84">
      <x:c r="A84" t="str">
        <x:v>2024-07-01</x:v>
      </x:c>
      <x:c r="B84" t="n">
        <x:v>2024</x:v>
      </x:c>
      <x:c r="C84" t="str">
        <x:v>Q3</x:v>
      </x:c>
      <x:c r="D84" t="str">
        <x:v>Services</x:v>
      </x:c>
      <x:c r="E84" t="str">
        <x:v>Central</x:v>
      </x:c>
      <x:c r="F84" s="6" t="n">
        <x:v>435747.29</x:v>
      </x:c>
      <x:c r="G84" s="6" t="n">
        <x:v>454897.34</x:v>
      </x:c>
      <x:c r="H84" s="6" t="n">
        <x:v>454954.58</x:v>
      </x:c>
      <x:c r="I84" s="6" t="n">
        <x:v>185479.18</x:v>
      </x:c>
      <x:c r="J84" s="6" t="n">
        <x:v>191056.88</x:v>
      </x:c>
      <x:c r="K84" s="6" t="n">
        <x:v>191990.83</x:v>
      </x:c>
      <x:c r="L84" s="6" t="n">
        <x:v>135138.09</x:v>
      </x:c>
      <x:c r="M84" s="6" t="n">
        <x:v>141018.17</x:v>
      </x:c>
      <x:c r="N84" s="6" t="n">
        <x:v>142855.74</x:v>
      </x:c>
      <x:c r="O84" s="6" t="n">
        <x:v>697195.66</x:v>
      </x:c>
      <x:c r="P84" s="6" t="n">
        <x:v>86693.93</x:v>
      </x:c>
      <x:c r="Q84" s="6" t="n">
        <x:v>46</x:v>
      </x:c>
      <x:c r="R84" s="6" t="n">
        <x:f>F84-I84</x:f>
        <x:v>250268.11</x:v>
      </x:c>
      <x:c r="S84" s="6" t="n">
        <x:f>G84-J84</x:f>
        <x:v>263840.46</x:v>
      </x:c>
      <x:c r="T84" s="6" t="n">
        <x:f>R84-L84</x:f>
        <x:v>115130.01999999999</x:v>
      </x:c>
      <x:c r="U84" s="6" t="n">
        <x:f>S84-M84</x:f>
        <x:v>122822.29000000001</x:v>
      </x:c>
      <x:c r="V84" s="6" t="n">
        <x:f>F84-G84</x:f>
        <x:v>-19150.050000000047</x:v>
      </x:c>
      <x:c r="W84" s="8" t="n">
        <x:f>IFERROR(V84/G84,0)</x:f>
        <x:v>-0.042097520288863516</x:v>
      </x:c>
      <x:c r="X84" s="8" t="n">
        <x:f>IFERROR(T84/F84,0)</x:f>
        <x:v>0.26421281931552576</x:v>
      </x:c>
      <x:c r="Y84" s="8" t="n">
        <x:f>IFERROR(T84/O84,0)</x:f>
        <x:v>0.1651330130196163</x:v>
      </x:c>
    </x:row>
    <x:row r="85">
      <x:c r="A85" t="str">
        <x:v>2024-07-01</x:v>
      </x:c>
      <x:c r="B85" t="n">
        <x:v>2024</x:v>
      </x:c>
      <x:c r="C85" t="str">
        <x:v>Q3</x:v>
      </x:c>
      <x:c r="D85" t="str">
        <x:v>Services</x:v>
      </x:c>
      <x:c r="E85" t="str">
        <x:v>West</x:v>
      </x:c>
      <x:c r="F85" s="6" t="n">
        <x:v>473464.63</x:v>
      </x:c>
      <x:c r="G85" s="6" t="n">
        <x:v>489236.25</x:v>
      </x:c>
      <x:c r="H85" s="6" t="n">
        <x:v>495597.08</x:v>
      </x:c>
      <x:c r="I85" s="6" t="n">
        <x:v>193505.53</x:v>
      </x:c>
      <x:c r="J85" s="6" t="n">
        <x:v>205479.22</x:v>
      </x:c>
      <x:c r="K85" s="6" t="n">
        <x:v>209141.97</x:v>
      </x:c>
      <x:c r="L85" s="6" t="n">
        <x:v>146689.1</x:v>
      </x:c>
      <x:c r="M85" s="6" t="n">
        <x:v>151663.24</x:v>
      </x:c>
      <x:c r="N85" s="6" t="n">
        <x:v>155617.48</x:v>
      </x:c>
      <x:c r="O85" s="6" t="n">
        <x:v>757543.41</x:v>
      </x:c>
      <x:c r="P85" s="6" t="n">
        <x:v>110997.71</x:v>
      </x:c>
      <x:c r="Q85" s="6" t="n">
        <x:v>49</x:v>
      </x:c>
      <x:c r="R85" s="6" t="n">
        <x:f>F85-I85</x:f>
        <x:v>279959.1</x:v>
      </x:c>
      <x:c r="S85" s="6" t="n">
        <x:f>G85-J85</x:f>
        <x:v>283757.03</x:v>
      </x:c>
      <x:c r="T85" s="6" t="n">
        <x:f>R85-L85</x:f>
        <x:v>133269.99999999997</x:v>
      </x:c>
      <x:c r="U85" s="6" t="n">
        <x:f>S85-M85</x:f>
        <x:v>132093.79000000004</x:v>
      </x:c>
      <x:c r="V85" s="6" t="n">
        <x:f>F85-G85</x:f>
        <x:v>-15771.619999999995</x:v>
      </x:c>
      <x:c r="W85" s="8" t="n">
        <x:f>IFERROR(V85/G85,0)</x:f>
        <x:v>-0.032237226902135714</x:v>
      </x:c>
      <x:c r="X85" s="8" t="n">
        <x:f>IFERROR(T85/F85,0)</x:f>
        <x:v>0.28147825952701044</x:v>
      </x:c>
      <x:c r="Y85" s="8" t="n">
        <x:f>IFERROR(T85/O85,0)</x:f>
        <x:v>0.17592391173992256</x:v>
      </x:c>
    </x:row>
    <x:row r="86">
      <x:c r="A86" t="str">
        <x:v>2024-08-01</x:v>
      </x:c>
      <x:c r="B86" t="n">
        <x:v>2024</x:v>
      </x:c>
      <x:c r="C86" t="str">
        <x:v>Q3</x:v>
      </x:c>
      <x:c r="D86" t="str">
        <x:v>Enterprise</x:v>
      </x:c>
      <x:c r="E86" t="str">
        <x:v>East</x:v>
      </x:c>
      <x:c r="F86" s="6" t="n">
        <x:v>1613225.72</x:v>
      </x:c>
      <x:c r="G86" s="6" t="n">
        <x:v>1582718.87</x:v>
      </x:c>
      <x:c r="H86" s="6" t="n">
        <x:v>1568642.92</x:v>
      </x:c>
      <x:c r="I86" s="6" t="n">
        <x:v>774355.05</x:v>
      </x:c>
      <x:c r="J86" s="6" t="n">
        <x:v>759705.06</x:v>
      </x:c>
      <x:c r="K86" s="6" t="n">
        <x:v>756085.89</x:v>
      </x:c>
      <x:c r="L86" s="6" t="n">
        <x:v>418645.85</x:v>
      </x:c>
      <x:c r="M86" s="6" t="n">
        <x:v>427334.09</x:v>
      </x:c>
      <x:c r="N86" s="6" t="n">
        <x:v>429808.16</x:v>
      </x:c>
      <x:c r="O86" s="6" t="n">
        <x:v>3387774</x:v>
      </x:c>
      <x:c r="P86" s="6" t="n">
        <x:v>334423.64</x:v>
      </x:c>
      <x:c r="Q86" s="6" t="n">
        <x:v>110</x:v>
      </x:c>
      <x:c r="R86" s="6" t="n">
        <x:f>F86-I86</x:f>
        <x:v>838870.6699999999</x:v>
      </x:c>
      <x:c r="S86" s="6" t="n">
        <x:f>G86-J86</x:f>
        <x:v>823013.81</x:v>
      </x:c>
      <x:c r="T86" s="6" t="n">
        <x:f>R86-L86</x:f>
        <x:v>420224.81999999995</x:v>
      </x:c>
      <x:c r="U86" s="6" t="n">
        <x:f>S86-M86</x:f>
        <x:v>395679.72000000003</x:v>
      </x:c>
      <x:c r="V86" s="6" t="n">
        <x:f>F86-G86</x:f>
        <x:v>30506.84999999986</x:v>
      </x:c>
      <x:c r="W86" s="8" t="n">
        <x:f>IFERROR(V86/G86,0)</x:f>
        <x:v>0.019274964479320235</x:v>
      </x:c>
      <x:c r="X86" s="8" t="n">
        <x:f>IFERROR(T86/F86,0)</x:f>
        <x:v>0.2604873049011393</x:v>
      </x:c>
      <x:c r="Y86" s="8" t="n">
        <x:f>IFERROR(T86/O86,0)</x:f>
        <x:v>0.124041574201821</x:v>
      </x:c>
    </x:row>
    <x:row r="87">
      <x:c r="A87" t="str">
        <x:v>2024-08-01</x:v>
      </x:c>
      <x:c r="B87" t="n">
        <x:v>2024</x:v>
      </x:c>
      <x:c r="C87" t="str">
        <x:v>Q3</x:v>
      </x:c>
      <x:c r="D87" t="str">
        <x:v>Enterprise</x:v>
      </x:c>
      <x:c r="E87" t="str">
        <x:v>Central</x:v>
      </x:c>
      <x:c r="F87" s="6" t="n">
        <x:v>1407320.35</x:v>
      </x:c>
      <x:c r="G87" s="6" t="n">
        <x:v>1424868.2</x:v>
      </x:c>
      <x:c r="H87" s="6" t="n">
        <x:v>1452304.51</x:v>
      </x:c>
      <x:c r="I87" s="6" t="n">
        <x:v>672498.27</x:v>
      </x:c>
      <x:c r="J87" s="6" t="n">
        <x:v>683936.73</x:v>
      </x:c>
      <x:c r="K87" s="6" t="n">
        <x:v>700010.77</x:v>
      </x:c>
      <x:c r="L87" s="6" t="n">
        <x:v>394838.21</x:v>
      </x:c>
      <x:c r="M87" s="6" t="n">
        <x:v>384714.41</x:v>
      </x:c>
      <x:c r="N87" s="6" t="n">
        <x:v>397931.44</x:v>
      </x:c>
      <x:c r="O87" s="6" t="n">
        <x:v>2955372.73</x:v>
      </x:c>
      <x:c r="P87" s="6" t="n">
        <x:v>301356.55</x:v>
      </x:c>
      <x:c r="Q87" s="6" t="n">
        <x:v>98</x:v>
      </x:c>
      <x:c r="R87" s="6" t="n">
        <x:f>F87-I87</x:f>
        <x:v>734822.0800000001</x:v>
      </x:c>
      <x:c r="S87" s="6" t="n">
        <x:f>G87-J87</x:f>
        <x:v>740931.47</x:v>
      </x:c>
      <x:c r="T87" s="6" t="n">
        <x:f>R87-L87</x:f>
        <x:v>339983.87000000005</x:v>
      </x:c>
      <x:c r="U87" s="6" t="n">
        <x:f>S87-M87</x:f>
        <x:v>356217.06</x:v>
      </x:c>
      <x:c r="V87" s="6" t="n">
        <x:f>F87-G87</x:f>
        <x:v>-17547.84999999986</x:v>
      </x:c>
      <x:c r="W87" s="8" t="n">
        <x:f>IFERROR(V87/G87,0)</x:f>
        <x:v>-0.01231541977005302</x:v>
      </x:c>
      <x:c r="X87" s="8" t="n">
        <x:f>IFERROR(T87/F87,0)</x:f>
        <x:v>0.24158243004160357</x:v>
      </x:c>
      <x:c r="Y87" s="8" t="n">
        <x:f>IFERROR(T87/O87,0)</x:f>
        <x:v>0.11503925259539093</x:v>
      </x:c>
    </x:row>
    <x:row r="88">
      <x:c r="A88" t="str">
        <x:v>2024-08-01</x:v>
      </x:c>
      <x:c r="B88" t="n">
        <x:v>2024</x:v>
      </x:c>
      <x:c r="C88" t="str">
        <x:v>Q3</x:v>
      </x:c>
      <x:c r="D88" t="str">
        <x:v>Enterprise</x:v>
      </x:c>
      <x:c r="E88" t="str">
        <x:v>West</x:v>
      </x:c>
      <x:c r="F88" s="6" t="n">
        <x:v>1476433.41</x:v>
      </x:c>
      <x:c r="G88" s="6" t="n">
        <x:v>1532856.92</x:v>
      </x:c>
      <x:c r="H88" s="6" t="n">
        <x:v>1511201.1</x:v>
      </x:c>
      <x:c r="I88" s="6" t="n">
        <x:v>711677.66</x:v>
      </x:c>
      <x:c r="J88" s="6" t="n">
        <x:v>735771.32</x:v>
      </x:c>
      <x:c r="K88" s="6" t="n">
        <x:v>728398.93</x:v>
      </x:c>
      <x:c r="L88" s="6" t="n">
        <x:v>425208.74</x:v>
      </x:c>
      <x:c r="M88" s="6" t="n">
        <x:v>413871.37</x:v>
      </x:c>
      <x:c r="N88" s="6" t="n">
        <x:v>414069.1</x:v>
      </x:c>
      <x:c r="O88" s="6" t="n">
        <x:v>3100510.17</x:v>
      </x:c>
      <x:c r="P88" s="6" t="n">
        <x:v>268239.45</x:v>
      </x:c>
      <x:c r="Q88" s="6" t="n">
        <x:v>106</x:v>
      </x:c>
      <x:c r="R88" s="6" t="n">
        <x:f>F88-I88</x:f>
        <x:v>764755.7499999999</x:v>
      </x:c>
      <x:c r="S88" s="6" t="n">
        <x:f>G88-J88</x:f>
        <x:v>797085.6</x:v>
      </x:c>
      <x:c r="T88" s="6" t="n">
        <x:f>R88-L88</x:f>
        <x:v>339547.0099999999</x:v>
      </x:c>
      <x:c r="U88" s="6" t="n">
        <x:f>S88-M88</x:f>
        <x:v>383214.23</x:v>
      </x:c>
      <x:c r="V88" s="6" t="n">
        <x:f>F88-G88</x:f>
        <x:v>-56423.51000000001</x:v>
      </x:c>
      <x:c r="W88" s="8" t="n">
        <x:f>IFERROR(V88/G88,0)</x:f>
        <x:v>-0.03680937813817614</x:v>
      </x:c>
      <x:c r="X88" s="8" t="n">
        <x:f>IFERROR(T88/F88,0)</x:f>
        <x:v>0.22997786943875775</x:v>
      </x:c>
      <x:c r="Y88" s="8" t="n">
        <x:f>IFERROR(T88/O88,0)</x:f>
        <x:v>0.10951327084342377</x:v>
      </x:c>
    </x:row>
    <x:row r="89">
      <x:c r="A89" t="str">
        <x:v>2024-08-01</x:v>
      </x:c>
      <x:c r="B89" t="n">
        <x:v>2024</x:v>
      </x:c>
      <x:c r="C89" t="str">
        <x:v>Q3</x:v>
      </x:c>
      <x:c r="D89" t="str">
        <x:v>SMB</x:v>
      </x:c>
      <x:c r="E89" t="str">
        <x:v>East</x:v>
      </x:c>
      <x:c r="F89" s="6" t="n">
        <x:v>962662.41</x:v>
      </x:c>
      <x:c r="G89" s="6" t="n">
        <x:v>931798.17</x:v>
      </x:c>
      <x:c r="H89" s="6" t="n">
        <x:v>945149.87</x:v>
      </x:c>
      <x:c r="I89" s="6" t="n">
        <x:v>527163.62</x:v>
      </x:c>
      <x:c r="J89" s="6" t="n">
        <x:v>503171.01</x:v>
      </x:c>
      <x:c r="K89" s="6" t="n">
        <x:v>512271.23</x:v>
      </x:c>
      <x:c r="L89" s="6" t="n">
        <x:v>295044.82</x:v>
      </x:c>
      <x:c r="M89" s="6" t="n">
        <x:v>270221.47</x:v>
      </x:c>
      <x:c r="N89" s="6" t="n">
        <x:v>277874.06</x:v>
      </x:c>
      <x:c r="O89" s="6" t="n">
        <x:v>1636526.1</x:v>
      </x:c>
      <x:c r="P89" s="6" t="n">
        <x:v>106727.06</x:v>
      </x:c>
      <x:c r="Q89" s="6" t="n">
        <x:v>78</x:v>
      </x:c>
      <x:c r="R89" s="6" t="n">
        <x:f>F89-I89</x:f>
        <x:v>435498.79000000004</x:v>
      </x:c>
      <x:c r="S89" s="6" t="n">
        <x:f>G89-J89</x:f>
        <x:v>428627.16000000003</x:v>
      </x:c>
      <x:c r="T89" s="6" t="n">
        <x:f>R89-L89</x:f>
        <x:v>140453.97000000003</x:v>
      </x:c>
      <x:c r="U89" s="6" t="n">
        <x:f>S89-M89</x:f>
        <x:v>158405.69000000006</x:v>
      </x:c>
      <x:c r="V89" s="6" t="n">
        <x:f>F89-G89</x:f>
        <x:v>30864.23999999999</x:v>
      </x:c>
      <x:c r="W89" s="8" t="n">
        <x:f>IFERROR(V89/G89,0)</x:f>
        <x:v>0.03312331038383558</x:v>
      </x:c>
      <x:c r="X89" s="8" t="n">
        <x:f>IFERROR(T89/F89,0)</x:f>
        <x:v>0.14590158350527058</x:v>
      </x:c>
      <x:c r="Y89" s="8" t="n">
        <x:f>IFERROR(T89/O89,0)</x:f>
        <x:v>0.08582446072812405</x:v>
      </x:c>
    </x:row>
    <x:row r="90">
      <x:c r="A90" t="str">
        <x:v>2024-08-01</x:v>
      </x:c>
      <x:c r="B90" t="n">
        <x:v>2024</x:v>
      </x:c>
      <x:c r="C90" t="str">
        <x:v>Q3</x:v>
      </x:c>
      <x:c r="D90" t="str">
        <x:v>SMB</x:v>
      </x:c>
      <x:c r="E90" t="str">
        <x:v>Central</x:v>
      </x:c>
      <x:c r="F90" s="6" t="n">
        <x:v>794132.01</x:v>
      </x:c>
      <x:c r="G90" s="6" t="n">
        <x:v>818491.77</x:v>
      </x:c>
      <x:c r="H90" s="6" t="n">
        <x:v>810863.38</x:v>
      </x:c>
      <x:c r="I90" s="6" t="n">
        <x:v>433124.31</x:v>
      </x:c>
      <x:c r="J90" s="6" t="n">
        <x:v>441985.56</x:v>
      </x:c>
      <x:c r="K90" s="6" t="n">
        <x:v>439487.95</x:v>
      </x:c>
      <x:c r="L90" s="6" t="n">
        <x:v>234204.69</x:v>
      </x:c>
      <x:c r="M90" s="6" t="n">
        <x:v>237362.61</x:v>
      </x:c>
      <x:c r="N90" s="6" t="n">
        <x:v>238393.83</x:v>
      </x:c>
      <x:c r="O90" s="6" t="n">
        <x:v>1350024.42</x:v>
      </x:c>
      <x:c r="P90" s="6" t="n">
        <x:v>96825.88</x:v>
      </x:c>
      <x:c r="Q90" s="6" t="n">
        <x:v>70</x:v>
      </x:c>
      <x:c r="R90" s="6" t="n">
        <x:f>F90-I90</x:f>
        <x:v>361007.7</x:v>
      </x:c>
      <x:c r="S90" s="6" t="n">
        <x:f>G90-J90</x:f>
        <x:v>376506.21</x:v>
      </x:c>
      <x:c r="T90" s="6" t="n">
        <x:f>R90-L90</x:f>
        <x:v>126803.01000000001</x:v>
      </x:c>
      <x:c r="U90" s="6" t="n">
        <x:f>S90-M90</x:f>
        <x:v>139143.60000000003</x:v>
      </x:c>
      <x:c r="V90" s="6" t="n">
        <x:f>F90-G90</x:f>
        <x:v>-24359.76000000001</x:v>
      </x:c>
      <x:c r="W90" s="8" t="n">
        <x:f>IFERROR(V90/G90,0)</x:f>
        <x:v>-0.029761765350432307</x:v>
      </x:c>
      <x:c r="X90" s="8" t="n">
        <x:f>IFERROR(T90/F90,0)</x:f>
        <x:v>0.15967497645637027</x:v>
      </x:c>
      <x:c r="Y90" s="8" t="n">
        <x:f>IFERROR(T90/O90,0)</x:f>
        <x:v>0.09392645653031967</x:v>
      </x:c>
    </x:row>
    <x:row r="91">
      <x:c r="A91" t="str">
        <x:v>2024-08-01</x:v>
      </x:c>
      <x:c r="B91" t="n">
        <x:v>2024</x:v>
      </x:c>
      <x:c r="C91" t="str">
        <x:v>Q3</x:v>
      </x:c>
      <x:c r="D91" t="str">
        <x:v>SMB</x:v>
      </x:c>
      <x:c r="E91" t="str">
        <x:v>West</x:v>
      </x:c>
      <x:c r="F91" s="6" t="n">
        <x:v>926066.79</x:v>
      </x:c>
      <x:c r="G91" s="6" t="n">
        <x:v>897621.34</x:v>
      </x:c>
      <x:c r="H91" s="6" t="n">
        <x:v>890934.53</x:v>
      </x:c>
      <x:c r="I91" s="6" t="n">
        <x:v>503584.41</x:v>
      </x:c>
      <x:c r="J91" s="6" t="n">
        <x:v>484715.53</x:v>
      </x:c>
      <x:c r="K91" s="6" t="n">
        <x:v>482886.51</x:v>
      </x:c>
      <x:c r="L91" s="6" t="n">
        <x:v>278225.44</x:v>
      </x:c>
      <x:c r="M91" s="6" t="n">
        <x:v>260310.19</x:v>
      </x:c>
      <x:c r="N91" s="6" t="n">
        <x:v>261934.75</x:v>
      </x:c>
      <x:c r="O91" s="6" t="n">
        <x:v>1574313.55</x:v>
      </x:c>
      <x:c r="P91" s="6" t="n">
        <x:v>107169.43</x:v>
      </x:c>
      <x:c r="Q91" s="6" t="n">
        <x:v>75</x:v>
      </x:c>
      <x:c r="R91" s="6" t="n">
        <x:f>F91-I91</x:f>
        <x:v>422482.38000000006</x:v>
      </x:c>
      <x:c r="S91" s="6" t="n">
        <x:f>G91-J91</x:f>
        <x:v>412905.80999999994</x:v>
      </x:c>
      <x:c r="T91" s="6" t="n">
        <x:f>R91-L91</x:f>
        <x:v>144256.94000000006</x:v>
      </x:c>
      <x:c r="U91" s="6" t="n">
        <x:f>S91-M91</x:f>
        <x:v>152595.61999999994</x:v>
      </x:c>
      <x:c r="V91" s="6" t="n">
        <x:f>F91-G91</x:f>
        <x:v>28445.45000000007</x:v>
      </x:c>
      <x:c r="W91" s="8" t="n">
        <x:f>IFERROR(V91/G91,0)</x:f>
        <x:v>0.03168981031578424</x:v>
      </x:c>
      <x:c r="X91" s="8" t="n">
        <x:f>IFERROR(T91/F91,0)</x:f>
        <x:v>0.1557737968338116</x:v>
      </x:c>
      <x:c r="Y91" s="8" t="n">
        <x:f>IFERROR(T91/O91,0)</x:f>
        <x:v>0.09163164478893042</x:v>
      </x:c>
    </x:row>
    <x:row r="92">
      <x:c r="A92" t="str">
        <x:v>2024-08-01</x:v>
      </x:c>
      <x:c r="B92" t="n">
        <x:v>2024</x:v>
      </x:c>
      <x:c r="C92" t="str">
        <x:v>Q3</x:v>
      </x:c>
      <x:c r="D92" t="str">
        <x:v>Digital</x:v>
      </x:c>
      <x:c r="E92" t="str">
        <x:v>East</x:v>
      </x:c>
      <x:c r="F92" s="6" t="n">
        <x:v>719595.38</x:v>
      </x:c>
      <x:c r="G92" s="6" t="n">
        <x:v>684369.46</x:v>
      </x:c>
      <x:c r="H92" s="6" t="n">
        <x:v>677433</x:v>
      </x:c>
      <x:c r="I92" s="6" t="n">
        <x:v>250899.62</x:v>
      </x:c>
      <x:c r="J92" s="6" t="n">
        <x:v>246373.01</x:v>
      </x:c>
      <x:c r="K92" s="6" t="n">
        <x:v>245230.74</x:v>
      </x:c>
      <x:c r="L92" s="6" t="n">
        <x:v>242761.77</x:v>
      </x:c>
      <x:c r="M92" s="6" t="n">
        <x:v>232685.62</x:v>
      </x:c>
      <x:c r="N92" s="6" t="n">
        <x:v>233036.95</x:v>
      </x:c>
      <x:c r="O92" s="6" t="n">
        <x:v>1007433.53</x:v>
      </x:c>
      <x:c r="P92" s="6" t="n">
        <x:v>193279.62</x:v>
      </x:c>
      <x:c r="Q92" s="6" t="n">
        <x:v>56</x:v>
      </x:c>
      <x:c r="R92" s="6" t="n">
        <x:f>F92-I92</x:f>
        <x:v>468695.76</x:v>
      </x:c>
      <x:c r="S92" s="6" t="n">
        <x:f>G92-J92</x:f>
        <x:v>437996.44999999995</x:v>
      </x:c>
      <x:c r="T92" s="6" t="n">
        <x:f>R92-L92</x:f>
        <x:v>225933.99000000002</x:v>
      </x:c>
      <x:c r="U92" s="6" t="n">
        <x:f>S92-M92</x:f>
        <x:v>205310.82999999996</x:v>
      </x:c>
      <x:c r="V92" s="6" t="n">
        <x:f>F92-G92</x:f>
        <x:v>35225.92000000004</x:v>
      </x:c>
      <x:c r="W92" s="8" t="n">
        <x:f>IFERROR(V92/G92,0)</x:f>
        <x:v>0.051472080592257934</x:v>
      </x:c>
      <x:c r="X92" s="8" t="n">
        <x:f>IFERROR(T92/F92,0)</x:f>
        <x:v>0.3139736528047192</x:v>
      </x:c>
      <x:c r="Y92" s="8" t="n">
        <x:f>IFERROR(T92/O92,0)</x:f>
        <x:v>0.22426689530573796</x:v>
      </x:c>
    </x:row>
    <x:row r="93">
      <x:c r="A93" t="str">
        <x:v>2024-08-01</x:v>
      </x:c>
      <x:c r="B93" t="n">
        <x:v>2024</x:v>
      </x:c>
      <x:c r="C93" t="str">
        <x:v>Q3</x:v>
      </x:c>
      <x:c r="D93" t="str">
        <x:v>Digital</x:v>
      </x:c>
      <x:c r="E93" t="str">
        <x:v>Central</x:v>
      </x:c>
      <x:c r="F93" s="6" t="n">
        <x:v>611920.06</x:v>
      </x:c>
      <x:c r="G93" s="6" t="n">
        <x:v>615201.88</x:v>
      </x:c>
      <x:c r="H93" s="6" t="n">
        <x:v>625768.38</x:v>
      </x:c>
      <x:c r="I93" s="6" t="n">
        <x:v>214157.28</x:v>
      </x:c>
      <x:c r="J93" s="6" t="n">
        <x:v>221472.68</x:v>
      </x:c>
      <x:c r="K93" s="6" t="n">
        <x:v>226528.16</x:v>
      </x:c>
      <x:c r="L93" s="6" t="n">
        <x:v>213387.8</x:v>
      </x:c>
      <x:c r="M93" s="6" t="n">
        <x:v>209168.64</x:v>
      </x:c>
      <x:c r="N93" s="6" t="n">
        <x:v>215264.32</x:v>
      </x:c>
      <x:c r="O93" s="6" t="n">
        <x:v>856688.08</x:v>
      </x:c>
      <x:c r="P93" s="6" t="n">
        <x:v>155879.54</x:v>
      </x:c>
      <x:c r="Q93" s="6" t="n">
        <x:v>51</x:v>
      </x:c>
      <x:c r="R93" s="6" t="n">
        <x:f>F93-I93</x:f>
        <x:v>397762.78</x:v>
      </x:c>
      <x:c r="S93" s="6" t="n">
        <x:f>G93-J93</x:f>
        <x:v>393729.2</x:v>
      </x:c>
      <x:c r="T93" s="6" t="n">
        <x:f>R93-L93</x:f>
        <x:v>184374.98000000004</x:v>
      </x:c>
      <x:c r="U93" s="6" t="n">
        <x:f>S93-M93</x:f>
        <x:v>184560.56</x:v>
      </x:c>
      <x:c r="V93" s="6" t="n">
        <x:f>F93-G93</x:f>
        <x:v>-3281.819999999949</x:v>
      </x:c>
      <x:c r="W93" s="8" t="n">
        <x:f>IFERROR(V93/G93,0)</x:f>
        <x:v>-0.0053345415654450674</x:v>
      </x:c>
      <x:c r="X93" s="8" t="n">
        <x:f>IFERROR(T93/F93,0)</x:f>
        <x:v>0.30130566401108017</x:v>
      </x:c>
      <x:c r="Y93" s="8" t="n">
        <x:f>IFERROR(T93/O93,0)</x:f>
        <x:v>0.21521833244137126</x:v>
      </x:c>
    </x:row>
    <x:row r="94">
      <x:c r="A94" t="str">
        <x:v>2024-08-01</x:v>
      </x:c>
      <x:c r="B94" t="n">
        <x:v>2024</x:v>
      </x:c>
      <x:c r="C94" t="str">
        <x:v>Q3</x:v>
      </x:c>
      <x:c r="D94" t="str">
        <x:v>Digital</x:v>
      </x:c>
      <x:c r="E94" t="str">
        <x:v>West</x:v>
      </x:c>
      <x:c r="F94" s="6" t="n">
        <x:v>665041.09</x:v>
      </x:c>
      <x:c r="G94" s="6" t="n">
        <x:v>644264.78</x:v>
      </x:c>
      <x:c r="H94" s="6" t="n">
        <x:v>659252.44</x:v>
      </x:c>
      <x:c r="I94" s="6" t="n">
        <x:v>241816.06</x:v>
      </x:c>
      <x:c r="J94" s="6" t="n">
        <x:v>231935.32</x:v>
      </x:c>
      <x:c r="K94" s="6" t="n">
        <x:v>238649.38</x:v>
      </x:c>
      <x:c r="L94" s="6" t="n">
        <x:v>220548.67</x:v>
      </x:c>
      <x:c r="M94" s="6" t="n">
        <x:v>219050.02</x:v>
      </x:c>
      <x:c r="N94" s="6" t="n">
        <x:v>226782.84</x:v>
      </x:c>
      <x:c r="O94" s="6" t="n">
        <x:v>931057.52</x:v>
      </x:c>
      <x:c r="P94" s="6" t="n">
        <x:v>185807.37</x:v>
      </x:c>
      <x:c r="Q94" s="6" t="n">
        <x:v>54</x:v>
      </x:c>
      <x:c r="R94" s="6" t="n">
        <x:f>F94-I94</x:f>
        <x:v>423225.02999999997</x:v>
      </x:c>
      <x:c r="S94" s="6" t="n">
        <x:f>G94-J94</x:f>
        <x:v>412329.46</x:v>
      </x:c>
      <x:c r="T94" s="6" t="n">
        <x:f>R94-L94</x:f>
        <x:v>202676.35999999996</x:v>
      </x:c>
      <x:c r="U94" s="6" t="n">
        <x:f>S94-M94</x:f>
        <x:v>193279.44000000003</x:v>
      </x:c>
      <x:c r="V94" s="6" t="n">
        <x:f>F94-G94</x:f>
        <x:v>20776.30999999994</x:v>
      </x:c>
      <x:c r="W94" s="8" t="n">
        <x:f>IFERROR(V94/G94,0)</x:f>
        <x:v>0.03224809215863071</x:v>
      </x:c>
      <x:c r="X94" s="8" t="n">
        <x:f>IFERROR(T94/F94,0)</x:f>
        <x:v>0.30475765038818875</x:v>
      </x:c>
      <x:c r="Y94" s="8" t="n">
        <x:f>IFERROR(T94/O94,0)</x:f>
        <x:v>0.21768403739438133</x:v>
      </x:c>
    </x:row>
    <x:row r="95">
      <x:c r="A95" t="str">
        <x:v>2024-08-01</x:v>
      </x:c>
      <x:c r="B95" t="n">
        <x:v>2024</x:v>
      </x:c>
      <x:c r="C95" t="str">
        <x:v>Q3</x:v>
      </x:c>
      <x:c r="D95" t="str">
        <x:v>Services</x:v>
      </x:c>
      <x:c r="E95" t="str">
        <x:v>East</x:v>
      </x:c>
      <x:c r="F95" s="6" t="n">
        <x:v>498544.73</x:v>
      </x:c>
      <x:c r="G95" s="6" t="n">
        <x:v>503722.81</x:v>
      </x:c>
      <x:c r="H95" s="6" t="n">
        <x:v>505877.24</x:v>
      </x:c>
      <x:c r="I95" s="6" t="n">
        <x:v>208209.65</x:v>
      </x:c>
      <x:c r="J95" s="6" t="n">
        <x:v>211563.58</x:v>
      </x:c>
      <x:c r="K95" s="6" t="n">
        <x:v>213480.19</x:v>
      </x:c>
      <x:c r="L95" s="6" t="n">
        <x:v>156133.65</x:v>
      </x:c>
      <x:c r="M95" s="6" t="n">
        <x:v>156154.07</x:v>
      </x:c>
      <x:c r="N95" s="6" t="n">
        <x:v>158845.45</x:v>
      </x:c>
      <x:c r="O95" s="6" t="n">
        <x:v>797671.57</x:v>
      </x:c>
      <x:c r="P95" s="6" t="n">
        <x:v>105783.77</x:v>
      </x:c>
      <x:c r="Q95" s="6" t="n">
        <x:v>51</x:v>
      </x:c>
      <x:c r="R95" s="6" t="n">
        <x:f>F95-I95</x:f>
        <x:v>290335.07999999996</x:v>
      </x:c>
      <x:c r="S95" s="6" t="n">
        <x:f>G95-J95</x:f>
        <x:v>292159.23</x:v>
      </x:c>
      <x:c r="T95" s="6" t="n">
        <x:f>R95-L95</x:f>
        <x:v>134201.42999999996</x:v>
      </x:c>
      <x:c r="U95" s="6" t="n">
        <x:f>S95-M95</x:f>
        <x:v>136005.15999999997</x:v>
      </x:c>
      <x:c r="V95" s="6" t="n">
        <x:f>F95-G95</x:f>
        <x:v>-5178.080000000016</x:v>
      </x:c>
      <x:c r="W95" s="8" t="n">
        <x:f>IFERROR(V95/G95,0)</x:f>
        <x:v>-0.010279621842020647</x:v>
      </x:c>
      <x:c r="X95" s="8" t="n">
        <x:f>IFERROR(T95/F95,0)</x:f>
        <x:v>0.2691863376030471</x:v>
      </x:c>
      <x:c r="Y95" s="8" t="n">
        <x:f>IFERROR(T95/O95,0)</x:f>
        <x:v>0.16824146058007303</x:v>
      </x:c>
    </x:row>
    <x:row r="96">
      <x:c r="A96" t="str">
        <x:v>2024-08-01</x:v>
      </x:c>
      <x:c r="B96" t="n">
        <x:v>2024</x:v>
      </x:c>
      <x:c r="C96" t="str">
        <x:v>Q3</x:v>
      </x:c>
      <x:c r="D96" t="str">
        <x:v>Services</x:v>
      </x:c>
      <x:c r="E96" t="str">
        <x:v>Central</x:v>
      </x:c>
      <x:c r="F96" s="6" t="n">
        <x:v>468673.61</x:v>
      </x:c>
      <x:c r="G96" s="6" t="n">
        <x:v>451849.84</x:v>
      </x:c>
      <x:c r="H96" s="6" t="n">
        <x:v>447218.04</x:v>
      </x:c>
      <x:c r="I96" s="6" t="n">
        <x:v>202926.52</x:v>
      </x:c>
      <x:c r="J96" s="6" t="n">
        <x:v>189776.93</x:v>
      </x:c>
      <x:c r="K96" s="6" t="n">
        <x:v>188726.01</x:v>
      </x:c>
      <x:c r="L96" s="6" t="n">
        <x:v>148601.19</x:v>
      </x:c>
      <x:c r="M96" s="6" t="n">
        <x:v>140073.45</x:v>
      </x:c>
      <x:c r="N96" s="6" t="n">
        <x:v>140426.46</x:v>
      </x:c>
      <x:c r="O96" s="6" t="n">
        <x:v>749877.77</x:v>
      </x:c>
      <x:c r="P96" s="6" t="n">
        <x:v>103760.97</x:v>
      </x:c>
      <x:c r="Q96" s="6" t="n">
        <x:v>46</x:v>
      </x:c>
      <x:c r="R96" s="6" t="n">
        <x:f>F96-I96</x:f>
        <x:v>265747.08999999997</x:v>
      </x:c>
      <x:c r="S96" s="6" t="n">
        <x:f>G96-J96</x:f>
        <x:v>262072.91000000003</x:v>
      </x:c>
      <x:c r="T96" s="6" t="n">
        <x:f>R96-L96</x:f>
        <x:v>117145.89999999997</x:v>
      </x:c>
      <x:c r="U96" s="6" t="n">
        <x:f>S96-M96</x:f>
        <x:v>121999.46000000002</x:v>
      </x:c>
      <x:c r="V96" s="6" t="n">
        <x:f>F96-G96</x:f>
        <x:v>16823.76999999996</x:v>
      </x:c>
      <x:c r="W96" s="8" t="n">
        <x:f>IFERROR(V96/G96,0)</x:f>
        <x:v>0.03723309938540635</x:v>
      </x:c>
      <x:c r="X96" s="8" t="n">
        <x:f>IFERROR(T96/F96,0)</x:f>
        <x:v>0.24995198684218634</x:v>
      </x:c>
      <x:c r="Y96" s="8" t="n">
        <x:f>IFERROR(T96/O96,0)</x:f>
        <x:v>0.1562199930263301</x:v>
      </x:c>
    </x:row>
    <x:row r="97">
      <x:c r="A97" t="str">
        <x:v>2024-08-01</x:v>
      </x:c>
      <x:c r="B97" t="n">
        <x:v>2024</x:v>
      </x:c>
      <x:c r="C97" t="str">
        <x:v>Q3</x:v>
      </x:c>
      <x:c r="D97" t="str">
        <x:v>Services</x:v>
      </x:c>
      <x:c r="E97" t="str">
        <x:v>West</x:v>
      </x:c>
      <x:c r="F97" s="6" t="n">
        <x:v>482746.01</x:v>
      </x:c>
      <x:c r="G97" s="6" t="n">
        <x:v>483447.63</x:v>
      </x:c>
      <x:c r="H97" s="6" t="n">
        <x:v>492159.73</x:v>
      </x:c>
      <x:c r="I97" s="6" t="n">
        <x:v>209078.41</x:v>
      </x:c>
      <x:c r="J97" s="6" t="n">
        <x:v>203048</x:v>
      </x:c>
      <x:c r="K97" s="6" t="n">
        <x:v>207691.41</x:v>
      </x:c>
      <x:c r="L97" s="6" t="n">
        <x:v>147769.75</x:v>
      </x:c>
      <x:c r="M97" s="6" t="n">
        <x:v>149868.76</x:v>
      </x:c>
      <x:c r="N97" s="6" t="n">
        <x:v>154538.16</x:v>
      </x:c>
      <x:c r="O97" s="6" t="n">
        <x:v>772393.61</x:v>
      </x:c>
      <x:c r="P97" s="6" t="n">
        <x:v>110996.56</x:v>
      </x:c>
      <x:c r="Q97" s="6" t="n">
        <x:v>49</x:v>
      </x:c>
      <x:c r="R97" s="6" t="n">
        <x:f>F97-I97</x:f>
        <x:v>273667.6</x:v>
      </x:c>
      <x:c r="S97" s="6" t="n">
        <x:f>G97-J97</x:f>
        <x:v>280399.63</x:v>
      </x:c>
      <x:c r="T97" s="6" t="n">
        <x:f>R97-L97</x:f>
        <x:v>125897.84999999998</x:v>
      </x:c>
      <x:c r="U97" s="6" t="n">
        <x:f>S97-M97</x:f>
        <x:v>130530.87</x:v>
      </x:c>
      <x:c r="V97" s="6" t="n">
        <x:f>F97-G97</x:f>
        <x:v>-701.6199999999953</x:v>
      </x:c>
      <x:c r="W97" s="8" t="n">
        <x:f>IFERROR(V97/G97,0)</x:f>
        <x:v>-0.001451284392479068</x:v>
      </x:c>
      <x:c r="X97" s="8" t="n">
        <x:f>IFERROR(T97/F97,0)</x:f>
        <x:v>0.26079521610131995</x:v>
      </x:c>
      <x:c r="Y97" s="8" t="n">
        <x:f>IFERROR(T97/O97,0)</x:f>
        <x:v>0.16299701132949557</x:v>
      </x:c>
    </x:row>
    <x:row r="98">
      <x:c r="A98" t="str">
        <x:v>2024-09-01</x:v>
      </x:c>
      <x:c r="B98" t="n">
        <x:v>2024</x:v>
      </x:c>
      <x:c r="C98" t="str">
        <x:v>Q3</x:v>
      </x:c>
      <x:c r="D98" t="str">
        <x:v>Enterprise</x:v>
      </x:c>
      <x:c r="E98" t="str">
        <x:v>East</x:v>
      </x:c>
      <x:c r="F98" s="6" t="n">
        <x:v>1592285.38</x:v>
      </x:c>
      <x:c r="G98" s="6" t="n">
        <x:v>1586969.42</x:v>
      </x:c>
      <x:c r="H98" s="6" t="n">
        <x:v>1594270.84</x:v>
      </x:c>
      <x:c r="I98" s="6" t="n">
        <x:v>775453.62</x:v>
      </x:c>
      <x:c r="J98" s="6" t="n">
        <x:v>761745.32</x:v>
      </x:c>
      <x:c r="K98" s="6" t="n">
        <x:v>768438.54</x:v>
      </x:c>
      <x:c r="L98" s="6" t="n">
        <x:v>423630.5</x:v>
      </x:c>
      <x:c r="M98" s="6" t="n">
        <x:v>428481.74</x:v>
      </x:c>
      <x:c r="N98" s="6" t="n">
        <x:v>436830.21</x:v>
      </x:c>
      <x:c r="O98" s="6" t="n">
        <x:v>3343799.29</x:v>
      </x:c>
      <x:c r="P98" s="6" t="n">
        <x:v>350083.85</x:v>
      </x:c>
      <x:c r="Q98" s="6" t="n">
        <x:v>110</x:v>
      </x:c>
      <x:c r="R98" s="6" t="n">
        <x:f>F98-I98</x:f>
        <x:v>816831.7599999999</x:v>
      </x:c>
      <x:c r="S98" s="6" t="n">
        <x:f>G98-J98</x:f>
        <x:v>825224.1</x:v>
      </x:c>
      <x:c r="T98" s="6" t="n">
        <x:f>R98-L98</x:f>
        <x:v>393201.2599999999</x:v>
      </x:c>
      <x:c r="U98" s="6" t="n">
        <x:f>S98-M98</x:f>
        <x:v>396742.36</x:v>
      </x:c>
      <x:c r="V98" s="6" t="n">
        <x:f>F98-G98</x:f>
        <x:v>5315.959999999963</x:v>
      </x:c>
      <x:c r="W98" s="8" t="n">
        <x:f>IFERROR(V98/G98,0)</x:f>
        <x:v>0.0033497557879848517</x:v>
      </x:c>
      <x:c r="X98" s="8" t="n">
        <x:f>IFERROR(T98/F98,0)</x:f>
        <x:v>0.2469414496539558</x:v>
      </x:c>
      <x:c r="Y98" s="8" t="n">
        <x:f>IFERROR(T98/O98,0)</x:f>
        <x:v>0.11759116678321918</x:v>
      </x:c>
    </x:row>
    <x:row r="99">
      <x:c r="A99" t="str">
        <x:v>2024-09-01</x:v>
      </x:c>
      <x:c r="B99" t="n">
        <x:v>2024</x:v>
      </x:c>
      <x:c r="C99" t="str">
        <x:v>Q3</x:v>
      </x:c>
      <x:c r="D99" t="str">
        <x:v>Enterprise</x:v>
      </x:c>
      <x:c r="E99" t="str">
        <x:v>Central</x:v>
      </x:c>
      <x:c r="F99" s="6" t="n">
        <x:v>1381098.08</x:v>
      </x:c>
      <x:c r="G99" s="6" t="n">
        <x:v>1433170.48</x:v>
      </x:c>
      <x:c r="H99" s="6" t="n">
        <x:v>1468531.67</x:v>
      </x:c>
      <x:c r="I99" s="6" t="n">
        <x:v>655110.68</x:v>
      </x:c>
      <x:c r="J99" s="6" t="n">
        <x:v>687921.83</x:v>
      </x:c>
      <x:c r="K99" s="6" t="n">
        <x:v>707832.26</x:v>
      </x:c>
      <x:c r="L99" s="6" t="n">
        <x:v>375577.54</x:v>
      </x:c>
      <x:c r="M99" s="6" t="n">
        <x:v>386956.03</x:v>
      </x:c>
      <x:c r="N99" s="6" t="n">
        <x:v>402377.68</x:v>
      </x:c>
      <x:c r="O99" s="6" t="n">
        <x:v>2900305.96</x:v>
      </x:c>
      <x:c r="P99" s="6" t="n">
        <x:v>295068.34</x:v>
      </x:c>
      <x:c r="Q99" s="6" t="n">
        <x:v>99</x:v>
      </x:c>
      <x:c r="R99" s="6" t="n">
        <x:f>F99-I99</x:f>
        <x:v>725987.4</x:v>
      </x:c>
      <x:c r="S99" s="6" t="n">
        <x:f>G99-J99</x:f>
        <x:v>745248.65</x:v>
      </x:c>
      <x:c r="T99" s="6" t="n">
        <x:f>R99-L99</x:f>
        <x:v>350409.86000000004</x:v>
      </x:c>
      <x:c r="U99" s="6" t="n">
        <x:f>S99-M99</x:f>
        <x:v>358292.62</x:v>
      </x:c>
      <x:c r="V99" s="6" t="n">
        <x:f>F99-G99</x:f>
        <x:v>-52072.39999999991</x:v>
      </x:c>
      <x:c r="W99" s="8" t="n">
        <x:f>IFERROR(V99/G99,0)</x:f>
        <x:v>-0.036333709580733134</x:v>
      </x:c>
      <x:c r="X99" s="8" t="n">
        <x:f>IFERROR(T99/F99,0)</x:f>
        <x:v>0.25371830217879965</x:v>
      </x:c>
      <x:c r="Y99" s="8" t="n">
        <x:f>IFERROR(T99/O99,0)</x:f>
        <x:v>0.12081823946601829</x:v>
      </x:c>
    </x:row>
    <x:row r="100">
      <x:c r="A100" t="str">
        <x:v>2024-09-01</x:v>
      </x:c>
      <x:c r="B100" t="n">
        <x:v>2024</x:v>
      </x:c>
      <x:c r="C100" t="str">
        <x:v>Q3</x:v>
      </x:c>
      <x:c r="D100" t="str">
        <x:v>Enterprise</x:v>
      </x:c>
      <x:c r="E100" t="str">
        <x:v>West</x:v>
      </x:c>
      <x:c r="F100" s="6" t="n">
        <x:v>1455226.67</x:v>
      </x:c>
      <x:c r="G100" s="6" t="n">
        <x:v>1519231.91</x:v>
      </x:c>
      <x:c r="H100" s="6" t="n">
        <x:v>1554619.19</x:v>
      </x:c>
      <x:c r="I100" s="6" t="n">
        <x:v>687926.15</x:v>
      </x:c>
      <x:c r="J100" s="6" t="n">
        <x:v>729231.32</x:v>
      </x:c>
      <x:c r="K100" s="6" t="n">
        <x:v>749326.45</x:v>
      </x:c>
      <x:c r="L100" s="6" t="n">
        <x:v>384708.95</x:v>
      </x:c>
      <x:c r="M100" s="6" t="n">
        <x:v>410192.61</x:v>
      </x:c>
      <x:c r="N100" s="6" t="n">
        <x:v>425965.66</x:v>
      </x:c>
      <x:c r="O100" s="6" t="n">
        <x:v>3055976</x:v>
      </x:c>
      <x:c r="P100" s="6" t="n">
        <x:v>336514.71</x:v>
      </x:c>
      <x:c r="Q100" s="6" t="n">
        <x:v>106</x:v>
      </x:c>
      <x:c r="R100" s="6" t="n">
        <x:f>F100-I100</x:f>
        <x:v>767300.5199999999</x:v>
      </x:c>
      <x:c r="S100" s="6" t="n">
        <x:f>G100-J100</x:f>
        <x:v>790000.59</x:v>
      </x:c>
      <x:c r="T100" s="6" t="n">
        <x:f>R100-L100</x:f>
        <x:v>382591.5699999999</x:v>
      </x:c>
      <x:c r="U100" s="6" t="n">
        <x:f>S100-M100</x:f>
        <x:v>379807.98</x:v>
      </x:c>
      <x:c r="V100" s="6" t="n">
        <x:f>F100-G100</x:f>
        <x:v>-64005.23999999999</x:v>
      </x:c>
      <x:c r="W100" s="8" t="n">
        <x:f>IFERROR(V100/G100,0)</x:f>
        <x:v>-0.04212999975757486</x:v>
      </x:c>
      <x:c r="X100" s="8" t="n">
        <x:f>IFERROR(T100/F100,0)</x:f>
        <x:v>0.2629085749232454</x:v>
      </x:c>
      <x:c r="Y100" s="8" t="n">
        <x:f>IFERROR(T100/O100,0)</x:f>
        <x:v>0.1251945597740296</x:v>
      </x:c>
    </x:row>
    <x:row r="101">
      <x:c r="A101" t="str">
        <x:v>2024-09-01</x:v>
      </x:c>
      <x:c r="B101" t="n">
        <x:v>2024</x:v>
      </x:c>
      <x:c r="C101" t="str">
        <x:v>Q3</x:v>
      </x:c>
      <x:c r="D101" t="str">
        <x:v>SMB</x:v>
      </x:c>
      <x:c r="E101" t="str">
        <x:v>East</x:v>
      </x:c>
      <x:c r="F101" s="6" t="n">
        <x:v>950702.78</x:v>
      </x:c>
      <x:c r="G101" s="6" t="n">
        <x:v>911479.98</x:v>
      </x:c>
      <x:c r="H101" s="6" t="n">
        <x:v>926567.95</x:v>
      </x:c>
      <x:c r="I101" s="6" t="n">
        <x:v>508799.95</x:v>
      </x:c>
      <x:c r="J101" s="6" t="n">
        <x:v>492199.19</x:v>
      </x:c>
      <x:c r="K101" s="6" t="n">
        <x:v>502199.83</x:v>
      </x:c>
      <x:c r="L101" s="6" t="n">
        <x:v>264584.89</x:v>
      </x:c>
      <x:c r="M101" s="6" t="n">
        <x:v>264329.19</x:v>
      </x:c>
      <x:c r="N101" s="6" t="n">
        <x:v>272410.98</x:v>
      </x:c>
      <x:c r="O101" s="6" t="n">
        <x:v>1616194.73</x:v>
      </x:c>
      <x:c r="P101" s="6" t="n">
        <x:v>161290.61</x:v>
      </x:c>
      <x:c r="Q101" s="6" t="n">
        <x:v>78</x:v>
      </x:c>
      <x:c r="R101" s="6" t="n">
        <x:f>F101-I101</x:f>
        <x:v>441902.83</x:v>
      </x:c>
      <x:c r="S101" s="6" t="n">
        <x:f>G101-J101</x:f>
        <x:v>419280.79</x:v>
      </x:c>
      <x:c r="T101" s="6" t="n">
        <x:f>R101-L101</x:f>
        <x:v>177317.94</x:v>
      </x:c>
      <x:c r="U101" s="6" t="n">
        <x:f>S101-M101</x:f>
        <x:v>154951.59999999998</x:v>
      </x:c>
      <x:c r="V101" s="6" t="n">
        <x:f>F101-G101</x:f>
        <x:v>39222.80000000005</x:v>
      </x:c>
      <x:c r="W101" s="8" t="n">
        <x:f>IFERROR(V101/G101,0)</x:f>
        <x:v>0.043031992869443</x:v>
      </x:c>
      <x:c r="X101" s="8" t="n">
        <x:f>IFERROR(T101/F101,0)</x:f>
        <x:v>0.18651248710979892</x:v>
      </x:c>
      <x:c r="Y101" s="8" t="n">
        <x:f>IFERROR(T101/O101,0)</x:f>
        <x:v>0.10971322744011175</x:v>
      </x:c>
    </x:row>
    <x:row r="102">
      <x:c r="A102" t="str">
        <x:v>2024-09-01</x:v>
      </x:c>
      <x:c r="B102" t="n">
        <x:v>2024</x:v>
      </x:c>
      <x:c r="C102" t="str">
        <x:v>Q3</x:v>
      </x:c>
      <x:c r="D102" t="str">
        <x:v>SMB</x:v>
      </x:c>
      <x:c r="E102" t="str">
        <x:v>Central</x:v>
      </x:c>
      <x:c r="F102" s="6" t="n">
        <x:v>831594.61</x:v>
      </x:c>
      <x:c r="G102" s="6" t="n">
        <x:v>809725.96</x:v>
      </x:c>
      <x:c r="H102" s="6" t="n">
        <x:v>815382.71</x:v>
      </x:c>
      <x:c r="I102" s="6" t="n">
        <x:v>455474.58</x:v>
      </x:c>
      <x:c r="J102" s="6" t="n">
        <x:v>437252.02</x:v>
      </x:c>
      <x:c r="K102" s="6" t="n">
        <x:v>441937.43</x:v>
      </x:c>
      <x:c r="L102" s="6" t="n">
        <x:v>248412.51</x:v>
      </x:c>
      <x:c r="M102" s="6" t="n">
        <x:v>234820.53</x:v>
      </x:c>
      <x:c r="N102" s="6" t="n">
        <x:v>239722.52</x:v>
      </x:c>
      <x:c r="O102" s="6" t="n">
        <x:v>1413710.83</x:v>
      </x:c>
      <x:c r="P102" s="6" t="n">
        <x:v>108446.74</x:v>
      </x:c>
      <x:c r="Q102" s="6" t="n">
        <x:v>70</x:v>
      </x:c>
      <x:c r="R102" s="6" t="n">
        <x:f>F102-I102</x:f>
        <x:v>376120.02999999997</x:v>
      </x:c>
      <x:c r="S102" s="6" t="n">
        <x:f>G102-J102</x:f>
        <x:v>372473.93999999994</x:v>
      </x:c>
      <x:c r="T102" s="6" t="n">
        <x:f>R102-L102</x:f>
        <x:v>127707.51999999996</x:v>
      </x:c>
      <x:c r="U102" s="6" t="n">
        <x:f>S102-M102</x:f>
        <x:v>137653.40999999995</x:v>
      </x:c>
      <x:c r="V102" s="6" t="n">
        <x:f>F102-G102</x:f>
        <x:v>21868.650000000023</x:v>
      </x:c>
      <x:c r="W102" s="8" t="n">
        <x:f>IFERROR(V102/G102,0)</x:f>
        <x:v>0.02700747052743625</x:v>
      </x:c>
      <x:c r="X102" s="8" t="n">
        <x:f>IFERROR(T102/F102,0)</x:f>
        <x:v>0.153569441725939</x:v>
      </x:c>
      <x:c r="Y102" s="8" t="n">
        <x:f>IFERROR(T102/O102,0)</x:f>
        <x:v>0.09033496616843485</x:v>
      </x:c>
    </x:row>
    <x:row r="103">
      <x:c r="A103" t="str">
        <x:v>2024-09-01</x:v>
      </x:c>
      <x:c r="B103" t="n">
        <x:v>2024</x:v>
      </x:c>
      <x:c r="C103" t="str">
        <x:v>Q3</x:v>
      </x:c>
      <x:c r="D103" t="str">
        <x:v>SMB</x:v>
      </x:c>
      <x:c r="E103" t="str">
        <x:v>West</x:v>
      </x:c>
      <x:c r="F103" s="6" t="n">
        <x:v>910937.34</x:v>
      </x:c>
      <x:c r="G103" s="6" t="n">
        <x:v>880734.08</x:v>
      </x:c>
      <x:c r="H103" s="6" t="n">
        <x:v>871211.05</x:v>
      </x:c>
      <x:c r="I103" s="6" t="n">
        <x:v>486223.29</x:v>
      </x:c>
      <x:c r="J103" s="6" t="n">
        <x:v>475596.4</x:v>
      </x:c>
      <x:c r="K103" s="6" t="n">
        <x:v>472196.39</x:v>
      </x:c>
      <x:c r="L103" s="6" t="n">
        <x:v>272145.82</x:v>
      </x:c>
      <x:c r="M103" s="6" t="n">
        <x:v>255412.88</x:v>
      </x:c>
      <x:c r="N103" s="6" t="n">
        <x:v>256136.05</x:v>
      </x:c>
      <x:c r="O103" s="6" t="n">
        <x:v>1548593.48</x:v>
      </x:c>
      <x:c r="P103" s="6" t="n">
        <x:v>119192.59</x:v>
      </x:c>
      <x:c r="Q103" s="6" t="n">
        <x:v>75</x:v>
      </x:c>
      <x:c r="R103" s="6" t="n">
        <x:f>F103-I103</x:f>
        <x:v>424714.05</x:v>
      </x:c>
      <x:c r="S103" s="6" t="n">
        <x:f>G103-J103</x:f>
        <x:v>405137.67999999993</x:v>
      </x:c>
      <x:c r="T103" s="6" t="n">
        <x:f>R103-L103</x:f>
        <x:v>152568.22999999998</x:v>
      </x:c>
      <x:c r="U103" s="6" t="n">
        <x:f>S103-M103</x:f>
        <x:v>149724.79999999993</x:v>
      </x:c>
      <x:c r="V103" s="6" t="n">
        <x:f>F103-G103</x:f>
        <x:v>30203.26000000001</x:v>
      </x:c>
      <x:c r="W103" s="8" t="n">
        <x:f>IFERROR(V103/G103,0)</x:f>
        <x:v>0.034293279533363814</x:v>
      </x:c>
      <x:c r="X103" s="8" t="n">
        <x:f>IFERROR(T103/F103,0)</x:f>
        <x:v>0.16748487881724114</x:v>
      </x:c>
      <x:c r="Y103" s="8" t="n">
        <x:f>IFERROR(T103/O103,0)</x:f>
        <x:v>0.0985205168240796</x:v>
      </x:c>
    </x:row>
    <x:row r="104">
      <x:c r="A104" t="str">
        <x:v>2024-09-01</x:v>
      </x:c>
      <x:c r="B104" t="n">
        <x:v>2024</x:v>
      </x:c>
      <x:c r="C104" t="str">
        <x:v>Q3</x:v>
      </x:c>
      <x:c r="D104" t="str">
        <x:v>Digital</x:v>
      </x:c>
      <x:c r="E104" t="str">
        <x:v>East</x:v>
      </x:c>
      <x:c r="F104" s="6" t="n">
        <x:v>672485.42</x:v>
      </x:c>
      <x:c r="G104" s="6" t="n">
        <x:v>670924.82</x:v>
      </x:c>
      <x:c r="H104" s="6" t="n">
        <x:v>676890.34</x:v>
      </x:c>
      <x:c r="I104" s="6" t="n">
        <x:v>241464.7</x:v>
      </x:c>
      <x:c r="J104" s="6" t="n">
        <x:v>241532.94</x:v>
      </x:c>
      <x:c r="K104" s="6" t="n">
        <x:v>245034.3</x:v>
      </x:c>
      <x:c r="L104" s="6" t="n">
        <x:v>235624.14</x:v>
      </x:c>
      <x:c r="M104" s="6" t="n">
        <x:v>228114.44</x:v>
      </x:c>
      <x:c r="N104" s="6" t="n">
        <x:v>232850.28</x:v>
      </x:c>
      <x:c r="O104" s="6" t="n">
        <x:v>941479.59</x:v>
      </x:c>
      <x:c r="P104" s="6" t="n">
        <x:v>153612.64</x:v>
      </x:c>
      <x:c r="Q104" s="6" t="n">
        <x:v>57</x:v>
      </x:c>
      <x:c r="R104" s="6" t="n">
        <x:f>F104-I104</x:f>
        <x:v>431020.72000000003</x:v>
      </x:c>
      <x:c r="S104" s="6" t="n">
        <x:f>G104-J104</x:f>
        <x:v>429391.87999999995</x:v>
      </x:c>
      <x:c r="T104" s="6" t="n">
        <x:f>R104-L104</x:f>
        <x:v>195396.58000000002</x:v>
      </x:c>
      <x:c r="U104" s="6" t="n">
        <x:f>S104-M104</x:f>
        <x:v>201277.43999999994</x:v>
      </x:c>
      <x:c r="V104" s="6" t="n">
        <x:f>F104-G104</x:f>
        <x:v>1560.6000000000931</x:v>
      </x:c>
      <x:c r="W104" s="8" t="n">
        <x:f>IFERROR(V104/G104,0)</x:f>
        <x:v>0.002326043028189199</x:v>
      </x:c>
      <x:c r="X104" s="8" t="n">
        <x:f>IFERROR(T104/F104,0)</x:f>
        <x:v>0.29055883471793337</x:v>
      </x:c>
      <x:c r="Y104" s="8" t="n">
        <x:f>IFERROR(T104/O104,0)</x:f>
        <x:v>0.20754202435763905</x:v>
      </x:c>
    </x:row>
    <x:row r="105">
      <x:c r="A105" t="str">
        <x:v>2024-09-01</x:v>
      </x:c>
      <x:c r="B105" t="n">
        <x:v>2024</x:v>
      </x:c>
      <x:c r="C105" t="str">
        <x:v>Q3</x:v>
      </x:c>
      <x:c r="D105" t="str">
        <x:v>Digital</x:v>
      </x:c>
      <x:c r="E105" t="str">
        <x:v>Central</x:v>
      </x:c>
      <x:c r="F105" s="6" t="n">
        <x:v>592022.36</x:v>
      </x:c>
      <x:c r="G105" s="6" t="n">
        <x:v>602817.83</x:v>
      </x:c>
      <x:c r="H105" s="6" t="n">
        <x:v>600595.34</x:v>
      </x:c>
      <x:c r="I105" s="6" t="n">
        <x:v>207880.99</x:v>
      </x:c>
      <x:c r="J105" s="6" t="n">
        <x:v>217014.42</x:v>
      </x:c>
      <x:c r="K105" s="6" t="n">
        <x:v>217415.51</x:v>
      </x:c>
      <x:c r="L105" s="6" t="n">
        <x:v>197603.76</x:v>
      </x:c>
      <x:c r="M105" s="6" t="n">
        <x:v>204958.06</x:v>
      </x:c>
      <x:c r="N105" s="6" t="n">
        <x:v>206604.8</x:v>
      </x:c>
      <x:c r="O105" s="6" t="n">
        <x:v>828831.3</x:v>
      </x:c>
      <x:c r="P105" s="6" t="n">
        <x:v>138767.37</x:v>
      </x:c>
      <x:c r="Q105" s="6" t="n">
        <x:v>51</x:v>
      </x:c>
      <x:c r="R105" s="6" t="n">
        <x:f>F105-I105</x:f>
        <x:v>384141.37</x:v>
      </x:c>
      <x:c r="S105" s="6" t="n">
        <x:f>G105-J105</x:f>
        <x:v>385803.4099999999</x:v>
      </x:c>
      <x:c r="T105" s="6" t="n">
        <x:f>R105-L105</x:f>
        <x:v>186537.61</x:v>
      </x:c>
      <x:c r="U105" s="6" t="n">
        <x:f>S105-M105</x:f>
        <x:v>180845.34999999992</x:v>
      </x:c>
      <x:c r="V105" s="6" t="n">
        <x:f>F105-G105</x:f>
        <x:v>-10795.469999999972</x:v>
      </x:c>
      <x:c r="W105" s="8" t="n">
        <x:f>IFERROR(V105/G105,0)</x:f>
        <x:v>-0.01790834554445739</x:v>
      </x:c>
      <x:c r="X105" s="8" t="n">
        <x:f>IFERROR(T105/F105,0)</x:f>
        <x:v>0.3150854133279696</x:v>
      </x:c>
      <x:c r="Y105" s="8" t="n">
        <x:f>IFERROR(T105/O105,0)</x:f>
        <x:v>0.225061010606139</x:v>
      </x:c>
    </x:row>
    <x:row r="106">
      <x:c r="A106" t="str">
        <x:v>2024-09-01</x:v>
      </x:c>
      <x:c r="B106" t="n">
        <x:v>2024</x:v>
      </x:c>
      <x:c r="C106" t="str">
        <x:v>Q3</x:v>
      </x:c>
      <x:c r="D106" t="str">
        <x:v>Digital</x:v>
      </x:c>
      <x:c r="E106" t="str">
        <x:v>West</x:v>
      </x:c>
      <x:c r="F106" s="6" t="n">
        <x:v>664603.4</x:v>
      </x:c>
      <x:c r="G106" s="6" t="n">
        <x:v>644483.31</x:v>
      </x:c>
      <x:c r="H106" s="6" t="n">
        <x:v>640185.72</x:v>
      </x:c>
      <x:c r="I106" s="6" t="n">
        <x:v>235021.04</x:v>
      </x:c>
      <x:c r="J106" s="6" t="n">
        <x:v>232013.99</x:v>
      </x:c>
      <x:c r="K106" s="6" t="n">
        <x:v>231747.23</x:v>
      </x:c>
      <x:c r="L106" s="6" t="n">
        <x:v>227643.92</x:v>
      </x:c>
      <x:c r="M106" s="6" t="n">
        <x:v>219124.32</x:v>
      </x:c>
      <x:c r="N106" s="6" t="n">
        <x:v>220223.89</x:v>
      </x:c>
      <x:c r="O106" s="6" t="n">
        <x:v>930444.77</x:v>
      </x:c>
      <x:c r="P106" s="6" t="n">
        <x:v>174659.99</x:v>
      </x:c>
      <x:c r="Q106" s="6" t="n">
        <x:v>54</x:v>
      </x:c>
      <x:c r="R106" s="6" t="n">
        <x:f>F106-I106</x:f>
        <x:v>429582.36</x:v>
      </x:c>
      <x:c r="S106" s="6" t="n">
        <x:f>G106-J106</x:f>
        <x:v>412469.32000000007</x:v>
      </x:c>
      <x:c r="T106" s="6" t="n">
        <x:f>R106-L106</x:f>
        <x:v>201938.43999999997</x:v>
      </x:c>
      <x:c r="U106" s="6" t="n">
        <x:f>S106-M106</x:f>
        <x:v>193345.00000000006</x:v>
      </x:c>
      <x:c r="V106" s="6" t="n">
        <x:f>F106-G106</x:f>
        <x:v>20120.089999999967</x:v>
      </x:c>
      <x:c r="W106" s="8" t="n">
        <x:f>IFERROR(V106/G106,0)</x:f>
        <x:v>0.031218946538739637</x:v>
      </x:c>
      <x:c r="X106" s="8" t="n">
        <x:f>IFERROR(T106/F106,0)</x:f>
        <x:v>0.3038480392968197</x:v>
      </x:c>
      <x:c r="Y106" s="8" t="n">
        <x:f>IFERROR(T106/O106,0)</x:f>
        <x:v>0.2170343114508559</x:v>
      </x:c>
    </x:row>
    <x:row r="107">
      <x:c r="A107" t="str">
        <x:v>2024-09-01</x:v>
      </x:c>
      <x:c r="B107" t="n">
        <x:v>2024</x:v>
      </x:c>
      <x:c r="C107" t="str">
        <x:v>Q3</x:v>
      </x:c>
      <x:c r="D107" t="str">
        <x:v>Services</x:v>
      </x:c>
      <x:c r="E107" t="str">
        <x:v>East</x:v>
      </x:c>
      <x:c r="F107" s="6" t="n">
        <x:v>503943.77</x:v>
      </x:c>
      <x:c r="G107" s="6" t="n">
        <x:v>500210.35</x:v>
      </x:c>
      <x:c r="H107" s="6" t="n">
        <x:v>499077.35</x:v>
      </x:c>
      <x:c r="I107" s="6" t="n">
        <x:v>206926.2</x:v>
      </x:c>
      <x:c r="J107" s="6" t="n">
        <x:v>210088.35</x:v>
      </x:c>
      <x:c r="K107" s="6" t="n">
        <x:v>210610.64</x:v>
      </x:c>
      <x:c r="L107" s="6" t="n">
        <x:v>153109.97</x:v>
      </x:c>
      <x:c r="M107" s="6" t="n">
        <x:v>155065.21</x:v>
      </x:c>
      <x:c r="N107" s="6" t="n">
        <x:v>156710.29</x:v>
      </x:c>
      <x:c r="O107" s="6" t="n">
        <x:v>806310.03</x:v>
      </x:c>
      <x:c r="P107" s="6" t="n">
        <x:v>110160.78</x:v>
      </x:c>
      <x:c r="Q107" s="6" t="n">
        <x:v>51</x:v>
      </x:c>
      <x:c r="R107" s="6" t="n">
        <x:f>F107-I107</x:f>
        <x:v>297017.57</x:v>
      </x:c>
      <x:c r="S107" s="6" t="n">
        <x:f>G107-J107</x:f>
        <x:v>290122</x:v>
      </x:c>
      <x:c r="T107" s="6" t="n">
        <x:f>R107-L107</x:f>
        <x:v>143907.6</x:v>
      </x:c>
      <x:c r="U107" s="6" t="n">
        <x:f>S107-M107</x:f>
        <x:v>135056.79</x:v>
      </x:c>
      <x:c r="V107" s="6" t="n">
        <x:f>F107-G107</x:f>
        <x:v>3733.420000000042</x:v>
      </x:c>
      <x:c r="W107" s="8" t="n">
        <x:f>IFERROR(V107/G107,0)</x:f>
        <x:v>0.007463700021401081</x:v>
      </x:c>
      <x:c r="X107" s="8" t="n">
        <x:f>IFERROR(T107/F107,0)</x:f>
        <x:v>0.285562811898637</x:v>
      </x:c>
      <x:c r="Y107" s="8" t="n">
        <x:f>IFERROR(T107/O107,0)</x:f>
        <x:v>0.17847675787934822</x:v>
      </x:c>
    </x:row>
    <x:row r="108">
      <x:c r="A108" t="str">
        <x:v>2024-09-01</x:v>
      </x:c>
      <x:c r="B108" t="n">
        <x:v>2024</x:v>
      </x:c>
      <x:c r="C108" t="str">
        <x:v>Q3</x:v>
      </x:c>
      <x:c r="D108" t="str">
        <x:v>Services</x:v>
      </x:c>
      <x:c r="E108" t="str">
        <x:v>Central</x:v>
      </x:c>
      <x:c r="F108" s="6" t="n">
        <x:v>418191.46</x:v>
      </x:c>
      <x:c r="G108" s="6" t="n">
        <x:v>437249.03</x:v>
      </x:c>
      <x:c r="H108" s="6" t="n">
        <x:v>441200.05</x:v>
      </x:c>
      <x:c r="I108" s="6" t="n">
        <x:v>173604.7</x:v>
      </x:c>
      <x:c r="J108" s="6" t="n">
        <x:v>183644.59</x:v>
      </x:c>
      <x:c r="K108" s="6" t="n">
        <x:v>186186.42</x:v>
      </x:c>
      <x:c r="L108" s="6" t="n">
        <x:v>136844.31</x:v>
      </x:c>
      <x:c r="M108" s="6" t="n">
        <x:v>135547.2</x:v>
      </x:c>
      <x:c r="N108" s="6" t="n">
        <x:v>138536.82</x:v>
      </x:c>
      <x:c r="O108" s="6" t="n">
        <x:v>669106.34</x:v>
      </x:c>
      <x:c r="P108" s="6" t="n">
        <x:v>89498.62</x:v>
      </x:c>
      <x:c r="Q108" s="6" t="n">
        <x:v>46</x:v>
      </x:c>
      <x:c r="R108" s="6" t="n">
        <x:f>F108-I108</x:f>
        <x:v>244586.76</x:v>
      </x:c>
      <x:c r="S108" s="6" t="n">
        <x:f>G108-J108</x:f>
        <x:v>253604.44000000003</x:v>
      </x:c>
      <x:c r="T108" s="6" t="n">
        <x:f>R108-L108</x:f>
        <x:v>107742.45000000001</x:v>
      </x:c>
      <x:c r="U108" s="6" t="n">
        <x:f>S108-M108</x:f>
        <x:v>118057.24000000002</x:v>
      </x:c>
      <x:c r="V108" s="6" t="n">
        <x:f>F108-G108</x:f>
        <x:v>-19057.570000000007</x:v>
      </x:c>
      <x:c r="W108" s="8" t="n">
        <x:f>IFERROR(V108/G108,0)</x:f>
        <x:v>-0.04358516244164111</x:v>
      </x:c>
      <x:c r="X108" s="8" t="n">
        <x:f>IFERROR(T108/F108,0)</x:f>
        <x:v>0.2576390488701037</x:v>
      </x:c>
      <x:c r="Y108" s="8" t="n">
        <x:f>IFERROR(T108/O108,0)</x:f>
        <x:v>0.1610244045811911</x:v>
      </x:c>
    </x:row>
    <x:row r="109">
      <x:c r="A109" t="str">
        <x:v>2024-09-01</x:v>
      </x:c>
      <x:c r="B109" t="n">
        <x:v>2024</x:v>
      </x:c>
      <x:c r="C109" t="str">
        <x:v>Q3</x:v>
      </x:c>
      <x:c r="D109" t="str">
        <x:v>Services</x:v>
      </x:c>
      <x:c r="E109" t="str">
        <x:v>West</x:v>
      </x:c>
      <x:c r="F109" s="6" t="n">
        <x:v>461734.18</x:v>
      </x:c>
      <x:c r="G109" s="6" t="n">
        <x:v>477181.53</x:v>
      </x:c>
      <x:c r="H109" s="6" t="n">
        <x:v>488672.42</x:v>
      </x:c>
      <x:c r="I109" s="6" t="n">
        <x:v>194280.59</x:v>
      </x:c>
      <x:c r="J109" s="6" t="n">
        <x:v>200416.24</x:v>
      </x:c>
      <x:c r="K109" s="6" t="n">
        <x:v>206219.76</x:v>
      </x:c>
      <x:c r="L109" s="6" t="n">
        <x:v>149685.72</x:v>
      </x:c>
      <x:c r="M109" s="6" t="n">
        <x:v>147926.27</x:v>
      </x:c>
      <x:c r="N109" s="6" t="n">
        <x:v>153443.14</x:v>
      </x:c>
      <x:c r="O109" s="6" t="n">
        <x:v>738774.69</x:v>
      </x:c>
      <x:c r="P109" s="6" t="n">
        <x:v>98314.13</x:v>
      </x:c>
      <x:c r="Q109" s="6" t="n">
        <x:v>49</x:v>
      </x:c>
      <x:c r="R109" s="6" t="n">
        <x:f>F109-I109</x:f>
        <x:v>267453.58999999997</x:v>
      </x:c>
      <x:c r="S109" s="6" t="n">
        <x:f>G109-J109</x:f>
        <x:v>276765.29000000004</x:v>
      </x:c>
      <x:c r="T109" s="6" t="n">
        <x:f>R109-L109</x:f>
        <x:v>117767.86999999997</x:v>
      </x:c>
      <x:c r="U109" s="6" t="n">
        <x:f>S109-M109</x:f>
        <x:v>128839.02000000005</x:v>
      </x:c>
      <x:c r="V109" s="6" t="n">
        <x:f>F109-G109</x:f>
        <x:v>-15447.350000000035</x:v>
      </x:c>
      <x:c r="W109" s="8" t="n">
        <x:f>IFERROR(V109/G109,0)</x:f>
        <x:v>-0.032372061844053425</x:v>
      </x:c>
      <x:c r="X109" s="8" t="n">
        <x:f>IFERROR(T109/F109,0)</x:f>
        <x:v>0.25505556032260807</x:v>
      </x:c>
      <x:c r="Y109" s="8" t="n">
        <x:f>IFERROR(T109/O109,0)</x:f>
        <x:v>0.15940972477007836</x:v>
      </x:c>
    </x:row>
    <x:row r="110">
      <x:c r="A110" t="str">
        <x:v>2024-10-01</x:v>
      </x:c>
      <x:c r="B110" t="n">
        <x:v>2024</x:v>
      </x:c>
      <x:c r="C110" t="str">
        <x:v>Q4</x:v>
      </x:c>
      <x:c r="D110" t="str">
        <x:v>Enterprise</x:v>
      </x:c>
      <x:c r="E110" t="str">
        <x:v>East</x:v>
      </x:c>
      <x:c r="F110" s="6" t="n">
        <x:v>1580818.42</x:v>
      </x:c>
      <x:c r="G110" s="6" t="n">
        <x:v>1582326.57</x:v>
      </x:c>
      <x:c r="H110" s="6" t="n">
        <x:v>1571719.23</x:v>
      </x:c>
      <x:c r="I110" s="6" t="n">
        <x:v>741934.67</x:v>
      </x:c>
      <x:c r="J110" s="6" t="n">
        <x:v>759516.75</x:v>
      </x:c>
      <x:c r="K110" s="6" t="n">
        <x:v>757568.67</x:v>
      </x:c>
      <x:c r="L110" s="6" t="n">
        <x:v>452480.67</x:v>
      </x:c>
      <x:c r="M110" s="6" t="n">
        <x:v>427228.17</x:v>
      </x:c>
      <x:c r="N110" s="6" t="n">
        <x:v>430651.07</x:v>
      </x:c>
      <x:c r="O110" s="6" t="n">
        <x:v>3319718.69</x:v>
      </x:c>
      <x:c r="P110" s="6" t="n">
        <x:v>315129.42</x:v>
      </x:c>
      <x:c r="Q110" s="6" t="n">
        <x:v>110</x:v>
      </x:c>
      <x:c r="R110" s="6" t="n">
        <x:f>F110-I110</x:f>
        <x:v>838883.7499999999</x:v>
      </x:c>
      <x:c r="S110" s="6" t="n">
        <x:f>G110-J110</x:f>
        <x:v>822809.8200000001</x:v>
      </x:c>
      <x:c r="T110" s="6" t="n">
        <x:f>R110-L110</x:f>
        <x:v>386403.0799999999</x:v>
      </x:c>
      <x:c r="U110" s="6" t="n">
        <x:f>S110-M110</x:f>
        <x:v>395581.6500000001</x:v>
      </x:c>
      <x:c r="V110" s="6" t="n">
        <x:f>F110-G110</x:f>
        <x:v>-1508.1500000001397</x:v>
      </x:c>
      <x:c r="W110" s="8" t="n">
        <x:f>IFERROR(V110/G110,0)</x:f>
        <x:v>-0.0009531218324926059</x:v>
      </x:c>
      <x:c r="X110" s="8" t="n">
        <x:f>IFERROR(T110/F110,0)</x:f>
        <x:v>0.24443229855583282</x:v>
      </x:c>
      <x:c r="Y110" s="8" t="n">
        <x:f>IFERROR(T110/O110,0)</x:f>
        <x:v>0.11639633236513781</x:v>
      </x:c>
    </x:row>
    <x:row r="111">
      <x:c r="A111" t="str">
        <x:v>2024-10-01</x:v>
      </x:c>
      <x:c r="B111" t="n">
        <x:v>2024</x:v>
      </x:c>
      <x:c r="C111" t="str">
        <x:v>Q4</x:v>
      </x:c>
      <x:c r="D111" t="str">
        <x:v>Enterprise</x:v>
      </x:c>
      <x:c r="E111" t="str">
        <x:v>Central</x:v>
      </x:c>
      <x:c r="F111" s="6" t="n">
        <x:v>1424505.67</x:v>
      </x:c>
      <x:c r="G111" s="6" t="n">
        <x:v>1431562.2</x:v>
      </x:c>
      <x:c r="H111" s="6" t="n">
        <x:v>1414861.17</x:v>
      </x:c>
      <x:c r="I111" s="6" t="n">
        <x:v>689981.53</x:v>
      </x:c>
      <x:c r="J111" s="6" t="n">
        <x:v>687149.86</x:v>
      </x:c>
      <x:c r="K111" s="6" t="n">
        <x:v>681963.08</x:v>
      </x:c>
      <x:c r="L111" s="6" t="n">
        <x:v>369813.46</x:v>
      </x:c>
      <x:c r="M111" s="6" t="n">
        <x:v>386521.8</x:v>
      </x:c>
      <x:c r="N111" s="6" t="n">
        <x:v>387671.96</x:v>
      </x:c>
      <x:c r="O111" s="6" t="n">
        <x:v>2991461.9</x:v>
      </x:c>
      <x:c r="P111" s="6" t="n">
        <x:v>273474.49</x:v>
      </x:c>
      <x:c r="Q111" s="6" t="n">
        <x:v>99</x:v>
      </x:c>
      <x:c r="R111" s="6" t="n">
        <x:f>F111-I111</x:f>
        <x:v>734524.1399999999</x:v>
      </x:c>
      <x:c r="S111" s="6" t="n">
        <x:f>G111-J111</x:f>
        <x:v>744412.34</x:v>
      </x:c>
      <x:c r="T111" s="6" t="n">
        <x:f>R111-L111</x:f>
        <x:v>364710.6799999999</x:v>
      </x:c>
      <x:c r="U111" s="6" t="n">
        <x:f>S111-M111</x:f>
        <x:v>357890.54</x:v>
      </x:c>
      <x:c r="V111" s="6" t="n">
        <x:f>F111-G111</x:f>
        <x:v>-7056.530000000028</x:v>
      </x:c>
      <x:c r="W111" s="8" t="n">
        <x:f>IFERROR(V111/G111,0)</x:f>
        <x:v>-0.004929251414992676</x:v>
      </x:c>
      <x:c r="X111" s="8" t="n">
        <x:f>IFERROR(T111/F111,0)</x:f>
        <x:v>0.25602613431507076</x:v>
      </x:c>
      <x:c r="Y111" s="8" t="n">
        <x:f>IFERROR(T111/O111,0)</x:f>
        <x:v>0.12191720710198578</x:v>
      </x:c>
    </x:row>
    <x:row r="112">
      <x:c r="A112" t="str">
        <x:v>2024-10-01</x:v>
      </x:c>
      <x:c r="B112" t="n">
        <x:v>2024</x:v>
      </x:c>
      <x:c r="C112" t="str">
        <x:v>Q4</x:v>
      </x:c>
      <x:c r="D112" t="str">
        <x:v>Enterprise</x:v>
      </x:c>
      <x:c r="E112" t="str">
        <x:v>West</x:v>
      </x:c>
      <x:c r="F112" s="6" t="n">
        <x:v>1504008.76</x:v>
      </x:c>
      <x:c r="G112" s="6" t="n">
        <x:v>1526318.11</x:v>
      </x:c>
      <x:c r="H112" s="6" t="n">
        <x:v>1571689.92</x:v>
      </x:c>
      <x:c r="I112" s="6" t="n">
        <x:v>708508.06</x:v>
      </x:c>
      <x:c r="J112" s="6" t="n">
        <x:v>732632.69</x:v>
      </x:c>
      <x:c r="K112" s="6" t="n">
        <x:v>757554.54</x:v>
      </x:c>
      <x:c r="L112" s="6" t="n">
        <x:v>422526.15</x:v>
      </x:c>
      <x:c r="M112" s="6" t="n">
        <x:v>412105.89</x:v>
      </x:c>
      <x:c r="N112" s="6" t="n">
        <x:v>430643.04</x:v>
      </x:c>
      <x:c r="O112" s="6" t="n">
        <x:v>3158418.39</x:v>
      </x:c>
      <x:c r="P112" s="6" t="n">
        <x:v>313769.89</x:v>
      </x:c>
      <x:c r="Q112" s="6" t="n">
        <x:v>106</x:v>
      </x:c>
      <x:c r="R112" s="6" t="n">
        <x:f>F112-I112</x:f>
        <x:v>795500.7</x:v>
      </x:c>
      <x:c r="S112" s="6" t="n">
        <x:f>G112-J112</x:f>
        <x:v>793685.4200000002</x:v>
      </x:c>
      <x:c r="T112" s="6" t="n">
        <x:f>R112-L112</x:f>
        <x:v>372974.54999999993</x:v>
      </x:c>
      <x:c r="U112" s="6" t="n">
        <x:f>S112-M112</x:f>
        <x:v>381579.53000000014</x:v>
      </x:c>
      <x:c r="V112" s="6" t="n">
        <x:f>F112-G112</x:f>
        <x:v>-22309.350000000093</x:v>
      </x:c>
      <x:c r="W112" s="8" t="n">
        <x:f>IFERROR(V112/G112,0)</x:f>
        <x:v>-0.014616448467613407</x:v>
      </x:c>
      <x:c r="X112" s="8" t="n">
        <x:f>IFERROR(T112/F112,0)</x:f>
        <x:v>0.2479869532142884</x:v>
      </x:c>
      <x:c r="Y112" s="8" t="n">
        <x:f>IFERROR(T112/O112,0)</x:f>
        <x:v>0.11808902556446928</x:v>
      </x:c>
    </x:row>
    <x:row r="113">
      <x:c r="A113" t="str">
        <x:v>2024-10-01</x:v>
      </x:c>
      <x:c r="B113" t="n">
        <x:v>2024</x:v>
      </x:c>
      <x:c r="C113" t="str">
        <x:v>Q4</x:v>
      </x:c>
      <x:c r="D113" t="str">
        <x:v>SMB</x:v>
      </x:c>
      <x:c r="E113" t="str">
        <x:v>East</x:v>
      </x:c>
      <x:c r="F113" s="6" t="n">
        <x:v>902349.42</x:v>
      </x:c>
      <x:c r="G113" s="6" t="n">
        <x:v>923054.72</x:v>
      </x:c>
      <x:c r="H113" s="6" t="n">
        <x:v>930915.24</x:v>
      </x:c>
      <x:c r="I113" s="6" t="n">
        <x:v>487010.05</x:v>
      </x:c>
      <x:c r="J113" s="6" t="n">
        <x:v>498449.55</x:v>
      </x:c>
      <x:c r="K113" s="6" t="n">
        <x:v>504556.06</x:v>
      </x:c>
      <x:c r="L113" s="6" t="n">
        <x:v>262837.81</x:v>
      </x:c>
      <x:c r="M113" s="6" t="n">
        <x:v>267685.87</x:v>
      </x:c>
      <x:c r="N113" s="6" t="n">
        <x:v>273689.08</x:v>
      </x:c>
      <x:c r="O113" s="6" t="n">
        <x:v>1533994.01</x:v>
      </x:c>
      <x:c r="P113" s="6" t="n">
        <x:v>136036.47</x:v>
      </x:c>
      <x:c r="Q113" s="6" t="n">
        <x:v>78</x:v>
      </x:c>
      <x:c r="R113" s="6" t="n">
        <x:f>F113-I113</x:f>
        <x:v>415339.37000000005</x:v>
      </x:c>
      <x:c r="S113" s="6" t="n">
        <x:f>G113-J113</x:f>
        <x:v>424605.17</x:v>
      </x:c>
      <x:c r="T113" s="6" t="n">
        <x:f>R113-L113</x:f>
        <x:v>152501.56000000006</x:v>
      </x:c>
      <x:c r="U113" s="6" t="n">
        <x:f>S113-M113</x:f>
        <x:v>156919.3</x:v>
      </x:c>
      <x:c r="V113" s="6" t="n">
        <x:f>F113-G113</x:f>
        <x:v>-20705.29999999993</x:v>
      </x:c>
      <x:c r="W113" s="8" t="n">
        <x:f>IFERROR(V113/G113,0)</x:f>
        <x:v>-0.02243128121375072</x:v>
      </x:c>
      <x:c r="X113" s="8" t="n">
        <x:f>IFERROR(T113/F113,0)</x:f>
        <x:v>0.16900499586956022</x:v>
      </x:c>
      <x:c r="Y113" s="8" t="n">
        <x:f>IFERROR(T113/O113,0)</x:f>
        <x:v>0.0994147037119135</x:v>
      </x:c>
    </x:row>
    <x:row r="114">
      <x:c r="A114" t="str">
        <x:v>2024-10-01</x:v>
      </x:c>
      <x:c r="B114" t="n">
        <x:v>2024</x:v>
      </x:c>
      <x:c r="C114" t="str">
        <x:v>Q4</x:v>
      </x:c>
      <x:c r="D114" t="str">
        <x:v>SMB</x:v>
      </x:c>
      <x:c r="E114" t="str">
        <x:v>Central</x:v>
      </x:c>
      <x:c r="F114" s="6" t="n">
        <x:v>819230.03</x:v>
      </x:c>
      <x:c r="G114" s="6" t="n">
        <x:v>831251.57</x:v>
      </x:c>
      <x:c r="H114" s="6" t="n">
        <x:v>842013.14</x:v>
      </x:c>
      <x:c r="I114" s="6" t="n">
        <x:v>445538.58</x:v>
      </x:c>
      <x:c r="J114" s="6" t="n">
        <x:v>448875.85</x:v>
      </x:c>
      <x:c r="K114" s="6" t="n">
        <x:v>456371.12</x:v>
      </x:c>
      <x:c r="L114" s="6" t="n">
        <x:v>245935.05</x:v>
      </x:c>
      <x:c r="M114" s="6" t="n">
        <x:v>241062.95</x:v>
      </x:c>
      <x:c r="N114" s="6" t="n">
        <x:v>247551.86</x:v>
      </x:c>
      <x:c r="O114" s="6" t="n">
        <x:v>1392691.04</x:v>
      </x:c>
      <x:c r="P114" s="6" t="n">
        <x:v>116196.75</x:v>
      </x:c>
      <x:c r="Q114" s="6" t="n">
        <x:v>70</x:v>
      </x:c>
      <x:c r="R114" s="6" t="n">
        <x:f>F114-I114</x:f>
        <x:v>373691.45</x:v>
      </x:c>
      <x:c r="S114" s="6" t="n">
        <x:f>G114-J114</x:f>
        <x:v>382375.72</x:v>
      </x:c>
      <x:c r="T114" s="6" t="n">
        <x:f>R114-L114</x:f>
        <x:v>127756.40000000002</x:v>
      </x:c>
      <x:c r="U114" s="6" t="n">
        <x:f>S114-M114</x:f>
        <x:v>141312.76999999996</x:v>
      </x:c>
      <x:c r="V114" s="6" t="n">
        <x:f>F114-G114</x:f>
        <x:v>-12021.53999999992</x:v>
      </x:c>
      <x:c r="W114" s="8" t="n">
        <x:f>IFERROR(V114/G114,0)</x:f>
        <x:v>-0.014461975692869874</x:v>
      </x:c>
      <x:c r="X114" s="8" t="n">
        <x:f>IFERROR(T114/F114,0)</x:f>
        <x:v>0.15594692006102367</x:v>
      </x:c>
      <x:c r="Y114" s="8" t="n">
        <x:f>IFERROR(T114/O114,0)</x:f>
        <x:v>0.09173348311338315</x:v>
      </x:c>
    </x:row>
    <x:row r="115">
      <x:c r="A115" t="str">
        <x:v>2024-10-01</x:v>
      </x:c>
      <x:c r="B115" t="n">
        <x:v>2024</x:v>
      </x:c>
      <x:c r="C115" t="str">
        <x:v>Q4</x:v>
      </x:c>
      <x:c r="D115" t="str">
        <x:v>SMB</x:v>
      </x:c>
      <x:c r="E115" t="str">
        <x:v>West</x:v>
      </x:c>
      <x:c r="F115" s="6" t="n">
        <x:v>851646.57</x:v>
      </x:c>
      <x:c r="G115" s="6" t="n">
        <x:v>872497.05</x:v>
      </x:c>
      <x:c r="H115" s="6" t="n">
        <x:v>885339.56</x:v>
      </x:c>
      <x:c r="I115" s="6" t="n">
        <x:v>453147.07</x:v>
      </x:c>
      <x:c r="J115" s="6" t="n">
        <x:v>471148.41</x:v>
      </x:c>
      <x:c r="K115" s="6" t="n">
        <x:v>479854.04</x:v>
      </x:c>
      <x:c r="L115" s="6" t="n">
        <x:v>241198.58</x:v>
      </x:c>
      <x:c r="M115" s="6" t="n">
        <x:v>253024.14</x:v>
      </x:c>
      <x:c r="N115" s="6" t="n">
        <x:v>260289.83</x:v>
      </x:c>
      <x:c r="O115" s="6" t="n">
        <x:v>1447799.16</x:v>
      </x:c>
      <x:c r="P115" s="6" t="n">
        <x:v>115618.21</x:v>
      </x:c>
      <x:c r="Q115" s="6" t="n">
        <x:v>75</x:v>
      </x:c>
      <x:c r="R115" s="6" t="n">
        <x:f>F115-I115</x:f>
        <x:v>398499.49999999994</x:v>
      </x:c>
      <x:c r="S115" s="6" t="n">
        <x:f>G115-J115</x:f>
        <x:v>401348.6400000001</x:v>
      </x:c>
      <x:c r="T115" s="6" t="n">
        <x:f>R115-L115</x:f>
        <x:v>157300.91999999995</x:v>
      </x:c>
      <x:c r="U115" s="6" t="n">
        <x:f>S115-M115</x:f>
        <x:v>148324.50000000006</x:v>
      </x:c>
      <x:c r="V115" s="6" t="n">
        <x:f>F115-G115</x:f>
        <x:v>-20850.480000000098</x:v>
      </x:c>
      <x:c r="W115" s="8" t="n">
        <x:f>IFERROR(V115/G115,0)</x:f>
        <x:v>-0.023897479080301872</x:v>
      </x:c>
      <x:c r="X115" s="8" t="n">
        <x:f>IFERROR(T115/F115,0)</x:f>
        <x:v>0.18470211181617271</x:v>
      </x:c>
      <x:c r="Y115" s="8" t="n">
        <x:f>IFERROR(T115/O115,0)</x:f>
        <x:v>0.10864830174373079</x:v>
      </x:c>
    </x:row>
    <x:row r="116">
      <x:c r="A116" t="str">
        <x:v>2024-10-01</x:v>
      </x:c>
      <x:c r="B116" t="n">
        <x:v>2024</x:v>
      </x:c>
      <x:c r="C116" t="str">
        <x:v>Q4</x:v>
      </x:c>
      <x:c r="D116" t="str">
        <x:v>Digital</x:v>
      </x:c>
      <x:c r="E116" t="str">
        <x:v>East</x:v>
      </x:c>
      <x:c r="F116" s="6" t="n">
        <x:v>658763.62</x:v>
      </x:c>
      <x:c r="G116" s="6" t="n">
        <x:v>658730.44</x:v>
      </x:c>
      <x:c r="H116" s="6" t="n">
        <x:v>666451.75</x:v>
      </x:c>
      <x:c r="I116" s="6" t="n">
        <x:v>234238.39</x:v>
      </x:c>
      <x:c r="J116" s="6" t="n">
        <x:v>237142.96</x:v>
      </x:c>
      <x:c r="K116" s="6" t="n">
        <x:v>241255.53</x:v>
      </x:c>
      <x:c r="L116" s="6" t="n">
        <x:v>220649.11</x:v>
      </x:c>
      <x:c r="M116" s="6" t="n">
        <x:v>223968.35</x:v>
      </x:c>
      <x:c r="N116" s="6" t="n">
        <x:v>229259.4</x:v>
      </x:c>
      <x:c r="O116" s="6" t="n">
        <x:v>922269.07</x:v>
      </x:c>
      <x:c r="P116" s="6" t="n">
        <x:v>175617.09</x:v>
      </x:c>
      <x:c r="Q116" s="6" t="n">
        <x:v>57</x:v>
      </x:c>
      <x:c r="R116" s="6" t="n">
        <x:f>F116-I116</x:f>
        <x:v>424525.23</x:v>
      </x:c>
      <x:c r="S116" s="6" t="n">
        <x:f>G116-J116</x:f>
        <x:v>421587.48</x:v>
      </x:c>
      <x:c r="T116" s="6" t="n">
        <x:f>R116-L116</x:f>
        <x:v>203876.12</x:v>
      </x:c>
      <x:c r="U116" s="6" t="n">
        <x:f>S116-M116</x:f>
        <x:v>197619.12999999998</x:v>
      </x:c>
      <x:c r="V116" s="6" t="n">
        <x:f>F116-G116</x:f>
        <x:v>33.18000000005122</x:v>
      </x:c>
      <x:c r="W116" s="8" t="n">
        <x:f>IFERROR(V116/G116,0)</x:f>
        <x:v>0.000050369617047075014</x:v>
      </x:c>
      <x:c r="X116" s="8" t="n">
        <x:f>IFERROR(T116/F116,0)</x:f>
        <x:v>0.3094829675020609</x:v>
      </x:c>
      <x:c r="Y116" s="8" t="n">
        <x:f>IFERROR(T116/O116,0)</x:f>
        <x:v>0.2210592620220908</x:v>
      </x:c>
    </x:row>
    <x:row r="117">
      <x:c r="A117" t="str">
        <x:v>2024-10-01</x:v>
      </x:c>
      <x:c r="B117" t="n">
        <x:v>2024</x:v>
      </x:c>
      <x:c r="C117" t="str">
        <x:v>Q4</x:v>
      </x:c>
      <x:c r="D117" t="str">
        <x:v>Digital</x:v>
      </x:c>
      <x:c r="E117" t="str">
        <x:v>Central</x:v>
      </x:c>
      <x:c r="F117" s="6" t="n">
        <x:v>602540.69</x:v>
      </x:c>
      <x:c r="G117" s="6" t="n">
        <x:v>602297.89</x:v>
      </x:c>
      <x:c r="H117" s="6" t="n">
        <x:v>611893.89</x:v>
      </x:c>
      <x:c r="I117" s="6" t="n">
        <x:v>224158.2</x:v>
      </x:c>
      <x:c r="J117" s="6" t="n">
        <x:v>216827.24</x:v>
      </x:c>
      <x:c r="K117" s="6" t="n">
        <x:v>221505.59</x:v>
      </x:c>
      <x:c r="L117" s="6" t="n">
        <x:v>211874.3</x:v>
      </x:c>
      <x:c r="M117" s="6" t="n">
        <x:v>204781.28</x:v>
      </x:c>
      <x:c r="N117" s="6" t="n">
        <x:v>210491.5</x:v>
      </x:c>
      <x:c r="O117" s="6" t="n">
        <x:v>843556.97</x:v>
      </x:c>
      <x:c r="P117" s="6" t="n">
        <x:v>140701.35</x:v>
      </x:c>
      <x:c r="Q117" s="6" t="n">
        <x:v>51</x:v>
      </x:c>
      <x:c r="R117" s="6" t="n">
        <x:f>F117-I117</x:f>
        <x:v>378382.48999999993</x:v>
      </x:c>
      <x:c r="S117" s="6" t="n">
        <x:f>G117-J117</x:f>
        <x:v>385470.65</x:v>
      </x:c>
      <x:c r="T117" s="6" t="n">
        <x:f>R117-L117</x:f>
        <x:v>166508.18999999994</x:v>
      </x:c>
      <x:c r="U117" s="6" t="n">
        <x:f>S117-M117</x:f>
        <x:v>180689.37000000002</x:v>
      </x:c>
      <x:c r="V117" s="6" t="n">
        <x:f>F117-G117</x:f>
        <x:v>242.79999999993015</x:v>
      </x:c>
      <x:c r="W117" s="8" t="n">
        <x:f>IFERROR(V117/G117,0)</x:f>
        <x:v>0.0004031227803237533</x:v>
      </x:c>
      <x:c r="X117" s="8" t="n">
        <x:f>IFERROR(T117/F117,0)</x:f>
        <x:v>0.2763434781475089</x:v>
      </x:c>
      <x:c r="Y117" s="8" t="n">
        <x:f>IFERROR(T117/O117,0)</x:f>
        <x:v>0.19738819774081168</x:v>
      </x:c>
    </x:row>
    <x:row r="118">
      <x:c r="A118" t="str">
        <x:v>2024-10-01</x:v>
      </x:c>
      <x:c r="B118" t="n">
        <x:v>2024</x:v>
      </x:c>
      <x:c r="C118" t="str">
        <x:v>Q4</x:v>
      </x:c>
      <x:c r="D118" t="str">
        <x:v>Digital</x:v>
      </x:c>
      <x:c r="E118" t="str">
        <x:v>West</x:v>
      </x:c>
      <x:c r="F118" s="6" t="n">
        <x:v>677604.73</x:v>
      </x:c>
      <x:c r="G118" s="6" t="n">
        <x:v>646343.15</x:v>
      </x:c>
      <x:c r="H118" s="6" t="n">
        <x:v>649013.36</x:v>
      </x:c>
      <x:c r="I118" s="6" t="n">
        <x:v>245400.4</x:v>
      </x:c>
      <x:c r="J118" s="6" t="n">
        <x:v>232683.54</x:v>
      </x:c>
      <x:c r="K118" s="6" t="n">
        <x:v>234942.84</x:v>
      </x:c>
      <x:c r="L118" s="6" t="n">
        <x:v>235419.56</x:v>
      </x:c>
      <x:c r="M118" s="6" t="n">
        <x:v>219756.67</x:v>
      </x:c>
      <x:c r="N118" s="6" t="n">
        <x:v>223260.6</x:v>
      </x:c>
      <x:c r="O118" s="6" t="n">
        <x:v>948646.63</x:v>
      </x:c>
      <x:c r="P118" s="6" t="n">
        <x:v>177437.35</x:v>
      </x:c>
      <x:c r="Q118" s="6" t="n">
        <x:v>55</x:v>
      </x:c>
      <x:c r="R118" s="6" t="n">
        <x:f>F118-I118</x:f>
        <x:v>432204.32999999996</x:v>
      </x:c>
      <x:c r="S118" s="6" t="n">
        <x:f>G118-J118</x:f>
        <x:v>413659.61</x:v>
      </x:c>
      <x:c r="T118" s="6" t="n">
        <x:f>R118-L118</x:f>
        <x:v>196784.76999999996</x:v>
      </x:c>
      <x:c r="U118" s="6" t="n">
        <x:f>S118-M118</x:f>
        <x:v>193902.93999999997</x:v>
      </x:c>
      <x:c r="V118" s="6" t="n">
        <x:f>F118-G118</x:f>
        <x:v>31261.579999999958</x:v>
      </x:c>
      <x:c r="W118" s="8" t="n">
        <x:f>IFERROR(V118/G118,0)</x:f>
        <x:v>0.048366846620096396</x:v>
      </x:c>
      <x:c r="X118" s="8" t="n">
        <x:f>IFERROR(T118/F118,0)</x:f>
        <x:v>0.29041233227518937</x:v>
      </x:c>
      <x:c r="Y118" s="8" t="n">
        <x:f>IFERROR(T118/O118,0)</x:f>
        <x:v>0.20743737844723062</x:v>
      </x:c>
    </x:row>
    <x:row r="119">
      <x:c r="A119" t="str">
        <x:v>2024-10-01</x:v>
      </x:c>
      <x:c r="B119" t="n">
        <x:v>2024</x:v>
      </x:c>
      <x:c r="C119" t="str">
        <x:v>Q4</x:v>
      </x:c>
      <x:c r="D119" t="str">
        <x:v>Services</x:v>
      </x:c>
      <x:c r="E119" t="str">
        <x:v>East</x:v>
      </x:c>
      <x:c r="F119" s="6" t="n">
        <x:v>478722.86</x:v>
      </x:c>
      <x:c r="G119" s="6" t="n">
        <x:v>497560</x:v>
      </x:c>
      <x:c r="H119" s="6" t="n">
        <x:v>493811.64</x:v>
      </x:c>
      <x:c r="I119" s="6" t="n">
        <x:v>199147.71</x:v>
      </x:c>
      <x:c r="J119" s="6" t="n">
        <x:v>208975.2</x:v>
      </x:c>
      <x:c r="K119" s="6" t="n">
        <x:v>208388.51</x:v>
      </x:c>
      <x:c r="L119" s="6" t="n">
        <x:v>153415.71</x:v>
      </x:c>
      <x:c r="M119" s="6" t="n">
        <x:v>154243.6</x:v>
      </x:c>
      <x:c r="N119" s="6" t="n">
        <x:v>155056.86</x:v>
      </x:c>
      <x:c r="O119" s="6" t="n">
        <x:v>765956.58</x:v>
      </x:c>
      <x:c r="P119" s="6" t="n">
        <x:v>105196.97</x:v>
      </x:c>
      <x:c r="Q119" s="6" t="n">
        <x:v>51</x:v>
      </x:c>
      <x:c r="R119" s="6" t="n">
        <x:f>F119-I119</x:f>
        <x:v>279575.15</x:v>
      </x:c>
      <x:c r="S119" s="6" t="n">
        <x:f>G119-J119</x:f>
        <x:v>288584.8</x:v>
      </x:c>
      <x:c r="T119" s="6" t="n">
        <x:f>R119-L119</x:f>
        <x:v>126159.44000000003</x:v>
      </x:c>
      <x:c r="U119" s="6" t="n">
        <x:f>S119-M119</x:f>
        <x:v>134341.19999999998</x:v>
      </x:c>
      <x:c r="V119" s="6" t="n">
        <x:f>F119-G119</x:f>
        <x:v>-18837.140000000014</x:v>
      </x:c>
      <x:c r="W119" s="8" t="n">
        <x:f>IFERROR(V119/G119,0)</x:f>
        <x:v>-0.03785903207653351</x:v>
      </x:c>
      <x:c r="X119" s="8" t="n">
        <x:f>IFERROR(T119/F119,0)</x:f>
        <x:v>0.2635333520525843</x:v>
      </x:c>
      <x:c r="Y119" s="8" t="n">
        <x:f>IFERROR(T119/O119,0)</x:f>
        <x:v>0.16470834417272065</x:v>
      </x:c>
    </x:row>
    <x:row r="120">
      <x:c r="A120" t="str">
        <x:v>2024-10-01</x:v>
      </x:c>
      <x:c r="B120" t="n">
        <x:v>2024</x:v>
      </x:c>
      <x:c r="C120" t="str">
        <x:v>Q4</x:v>
      </x:c>
      <x:c r="D120" t="str">
        <x:v>Services</x:v>
      </x:c>
      <x:c r="E120" t="str">
        <x:v>Central</x:v>
      </x:c>
      <x:c r="F120" s="6" t="n">
        <x:v>424041.28</x:v>
      </x:c>
      <x:c r="G120" s="6" t="n">
        <x:v>438314.84</x:v>
      </x:c>
      <x:c r="H120" s="6" t="n">
        <x:v>445323.72</x:v>
      </x:c>
      <x:c r="I120" s="6" t="n">
        <x:v>180723.46</x:v>
      </x:c>
      <x:c r="J120" s="6" t="n">
        <x:v>184092.23</x:v>
      </x:c>
      <x:c r="K120" s="6" t="n">
        <x:v>187926.61</x:v>
      </x:c>
      <x:c r="L120" s="6" t="n">
        <x:v>138356.31</x:v>
      </x:c>
      <x:c r="M120" s="6" t="n">
        <x:v>135877.6</x:v>
      </x:c>
      <x:c r="N120" s="6" t="n">
        <x:v>139831.65</x:v>
      </x:c>
      <x:c r="O120" s="6" t="n">
        <x:v>678466.04</x:v>
      </x:c>
      <x:c r="P120" s="6" t="n">
        <x:v>86078.35</x:v>
      </x:c>
      <x:c r="Q120" s="6" t="n">
        <x:v>46</x:v>
      </x:c>
      <x:c r="R120" s="6" t="n">
        <x:f>F120-I120</x:f>
        <x:v>243317.82000000004</x:v>
      </x:c>
      <x:c r="S120" s="6" t="n">
        <x:f>G120-J120</x:f>
        <x:v>254222.61000000002</x:v>
      </x:c>
      <x:c r="T120" s="6" t="n">
        <x:f>R120-L120</x:f>
        <x:v>104961.51000000004</x:v>
      </x:c>
      <x:c r="U120" s="6" t="n">
        <x:f>S120-M120</x:f>
        <x:v>118345.01000000001</x:v>
      </x:c>
      <x:c r="V120" s="6" t="n">
        <x:f>F120-G120</x:f>
        <x:v>-14273.559999999998</x:v>
      </x:c>
      <x:c r="W120" s="8" t="n">
        <x:f>IFERROR(V120/G120,0)</x:f>
        <x:v>-0.03256462865824939</x:v>
      </x:c>
      <x:c r="X120" s="8" t="n">
        <x:f>IFERROR(T120/F120,0)</x:f>
        <x:v>0.2475266323127787</x:v>
      </x:c>
      <x:c r="Y120" s="8" t="n">
        <x:f>IFERROR(T120/O120,0)</x:f>
        <x:v>0.15470414701965043</x:v>
      </x:c>
    </x:row>
    <x:row r="121">
      <x:c r="A121" t="str">
        <x:v>2024-10-01</x:v>
      </x:c>
      <x:c r="B121" t="n">
        <x:v>2024</x:v>
      </x:c>
      <x:c r="C121" t="str">
        <x:v>Q4</x:v>
      </x:c>
      <x:c r="D121" t="str">
        <x:v>Services</x:v>
      </x:c>
      <x:c r="E121" t="str">
        <x:v>West</x:v>
      </x:c>
      <x:c r="F121" s="6" t="n">
        <x:v>456360.44</x:v>
      </x:c>
      <x:c r="G121" s="6" t="n">
        <x:v>473872.79</x:v>
      </x:c>
      <x:c r="H121" s="6" t="n">
        <x:v>467614.7</x:v>
      </x:c>
      <x:c r="I121" s="6" t="n">
        <x:v>191321.24</x:v>
      </x:c>
      <x:c r="J121" s="6" t="n">
        <x:v>199026.57</x:v>
      </x:c>
      <x:c r="K121" s="6" t="n">
        <x:v>197333.4</x:v>
      </x:c>
      <x:c r="L121" s="6" t="n">
        <x:v>140408.25</x:v>
      </x:c>
      <x:c r="M121" s="6" t="n">
        <x:v>146900.57</x:v>
      </x:c>
      <x:c r="N121" s="6" t="n">
        <x:v>146831.02</x:v>
      </x:c>
      <x:c r="O121" s="6" t="n">
        <x:v>730176.7</x:v>
      </x:c>
      <x:c r="P121" s="6" t="n">
        <x:v>95975</x:v>
      </x:c>
      <x:c r="Q121" s="6" t="n">
        <x:v>49</x:v>
      </x:c>
      <x:c r="R121" s="6" t="n">
        <x:f>F121-I121</x:f>
        <x:v>265039.2</x:v>
      </x:c>
      <x:c r="S121" s="6" t="n">
        <x:f>G121-J121</x:f>
        <x:v>274846.22</x:v>
      </x:c>
      <x:c r="T121" s="6" t="n">
        <x:f>R121-L121</x:f>
        <x:v>124630.95000000001</x:v>
      </x:c>
      <x:c r="U121" s="6" t="n">
        <x:f>S121-M121</x:f>
        <x:v>127945.64999999997</x:v>
      </x:c>
      <x:c r="V121" s="6" t="n">
        <x:f>F121-G121</x:f>
        <x:v>-17512.349999999977</x:v>
      </x:c>
      <x:c r="W121" s="8" t="n">
        <x:f>IFERROR(V121/G121,0)</x:f>
        <x:v>-0.03695580410936863</x:v>
      </x:c>
      <x:c r="X121" s="8" t="n">
        <x:f>IFERROR(T121/F121,0)</x:f>
        <x:v>0.2730976199426927</x:v>
      </x:c>
      <x:c r="Y121" s="8" t="n">
        <x:f>IFERROR(T121/O121,0)</x:f>
        <x:v>0.17068601339922243</x:v>
      </x:c>
    </x:row>
    <x:row r="122">
      <x:c r="A122" t="str">
        <x:v>2024-11-01</x:v>
      </x:c>
      <x:c r="B122" t="n">
        <x:v>2024</x:v>
      </x:c>
      <x:c r="C122" t="str">
        <x:v>Q4</x:v>
      </x:c>
      <x:c r="D122" t="str">
        <x:v>Enterprise</x:v>
      </x:c>
      <x:c r="E122" t="str">
        <x:v>East</x:v>
      </x:c>
      <x:c r="F122" s="6" t="n">
        <x:v>1666209.47</x:v>
      </x:c>
      <x:c r="G122" s="6" t="n">
        <x:v>1585068.08</x:v>
      </x:c>
      <x:c r="H122" s="6" t="n">
        <x:v>1620919.37</x:v>
      </x:c>
      <x:c r="I122" s="6" t="n">
        <x:v>804704.49</x:v>
      </x:c>
      <x:c r="J122" s="6" t="n">
        <x:v>760832.68</x:v>
      </x:c>
      <x:c r="K122" s="6" t="n">
        <x:v>781283.13</x:v>
      </x:c>
      <x:c r="L122" s="6" t="n">
        <x:v>477408.32</x:v>
      </x:c>
      <x:c r="M122" s="6" t="n">
        <x:v>427968.38</x:v>
      </x:c>
      <x:c r="N122" s="6" t="n">
        <x:v>444131.91</x:v>
      </x:c>
      <x:c r="O122" s="6" t="n">
        <x:v>3499039.89</x:v>
      </x:c>
      <x:c r="P122" s="6" t="n">
        <x:v>353336.09</x:v>
      </x:c>
      <x:c r="Q122" s="6" t="n">
        <x:v>111</x:v>
      </x:c>
      <x:c r="R122" s="6" t="n">
        <x:f>F122-I122</x:f>
        <x:v>861504.98</x:v>
      </x:c>
      <x:c r="S122" s="6" t="n">
        <x:f>G122-J122</x:f>
        <x:v>824235.4</x:v>
      </x:c>
      <x:c r="T122" s="6" t="n">
        <x:f>R122-L122</x:f>
        <x:v>384096.66</x:v>
      </x:c>
      <x:c r="U122" s="6" t="n">
        <x:f>S122-M122</x:f>
        <x:v>396267.02</x:v>
      </x:c>
      <x:c r="V122" s="6" t="n">
        <x:f>F122-G122</x:f>
        <x:v>81141.3899999999</x:v>
      </x:c>
      <x:c r="W122" s="8" t="n">
        <x:f>IFERROR(V122/G122,0)</x:f>
        <x:v>0.051191107198373394</x:v>
      </x:c>
      <x:c r="X122" s="8" t="n">
        <x:f>IFERROR(T122/F122,0)</x:f>
        <x:v>0.2305212321233536</x:v>
      </x:c>
      <x:c r="Y122" s="8" t="n">
        <x:f>IFERROR(T122/O122,0)</x:f>
        <x:v>0.10977201520271893</x:v>
      </x:c>
    </x:row>
    <x:row r="123">
      <x:c r="A123" t="str">
        <x:v>2024-11-01</x:v>
      </x:c>
      <x:c r="B123" t="n">
        <x:v>2024</x:v>
      </x:c>
      <x:c r="C123" t="str">
        <x:v>Q4</x:v>
      </x:c>
      <x:c r="D123" t="str">
        <x:v>Enterprise</x:v>
      </x:c>
      <x:c r="E123" t="str">
        <x:v>Central</x:v>
      </x:c>
      <x:c r="F123" s="6" t="n">
        <x:v>1417988.23</x:v>
      </x:c>
      <x:c r="G123" s="6" t="n">
        <x:v>1444051.78</x:v>
      </x:c>
      <x:c r="H123" s="6" t="n">
        <x:v>1425005.35</x:v>
      </x:c>
      <x:c r="I123" s="6" t="n">
        <x:v>691500.38</x:v>
      </x:c>
      <x:c r="J123" s="6" t="n">
        <x:v>693144.85</x:v>
      </x:c>
      <x:c r="K123" s="6" t="n">
        <x:v>686852.58</x:v>
      </x:c>
      <x:c r="L123" s="6" t="n">
        <x:v>385855.9</x:v>
      </x:c>
      <x:c r="M123" s="6" t="n">
        <x:v>389893.98</x:v>
      </x:c>
      <x:c r="N123" s="6" t="n">
        <x:v>390451.47</x:v>
      </x:c>
      <x:c r="O123" s="6" t="n">
        <x:v>2977775.29</x:v>
      </x:c>
      <x:c r="P123" s="6" t="n">
        <x:v>289639.99</x:v>
      </x:c>
      <x:c r="Q123" s="6" t="n">
        <x:v>99</x:v>
      </x:c>
      <x:c r="R123" s="6" t="n">
        <x:f>F123-I123</x:f>
        <x:v>726487.85</x:v>
      </x:c>
      <x:c r="S123" s="6" t="n">
        <x:f>G123-J123</x:f>
        <x:v>750906.93</x:v>
      </x:c>
      <x:c r="T123" s="6" t="n">
        <x:f>R123-L123</x:f>
        <x:v>340631.94999999995</x:v>
      </x:c>
      <x:c r="U123" s="6" t="n">
        <x:f>S123-M123</x:f>
        <x:v>361012.95000000007</x:v>
      </x:c>
      <x:c r="V123" s="6" t="n">
        <x:f>F123-G123</x:f>
        <x:v>-26063.550000000047</x:v>
      </x:c>
      <x:c r="W123" s="8" t="n">
        <x:f>IFERROR(V123/G123,0)</x:f>
        <x:v>-0.018048902650845418</x:v>
      </x:c>
      <x:c r="X123" s="8" t="n">
        <x:f>IFERROR(T123/F123,0)</x:f>
        <x:v>0.2402219868919504</x:v>
      </x:c>
      <x:c r="Y123" s="8" t="n">
        <x:f>IFERROR(T123/O123,0)</x:f>
        <x:v>0.11439142206059476</x:v>
      </x:c>
    </x:row>
    <x:row r="124">
      <x:c r="A124" t="str">
        <x:v>2024-11-01</x:v>
      </x:c>
      <x:c r="B124" t="n">
        <x:v>2024</x:v>
      </x:c>
      <x:c r="C124" t="str">
        <x:v>Q4</x:v>
      </x:c>
      <x:c r="D124" t="str">
        <x:v>Enterprise</x:v>
      </x:c>
      <x:c r="E124" t="str">
        <x:v>West</x:v>
      </x:c>
      <x:c r="F124" s="6" t="n">
        <x:v>1520912.15</x:v>
      </x:c>
      <x:c r="G124" s="6" t="n">
        <x:v>1562877.1</x:v>
      </x:c>
      <x:c r="H124" s="6" t="n">
        <x:v>1580599.87</x:v>
      </x:c>
      <x:c r="I124" s="6" t="n">
        <x:v>736888.63</x:v>
      </x:c>
      <x:c r="J124" s="6" t="n">
        <x:v>750181.01</x:v>
      </x:c>
      <x:c r="K124" s="6" t="n">
        <x:v>761849.14</x:v>
      </x:c>
      <x:c r="L124" s="6" t="n">
        <x:v>414831.49</x:v>
      </x:c>
      <x:c r="M124" s="6" t="n">
        <x:v>421976.82</x:v>
      </x:c>
      <x:c r="N124" s="6" t="n">
        <x:v>433084.36</x:v>
      </x:c>
      <x:c r="O124" s="6" t="n">
        <x:v>3193915.52</x:v>
      </x:c>
      <x:c r="P124" s="6" t="n">
        <x:v>272555.46</x:v>
      </x:c>
      <x:c r="Q124" s="6" t="n">
        <x:v>106</x:v>
      </x:c>
      <x:c r="R124" s="6" t="n">
        <x:f>F124-I124</x:f>
        <x:v>784023.5199999999</x:v>
      </x:c>
      <x:c r="S124" s="6" t="n">
        <x:f>G124-J124</x:f>
        <x:v>812696.0900000001</x:v>
      </x:c>
      <x:c r="T124" s="6" t="n">
        <x:f>R124-L124</x:f>
        <x:v>369192.0299999999</x:v>
      </x:c>
      <x:c r="U124" s="6" t="n">
        <x:f>S124-M124</x:f>
        <x:v>390719.2700000001</x:v>
      </x:c>
      <x:c r="V124" s="6" t="n">
        <x:f>F124-G124</x:f>
        <x:v>-41964.950000000186</x:v>
      </x:c>
      <x:c r="W124" s="8" t="n">
        <x:f>IFERROR(V124/G124,0)</x:f>
        <x:v>-0.02685108765110205</x:v>
      </x:c>
      <x:c r="X124" s="8" t="n">
        <x:f>IFERROR(T124/F124,0)</x:f>
        <x:v>0.24274382317216675</x:v>
      </x:c>
      <x:c r="Y124" s="8" t="n">
        <x:f>IFERROR(T124/O124,0)</x:f>
        <x:v>0.11559229656769378</x:v>
      </x:c>
    </x:row>
    <x:row r="125">
      <x:c r="A125" t="str">
        <x:v>2024-11-01</x:v>
      </x:c>
      <x:c r="B125" t="n">
        <x:v>2024</x:v>
      </x:c>
      <x:c r="C125" t="str">
        <x:v>Q4</x:v>
      </x:c>
      <x:c r="D125" t="str">
        <x:v>SMB</x:v>
      </x:c>
      <x:c r="E125" t="str">
        <x:v>East</x:v>
      </x:c>
      <x:c r="F125" s="6" t="n">
        <x:v>912185.41</x:v>
      </x:c>
      <x:c r="G125" s="6" t="n">
        <x:v>922955.53</x:v>
      </x:c>
      <x:c r="H125" s="6" t="n">
        <x:v>936943.85</x:v>
      </x:c>
      <x:c r="I125" s="6" t="n">
        <x:v>501976.6</x:v>
      </x:c>
      <x:c r="J125" s="6" t="n">
        <x:v>498395.99</x:v>
      </x:c>
      <x:c r="K125" s="6" t="n">
        <x:v>507823.57</x:v>
      </x:c>
      <x:c r="L125" s="6" t="n">
        <x:v>262612.81</x:v>
      </x:c>
      <x:c r="M125" s="6" t="n">
        <x:v>267657.1</x:v>
      </x:c>
      <x:c r="N125" s="6" t="n">
        <x:v>275461.49</x:v>
      </x:c>
      <x:c r="O125" s="6" t="n">
        <x:v>1550715.2</x:v>
      </x:c>
      <x:c r="P125" s="6" t="n">
        <x:v>126745.82</x:v>
      </x:c>
      <x:c r="Q125" s="6" t="n">
        <x:v>78</x:v>
      </x:c>
      <x:c r="R125" s="6" t="n">
        <x:f>F125-I125</x:f>
        <x:v>410208.81000000006</x:v>
      </x:c>
      <x:c r="S125" s="6" t="n">
        <x:f>G125-J125</x:f>
        <x:v>424559.54000000004</x:v>
      </x:c>
      <x:c r="T125" s="6" t="n">
        <x:f>R125-L125</x:f>
        <x:v>147596.00000000006</x:v>
      </x:c>
      <x:c r="U125" s="6" t="n">
        <x:f>S125-M125</x:f>
        <x:v>156902.44000000006</x:v>
      </x:c>
      <x:c r="V125" s="6" t="n">
        <x:f>F125-G125</x:f>
        <x:v>-10770.119999999995</x:v>
      </x:c>
      <x:c r="W125" s="8" t="n">
        <x:f>IFERROR(V125/G125,0)</x:f>
        <x:v>-0.011669164602112515</x:v>
      </x:c>
      <x:c r="X125" s="8" t="n">
        <x:f>IFERROR(T125/F125,0)</x:f>
        <x:v>0.16180482430649712</x:v>
      </x:c>
      <x:c r="Y125" s="8" t="n">
        <x:f>IFERROR(T125/O125,0)</x:f>
        <x:v>0.0951793082314535</x:v>
      </x:c>
    </x:row>
    <x:row r="126">
      <x:c r="A126" t="str">
        <x:v>2024-11-01</x:v>
      </x:c>
      <x:c r="B126" t="n">
        <x:v>2024</x:v>
      </x:c>
      <x:c r="C126" t="str">
        <x:v>Q4</x:v>
      </x:c>
      <x:c r="D126" t="str">
        <x:v>SMB</x:v>
      </x:c>
      <x:c r="E126" t="str">
        <x:v>Central</x:v>
      </x:c>
      <x:c r="F126" s="6" t="n">
        <x:v>865619.69</x:v>
      </x:c>
      <x:c r="G126" s="6" t="n">
        <x:v>824777.25</x:v>
      </x:c>
      <x:c r="H126" s="6" t="n">
        <x:v>842601.08</x:v>
      </x:c>
      <x:c r="I126" s="6" t="n">
        <x:v>469427.73</x:v>
      </x:c>
      <x:c r="J126" s="6" t="n">
        <x:v>445379.72</x:v>
      </x:c>
      <x:c r="K126" s="6" t="n">
        <x:v>456689.78</x:v>
      </x:c>
      <x:c r="L126" s="6" t="n">
        <x:v>252453.46</x:v>
      </x:c>
      <x:c r="M126" s="6" t="n">
        <x:v>239185.4</x:v>
      </x:c>
      <x:c r="N126" s="6" t="n">
        <x:v>247724.72</x:v>
      </x:c>
      <x:c r="O126" s="6" t="n">
        <x:v>1471553.47</x:v>
      </x:c>
      <x:c r="P126" s="6" t="n">
        <x:v>112533.36</x:v>
      </x:c>
      <x:c r="Q126" s="6" t="n">
        <x:v>70</x:v>
      </x:c>
      <x:c r="R126" s="6" t="n">
        <x:f>F126-I126</x:f>
        <x:v>396191.95999999996</x:v>
      </x:c>
      <x:c r="S126" s="6" t="n">
        <x:f>G126-J126</x:f>
        <x:v>379397.53</x:v>
      </x:c>
      <x:c r="T126" s="6" t="n">
        <x:f>R126-L126</x:f>
        <x:v>143738.49999999997</x:v>
      </x:c>
      <x:c r="U126" s="6" t="n">
        <x:f>S126-M126</x:f>
        <x:v>140212.13000000003</x:v>
      </x:c>
      <x:c r="V126" s="6" t="n">
        <x:f>F126-G126</x:f>
        <x:v>40842.439999999944</x:v>
      </x:c>
      <x:c r="W126" s="8" t="n">
        <x:f>IFERROR(V126/G126,0)</x:f>
        <x:v>0.04951935810547629</x:v>
      </x:c>
      <x:c r="X126" s="8" t="n">
        <x:f>IFERROR(T126/F126,0)</x:f>
        <x:v>0.16605271536741498</x:v>
      </x:c>
      <x:c r="Y126" s="8" t="n">
        <x:f>IFERROR(T126/O126,0)</x:f>
        <x:v>0.09767806806231782</x:v>
      </x:c>
    </x:row>
    <x:row r="127">
      <x:c r="A127" t="str">
        <x:v>2024-11-01</x:v>
      </x:c>
      <x:c r="B127" t="n">
        <x:v>2024</x:v>
      </x:c>
      <x:c r="C127" t="str">
        <x:v>Q4</x:v>
      </x:c>
      <x:c r="D127" t="str">
        <x:v>SMB</x:v>
      </x:c>
      <x:c r="E127" t="str">
        <x:v>West</x:v>
      </x:c>
      <x:c r="F127" s="6" t="n">
        <x:v>933282.19</x:v>
      </x:c>
      <x:c r="G127" s="6" t="n">
        <x:v>887134.79</x:v>
      </x:c>
      <x:c r="H127" s="6" t="n">
        <x:v>889962.87</x:v>
      </x:c>
      <x:c r="I127" s="6" t="n">
        <x:v>505259.85</x:v>
      </x:c>
      <x:c r="J127" s="6" t="n">
        <x:v>479052.79</x:v>
      </x:c>
      <x:c r="K127" s="6" t="n">
        <x:v>482359.87</x:v>
      </x:c>
      <x:c r="L127" s="6" t="n">
        <x:v>287118.27</x:v>
      </x:c>
      <x:c r="M127" s="6" t="n">
        <x:v>257269.09</x:v>
      </x:c>
      <x:c r="N127" s="6" t="n">
        <x:v>261649.08</x:v>
      </x:c>
      <x:c r="O127" s="6" t="n">
        <x:v>1586579.71</x:v>
      </x:c>
      <x:c r="P127" s="6" t="n">
        <x:v>119984.34</x:v>
      </x:c>
      <x:c r="Q127" s="6" t="n">
        <x:v>75</x:v>
      </x:c>
      <x:c r="R127" s="6" t="n">
        <x:f>F127-I127</x:f>
        <x:v>428022.33999999997</x:v>
      </x:c>
      <x:c r="S127" s="6" t="n">
        <x:f>G127-J127</x:f>
        <x:v>408082.00000000006</x:v>
      </x:c>
      <x:c r="T127" s="6" t="n">
        <x:f>R127-L127</x:f>
        <x:v>140904.06999999995</x:v>
      </x:c>
      <x:c r="U127" s="6" t="n">
        <x:f>S127-M127</x:f>
        <x:v>150812.91000000006</x:v>
      </x:c>
      <x:c r="V127" s="6" t="n">
        <x:f>F127-G127</x:f>
        <x:v>46147.39999999991</x:v>
      </x:c>
      <x:c r="W127" s="8" t="n">
        <x:f>IFERROR(V127/G127,0)</x:f>
        <x:v>0.05201847624530643</x:v>
      </x:c>
      <x:c r="X127" s="8" t="n">
        <x:f>IFERROR(T127/F127,0)</x:f>
        <x:v>0.15097691942455257</x:v>
      </x:c>
      <x:c r="Y127" s="8" t="n">
        <x:f>IFERROR(T127/O127,0)</x:f>
        <x:v>0.08880995333036243</x:v>
      </x:c>
    </x:row>
    <x:row r="128">
      <x:c r="A128" t="str">
        <x:v>2024-11-01</x:v>
      </x:c>
      <x:c r="B128" t="n">
        <x:v>2024</x:v>
      </x:c>
      <x:c r="C128" t="str">
        <x:v>Q4</x:v>
      </x:c>
      <x:c r="D128" t="str">
        <x:v>Digital</x:v>
      </x:c>
      <x:c r="E128" t="str">
        <x:v>East</x:v>
      </x:c>
      <x:c r="F128" s="6" t="n">
        <x:v>675930.37</x:v>
      </x:c>
      <x:c r="G128" s="6" t="n">
        <x:v>678423.75</x:v>
      </x:c>
      <x:c r="H128" s="6" t="n">
        <x:v>673974.11</x:v>
      </x:c>
      <x:c r="I128" s="6" t="n">
        <x:v>241581.75</x:v>
      </x:c>
      <x:c r="J128" s="6" t="n">
        <x:v>244232.55</x:v>
      </x:c>
      <x:c r="K128" s="6" t="n">
        <x:v>243978.63</x:v>
      </x:c>
      <x:c r="L128" s="6" t="n">
        <x:v>237044.25</x:v>
      </x:c>
      <x:c r="M128" s="6" t="n">
        <x:v>230664.07</x:v>
      </x:c>
      <x:c r="N128" s="6" t="n">
        <x:v>231847.09</x:v>
      </x:c>
      <x:c r="O128" s="6" t="n">
        <x:v>946302.52</x:v>
      </x:c>
      <x:c r="P128" s="6" t="n">
        <x:v>166738.33</x:v>
      </x:c>
      <x:c r="Q128" s="6" t="n">
        <x:v>57</x:v>
      </x:c>
      <x:c r="R128" s="6" t="n">
        <x:f>F128-I128</x:f>
        <x:v>434348.62</x:v>
      </x:c>
      <x:c r="S128" s="6" t="n">
        <x:f>G128-J128</x:f>
        <x:v>434191.2</x:v>
      </x:c>
      <x:c r="T128" s="6" t="n">
        <x:f>R128-L128</x:f>
        <x:v>197304.37</x:v>
      </x:c>
      <x:c r="U128" s="6" t="n">
        <x:f>S128-M128</x:f>
        <x:v>203527.13</x:v>
      </x:c>
      <x:c r="V128" s="6" t="n">
        <x:f>F128-G128</x:f>
        <x:v>-2493.3800000000047</x:v>
      </x:c>
      <x:c r="W128" s="8" t="n">
        <x:f>IFERROR(V128/G128,0)</x:f>
        <x:v>-0.003675254588301198</x:v>
      </x:c>
      <x:c r="X128" s="8" t="n">
        <x:f>IFERROR(T128/F128,0)</x:f>
        <x:v>0.29190043643104835</x:v>
      </x:c>
      <x:c r="Y128" s="8" t="n">
        <x:f>IFERROR(T128/O128,0)</x:f>
        <x:v>0.2085003112958</x:v>
      </x:c>
    </x:row>
    <x:row r="129">
      <x:c r="A129" t="str">
        <x:v>2024-11-01</x:v>
      </x:c>
      <x:c r="B129" t="n">
        <x:v>2024</x:v>
      </x:c>
      <x:c r="C129" t="str">
        <x:v>Q4</x:v>
      </x:c>
      <x:c r="D129" t="str">
        <x:v>Digital</x:v>
      </x:c>
      <x:c r="E129" t="str">
        <x:v>Central</x:v>
      </x:c>
      <x:c r="F129" s="6" t="n">
        <x:v>596241.66</x:v>
      </x:c>
      <x:c r="G129" s="6" t="n">
        <x:v>611306.81</x:v>
      </x:c>
      <x:c r="H129" s="6" t="n">
        <x:v>617245.59</x:v>
      </x:c>
      <x:c r="I129" s="6" t="n">
        <x:v>221873.14</x:v>
      </x:c>
      <x:c r="J129" s="6" t="n">
        <x:v>220070.45</x:v>
      </x:c>
      <x:c r="K129" s="6" t="n">
        <x:v>223442.9</x:v>
      </x:c>
      <x:c r="L129" s="6" t="n">
        <x:v>203403.96</x:v>
      </x:c>
      <x:c r="M129" s="6" t="n">
        <x:v>207844.32</x:v>
      </x:c>
      <x:c r="N129" s="6" t="n">
        <x:v>212332.48</x:v>
      </x:c>
      <x:c r="O129" s="6" t="n">
        <x:v>834738.33</x:v>
      </x:c>
      <x:c r="P129" s="6" t="n">
        <x:v>146969.69</x:v>
      </x:c>
      <x:c r="Q129" s="6" t="n">
        <x:v>51</x:v>
      </x:c>
      <x:c r="R129" s="6" t="n">
        <x:f>F129-I129</x:f>
        <x:v>374368.52</x:v>
      </x:c>
      <x:c r="S129" s="6" t="n">
        <x:f>G129-J129</x:f>
        <x:v>391236.36000000004</x:v>
      </x:c>
      <x:c r="T129" s="6" t="n">
        <x:f>R129-L129</x:f>
        <x:v>170964.56000000003</x:v>
      </x:c>
      <x:c r="U129" s="6" t="n">
        <x:f>S129-M129</x:f>
        <x:v>183392.04000000004</x:v>
      </x:c>
      <x:c r="V129" s="6" t="n">
        <x:f>F129-G129</x:f>
        <x:v>-15065.150000000023</x:v>
      </x:c>
      <x:c r="W129" s="8" t="n">
        <x:f>IFERROR(V129/G129,0)</x:f>
        <x:v>-0.02464417172123442</x:v>
      </x:c>
      <x:c r="X129" s="8" t="n">
        <x:f>IFERROR(T129/F129,0)</x:f>
        <x:v>0.2867370253866528</x:v>
      </x:c>
      <x:c r="Y129" s="8" t="n">
        <x:f>IFERROR(T129/O129,0)</x:f>
        <x:v>0.2048121595183008</x:v>
      </x:c>
    </x:row>
    <x:row r="130">
      <x:c r="A130" t="str">
        <x:v>2024-11-01</x:v>
      </x:c>
      <x:c r="B130" t="n">
        <x:v>2024</x:v>
      </x:c>
      <x:c r="C130" t="str">
        <x:v>Q4</x:v>
      </x:c>
      <x:c r="D130" t="str">
        <x:v>Digital</x:v>
      </x:c>
      <x:c r="E130" t="str">
        <x:v>West</x:v>
      </x:c>
      <x:c r="F130" s="6" t="n">
        <x:v>678052.86</x:v>
      </x:c>
      <x:c r="G130" s="6" t="n">
        <x:v>644344.2</x:v>
      </x:c>
      <x:c r="H130" s="6" t="n">
        <x:v>652333.57</x:v>
      </x:c>
      <x:c r="I130" s="6" t="n">
        <x:v>240181.06</x:v>
      </x:c>
      <x:c r="J130" s="6" t="n">
        <x:v>231963.91</x:v>
      </x:c>
      <x:c r="K130" s="6" t="n">
        <x:v>236144.75</x:v>
      </x:c>
      <x:c r="L130" s="6" t="n">
        <x:v>225623</x:v>
      </x:c>
      <x:c r="M130" s="6" t="n">
        <x:v>219077.03</x:v>
      </x:c>
      <x:c r="N130" s="6" t="n">
        <x:v>224402.75</x:v>
      </x:c>
      <x:c r="O130" s="6" t="n">
        <x:v>949274.01</x:v>
      </x:c>
      <x:c r="P130" s="6" t="n">
        <x:v>176202.12</x:v>
      </x:c>
      <x:c r="Q130" s="6" t="n">
        <x:v>55</x:v>
      </x:c>
      <x:c r="R130" s="6" t="n">
        <x:f>F130-I130</x:f>
        <x:v>437871.8</x:v>
      </x:c>
      <x:c r="S130" s="6" t="n">
        <x:f>G130-J130</x:f>
        <x:v>412380.2899999999</x:v>
      </x:c>
      <x:c r="T130" s="6" t="n">
        <x:f>R130-L130</x:f>
        <x:v>212248.8</x:v>
      </x:c>
      <x:c r="U130" s="6" t="n">
        <x:f>S130-M130</x:f>
        <x:v>193303.25999999992</x:v>
      </x:c>
      <x:c r="V130" s="6" t="n">
        <x:f>F130-G130</x:f>
        <x:v>33708.66000000003</x:v>
      </x:c>
      <x:c r="W130" s="8" t="n">
        <x:f>IFERROR(V130/G130,0)</x:f>
        <x:v>0.052314679017829345</x:v>
      </x:c>
      <x:c r="X130" s="8" t="n">
        <x:f>IFERROR(T130/F130,0)</x:f>
        <x:v>0.31302692241427904</x:v>
      </x:c>
      <x:c r="Y130" s="8" t="n">
        <x:f>IFERROR(T130/O130,0)</x:f>
        <x:v>0.22359065745411064</x:v>
      </x:c>
    </x:row>
    <x:row r="131">
      <x:c r="A131" t="str">
        <x:v>2024-11-01</x:v>
      </x:c>
      <x:c r="B131" t="n">
        <x:v>2024</x:v>
      </x:c>
      <x:c r="C131" t="str">
        <x:v>Q4</x:v>
      </x:c>
      <x:c r="D131" t="str">
        <x:v>Services</x:v>
      </x:c>
      <x:c r="E131" t="str">
        <x:v>East</x:v>
      </x:c>
      <x:c r="F131" s="6" t="n">
        <x:v>482195.01</x:v>
      </x:c>
      <x:c r="G131" s="6" t="n">
        <x:v>500035.83</x:v>
      </x:c>
      <x:c r="H131" s="6" t="n">
        <x:v>514862.68</x:v>
      </x:c>
      <x:c r="I131" s="6" t="n">
        <x:v>208181.03</x:v>
      </x:c>
      <x:c r="J131" s="6" t="n">
        <x:v>210015.05</x:v>
      </x:c>
      <x:c r="K131" s="6" t="n">
        <x:v>217272.05</x:v>
      </x:c>
      <x:c r="L131" s="6" t="n">
        <x:v>150369.35</x:v>
      </x:c>
      <x:c r="M131" s="6" t="n">
        <x:v>155011.11</x:v>
      </x:c>
      <x:c r="N131" s="6" t="n">
        <x:v>161666.88</x:v>
      </x:c>
      <x:c r="O131" s="6" t="n">
        <x:v>771512.02</x:v>
      </x:c>
      <x:c r="P131" s="6" t="n">
        <x:v>91928.95</x:v>
      </x:c>
      <x:c r="Q131" s="6" t="n">
        <x:v>52</x:v>
      </x:c>
      <x:c r="R131" s="6" t="n">
        <x:f>F131-I131</x:f>
        <x:v>274013.98</x:v>
      </x:c>
      <x:c r="S131" s="6" t="n">
        <x:f>G131-J131</x:f>
        <x:v>290020.78</x:v>
      </x:c>
      <x:c r="T131" s="6" t="n">
        <x:f>R131-L131</x:f>
        <x:v>123644.62999999998</x:v>
      </x:c>
      <x:c r="U131" s="6" t="n">
        <x:f>S131-M131</x:f>
        <x:v>135009.67000000004</x:v>
      </x:c>
      <x:c r="V131" s="6" t="n">
        <x:f>F131-G131</x:f>
        <x:v>-17840.820000000007</x:v>
      </x:c>
      <x:c r="W131" s="8" t="n">
        <x:f>IFERROR(V131/G131,0)</x:f>
        <x:v>-0.035679083236895254</x:v>
      </x:c>
      <x:c r="X131" s="8" t="n">
        <x:f>IFERROR(T131/F131,0)</x:f>
        <x:v>0.25642038477337203</x:v>
      </x:c>
      <x:c r="Y131" s="8" t="n">
        <x:f>IFERROR(T131/O131,0)</x:f>
        <x:v>0.1602627396524554</x:v>
      </x:c>
    </x:row>
    <x:row r="132">
      <x:c r="A132" t="str">
        <x:v>2024-11-01</x:v>
      </x:c>
      <x:c r="B132" t="n">
        <x:v>2024</x:v>
      </x:c>
      <x:c r="C132" t="str">
        <x:v>Q4</x:v>
      </x:c>
      <x:c r="D132" t="str">
        <x:v>Services</x:v>
      </x:c>
      <x:c r="E132" t="str">
        <x:v>Central</x:v>
      </x:c>
      <x:c r="F132" s="6" t="n">
        <x:v>453587.75</x:v>
      </x:c>
      <x:c r="G132" s="6" t="n">
        <x:v>451404.06</x:v>
      </x:c>
      <x:c r="H132" s="6" t="n">
        <x:v>459189.49</x:v>
      </x:c>
      <x:c r="I132" s="6" t="n">
        <x:v>191065.07</x:v>
      </x:c>
      <x:c r="J132" s="6" t="n">
        <x:v>189589.7</x:v>
      </x:c>
      <x:c r="K132" s="6" t="n">
        <x:v>193777.97</x:v>
      </x:c>
      <x:c r="L132" s="6" t="n">
        <x:v>138889.81</x:v>
      </x:c>
      <x:c r="M132" s="6" t="n">
        <x:v>139935.26</x:v>
      </x:c>
      <x:c r="N132" s="6" t="n">
        <x:v>144185.5</x:v>
      </x:c>
      <x:c r="O132" s="6" t="n">
        <x:v>725740.4</x:v>
      </x:c>
      <x:c r="P132" s="6" t="n">
        <x:v>109655.52</x:v>
      </x:c>
      <x:c r="Q132" s="6" t="n">
        <x:v>46</x:v>
      </x:c>
      <x:c r="R132" s="6" t="n">
        <x:f>F132-I132</x:f>
        <x:v>262522.68</x:v>
      </x:c>
      <x:c r="S132" s="6" t="n">
        <x:f>G132-J132</x:f>
        <x:v>261814.36</x:v>
      </x:c>
      <x:c r="T132" s="6" t="n">
        <x:f>R132-L132</x:f>
        <x:v>123632.87</x:v>
      </x:c>
      <x:c r="U132" s="6" t="n">
        <x:f>S132-M132</x:f>
        <x:v>121879.09999999998</x:v>
      </x:c>
      <x:c r="V132" s="6" t="n">
        <x:f>F132-G132</x:f>
        <x:v>2183.6900000000023</x:v>
      </x:c>
      <x:c r="W132" s="8" t="n">
        <x:f>IFERROR(V132/G132,0)</x:f>
        <x:v>0.004837550641436416</x:v>
      </x:c>
      <x:c r="X132" s="8" t="n">
        <x:f>IFERROR(T132/F132,0)</x:f>
        <x:v>0.272566598194065</x:v>
      </x:c>
      <x:c r="Y132" s="8" t="n">
        <x:f>IFERROR(T132/O132,0)</x:f>
        <x:v>0.1703541238712906</x:v>
      </x:c>
    </x:row>
    <x:row r="133">
      <x:c r="A133" t="str">
        <x:v>2024-11-01</x:v>
      </x:c>
      <x:c r="B133" t="n">
        <x:v>2024</x:v>
      </x:c>
      <x:c r="C133" t="str">
        <x:v>Q4</x:v>
      </x:c>
      <x:c r="D133" t="str">
        <x:v>Services</x:v>
      </x:c>
      <x:c r="E133" t="str">
        <x:v>West</x:v>
      </x:c>
      <x:c r="F133" s="6" t="n">
        <x:v>477104.5</x:v>
      </x:c>
      <x:c r="G133" s="6" t="n">
        <x:v>487152.96</x:v>
      </x:c>
      <x:c r="H133" s="6" t="n">
        <x:v>491930.43</x:v>
      </x:c>
      <x:c r="I133" s="6" t="n">
        <x:v>199416.91</x:v>
      </x:c>
      <x:c r="J133" s="6" t="n">
        <x:v>204604.24</x:v>
      </x:c>
      <x:c r="K133" s="6" t="n">
        <x:v>207594.64</x:v>
      </x:c>
      <x:c r="L133" s="6" t="n">
        <x:v>155371.96</x:v>
      </x:c>
      <x:c r="M133" s="6" t="n">
        <x:v>151017.42</x:v>
      </x:c>
      <x:c r="N133" s="6" t="n">
        <x:v>154466.16</x:v>
      </x:c>
      <x:c r="O133" s="6" t="n">
        <x:v>763367.19</x:v>
      </x:c>
      <x:c r="P133" s="6" t="n">
        <x:v>100500.41</x:v>
      </x:c>
      <x:c r="Q133" s="6" t="n">
        <x:v>50</x:v>
      </x:c>
      <x:c r="R133" s="6" t="n">
        <x:f>F133-I133</x:f>
        <x:v>277687.58999999997</x:v>
      </x:c>
      <x:c r="S133" s="6" t="n">
        <x:f>G133-J133</x:f>
        <x:v>282548.72000000003</x:v>
      </x:c>
      <x:c r="T133" s="6" t="n">
        <x:f>R133-L133</x:f>
        <x:v>122315.62999999998</x:v>
      </x:c>
      <x:c r="U133" s="6" t="n">
        <x:f>S133-M133</x:f>
        <x:v>131531.30000000002</x:v>
      </x:c>
      <x:c r="V133" s="6" t="n">
        <x:f>F133-G133</x:f>
        <x:v>-10048.460000000021</x:v>
      </x:c>
      <x:c r="W133" s="8" t="n">
        <x:f>IFERROR(V133/G133,0)</x:f>
        <x:v>-0.020626909461865982</x:v>
      </x:c>
      <x:c r="X133" s="8" t="n">
        <x:f>IFERROR(T133/F133,0)</x:f>
        <x:v>0.2563707321980823</x:v>
      </x:c>
      <x:c r="Y133" s="8" t="n">
        <x:f>IFERROR(T133/O133,0)</x:f>
        <x:v>0.16023170972281373</x:v>
      </x:c>
    </x:row>
    <x:row r="134">
      <x:c r="A134" t="str">
        <x:v>2024-12-01</x:v>
      </x:c>
      <x:c r="B134" t="n">
        <x:v>2024</x:v>
      </x:c>
      <x:c r="C134" t="str">
        <x:v>Q4</x:v>
      </x:c>
      <x:c r="D134" t="str">
        <x:v>Enterprise</x:v>
      </x:c>
      <x:c r="E134" t="str">
        <x:v>East</x:v>
      </x:c>
      <x:c r="F134" s="6" t="n">
        <x:v>1733046.9</x:v>
      </x:c>
      <x:c r="G134" s="6" t="n">
        <x:v>1664146.74</x:v>
      </x:c>
      <x:c r="H134" s="6" t="n">
        <x:v>1659871.77</x:v>
      </x:c>
      <x:c r="I134" s="6" t="n">
        <x:v>846663.01</x:v>
      </x:c>
      <x:c r="J134" s="6" t="n">
        <x:v>798790.44</x:v>
      </x:c>
      <x:c r="K134" s="6" t="n">
        <x:v>800058.19</x:v>
      </x:c>
      <x:c r="L134" s="6" t="n">
        <x:v>468699.54</x:v>
      </x:c>
      <x:c r="M134" s="6" t="n">
        <x:v>449319.62</x:v>
      </x:c>
      <x:c r="N134" s="6" t="n">
        <x:v>454804.87</x:v>
      </x:c>
      <x:c r="O134" s="6" t="n">
        <x:v>3639398.49</x:v>
      </x:c>
      <x:c r="P134" s="6" t="n">
        <x:v>378776.92</x:v>
      </x:c>
      <x:c r="Q134" s="6" t="n">
        <x:v>111</x:v>
      </x:c>
      <x:c r="R134" s="6" t="n">
        <x:f>F134-I134</x:f>
        <x:v>886383.8899999999</x:v>
      </x:c>
      <x:c r="S134" s="6" t="n">
        <x:f>G134-J134</x:f>
        <x:v>865356.3</x:v>
      </x:c>
      <x:c r="T134" s="6" t="n">
        <x:f>R134-L134</x:f>
        <x:v>417684.3499999999</x:v>
      </x:c>
      <x:c r="U134" s="6" t="n">
        <x:f>S134-M134</x:f>
        <x:v>416036.68000000005</x:v>
      </x:c>
      <x:c r="V134" s="6" t="n">
        <x:f>F134-G134</x:f>
        <x:v>68900.15999999992</x:v>
      </x:c>
      <x:c r="W134" s="8" t="n">
        <x:f>IFERROR(V134/G134,0)</x:f>
        <x:v>0.04140269505320181</x:v>
      </x:c>
      <x:c r="X134" s="8" t="n">
        <x:f>IFERROR(T134/F134,0)</x:f>
        <x:v>0.24101156754615236</x:v>
      </x:c>
      <x:c r="Y134" s="8" t="n">
        <x:f>IFERROR(T134/O134,0)</x:f>
        <x:v>0.11476741311721539</x:v>
      </x:c>
    </x:row>
    <x:row r="135">
      <x:c r="A135" t="str">
        <x:v>2024-12-01</x:v>
      </x:c>
      <x:c r="B135" t="n">
        <x:v>2024</x:v>
      </x:c>
      <x:c r="C135" t="str">
        <x:v>Q4</x:v>
      </x:c>
      <x:c r="D135" t="str">
        <x:v>Enterprise</x:v>
      </x:c>
      <x:c r="E135" t="str">
        <x:v>Central</x:v>
      </x:c>
      <x:c r="F135" s="6" t="n">
        <x:v>1527982.82</x:v>
      </x:c>
      <x:c r="G135" s="6" t="n">
        <x:v>1473386.56</x:v>
      </x:c>
      <x:c r="H135" s="6" t="n">
        <x:v>1470038.67</x:v>
      </x:c>
      <x:c r="I135" s="6" t="n">
        <x:v>726956.86</x:v>
      </x:c>
      <x:c r="J135" s="6" t="n">
        <x:v>707225.55</x:v>
      </x:c>
      <x:c r="K135" s="6" t="n">
        <x:v>708558.64</x:v>
      </x:c>
      <x:c r="L135" s="6" t="n">
        <x:v>421124.49</x:v>
      </x:c>
      <x:c r="M135" s="6" t="n">
        <x:v>397814.37</x:v>
      </x:c>
      <x:c r="N135" s="6" t="n">
        <x:v>402790.59</x:v>
      </x:c>
      <x:c r="O135" s="6" t="n">
        <x:v>3208763.93</x:v>
      </x:c>
      <x:c r="P135" s="6" t="n">
        <x:v>349425.96</x:v>
      </x:c>
      <x:c r="Q135" s="6" t="n">
        <x:v>99</x:v>
      </x:c>
      <x:c r="R135" s="6" t="n">
        <x:f>F135-I135</x:f>
        <x:v>801025.9600000001</x:v>
      </x:c>
      <x:c r="S135" s="6" t="n">
        <x:f>G135-J135</x:f>
        <x:v>766161.01</x:v>
      </x:c>
      <x:c r="T135" s="6" t="n">
        <x:f>R135-L135</x:f>
        <x:v>379901.4700000001</x:v>
      </x:c>
      <x:c r="U135" s="6" t="n">
        <x:f>S135-M135</x:f>
        <x:v>368346.64</x:v>
      </x:c>
      <x:c r="V135" s="6" t="n">
        <x:f>F135-G135</x:f>
        <x:v>54596.26000000001</x:v>
      </x:c>
      <x:c r="W135" s="8" t="n">
        <x:f>IFERROR(V135/G135,0)</x:f>
        <x:v>0.03705494639505875</x:v>
      </x:c>
      <x:c r="X135" s="8" t="n">
        <x:f>IFERROR(T135/F135,0)</x:f>
        <x:v>0.2486294119458752</x:v>
      </x:c>
      <x:c r="Y135" s="8" t="n">
        <x:f>IFERROR(T135/O135,0)</x:f>
        <x:v>0.1183949577742854</x:v>
      </x:c>
    </x:row>
    <x:row r="136">
      <x:c r="A136" t="str">
        <x:v>2024-12-01</x:v>
      </x:c>
      <x:c r="B136" t="n">
        <x:v>2024</x:v>
      </x:c>
      <x:c r="C136" t="str">
        <x:v>Q4</x:v>
      </x:c>
      <x:c r="D136" t="str">
        <x:v>Enterprise</x:v>
      </x:c>
      <x:c r="E136" t="str">
        <x:v>West</x:v>
      </x:c>
      <x:c r="F136" s="6" t="n">
        <x:v>1534557.87</x:v>
      </x:c>
      <x:c r="G136" s="6" t="n">
        <x:v>1582247.54</x:v>
      </x:c>
      <x:c r="H136" s="6" t="n">
        <x:v>1596861.38</x:v>
      </x:c>
      <x:c r="I136" s="6" t="n">
        <x:v>731943.01</x:v>
      </x:c>
      <x:c r="J136" s="6" t="n">
        <x:v>759478.82</x:v>
      </x:c>
      <x:c r="K136" s="6" t="n">
        <x:v>769687.18</x:v>
      </x:c>
      <x:c r="L136" s="6" t="n">
        <x:v>421324.41</x:v>
      </x:c>
      <x:c r="M136" s="6" t="n">
        <x:v>427206.84</x:v>
      </x:c>
      <x:c r="N136" s="6" t="n">
        <x:v>437540.02</x:v>
      </x:c>
      <x:c r="O136" s="6" t="n">
        <x:v>3222571.53</x:v>
      </x:c>
      <x:c r="P136" s="6" t="n">
        <x:v>315970.06</x:v>
      </x:c>
      <x:c r="Q136" s="6" t="n">
        <x:v>107</x:v>
      </x:c>
      <x:c r="R136" s="6" t="n">
        <x:f>F136-I136</x:f>
        <x:v>802614.8600000001</x:v>
      </x:c>
      <x:c r="S136" s="6" t="n">
        <x:f>G136-J136</x:f>
        <x:v>822768.7200000001</x:v>
      </x:c>
      <x:c r="T136" s="6" t="n">
        <x:f>R136-L136</x:f>
        <x:v>381290.4500000001</x:v>
      </x:c>
      <x:c r="U136" s="6" t="n">
        <x:f>S136-M136</x:f>
        <x:v>395561.88000000006</x:v>
      </x:c>
      <x:c r="V136" s="6" t="n">
        <x:f>F136-G136</x:f>
        <x:v>-47689.669999999925</x:v>
      </x:c>
      <x:c r="W136" s="8" t="n">
        <x:f>IFERROR(V136/G136,0)</x:f>
        <x:v>-0.03014046082827212</x:v>
      </x:c>
      <x:c r="X136" s="8" t="n">
        <x:f>IFERROR(T136/F136,0)</x:f>
        <x:v>0.2484692545351842</x:v>
      </x:c>
      <x:c r="Y136" s="8" t="n">
        <x:f>IFERROR(T136/O136,0)</x:f>
        <x:v>0.11831869252565518</x:v>
      </x:c>
    </x:row>
    <x:row r="137">
      <x:c r="A137" t="str">
        <x:v>2024-12-01</x:v>
      </x:c>
      <x:c r="B137" t="n">
        <x:v>2024</x:v>
      </x:c>
      <x:c r="C137" t="str">
        <x:v>Q4</x:v>
      </x:c>
      <x:c r="D137" t="str">
        <x:v>SMB</x:v>
      </x:c>
      <x:c r="E137" t="str">
        <x:v>East</x:v>
      </x:c>
      <x:c r="F137" s="6" t="n">
        <x:v>937241.13</x:v>
      </x:c>
      <x:c r="G137" s="6" t="n">
        <x:v>949414.77</x:v>
      </x:c>
      <x:c r="H137" s="6" t="n">
        <x:v>943233.47</x:v>
      </x:c>
      <x:c r="I137" s="6" t="n">
        <x:v>511860.14</x:v>
      </x:c>
      <x:c r="J137" s="6" t="n">
        <x:v>512683.98</x:v>
      </x:c>
      <x:c r="K137" s="6" t="n">
        <x:v>511232.54</x:v>
      </x:c>
      <x:c r="L137" s="6" t="n">
        <x:v>276630.4</x:v>
      </x:c>
      <x:c r="M137" s="6" t="n">
        <x:v>275330.28</x:v>
      </x:c>
      <x:c r="N137" s="6" t="n">
        <x:v>277310.64</x:v>
      </x:c>
      <x:c r="O137" s="6" t="n">
        <x:v>1593309.92</x:v>
      </x:c>
      <x:c r="P137" s="6" t="n">
        <x:v>114048.93</x:v>
      </x:c>
      <x:c r="Q137" s="6" t="n">
        <x:v>79</x:v>
      </x:c>
      <x:c r="R137" s="6" t="n">
        <x:f>F137-I137</x:f>
        <x:v>425380.99</x:v>
      </x:c>
      <x:c r="S137" s="6" t="n">
        <x:f>G137-J137</x:f>
        <x:v>436730.79000000004</x:v>
      </x:c>
      <x:c r="T137" s="6" t="n">
        <x:f>R137-L137</x:f>
        <x:v>148750.58999999997</x:v>
      </x:c>
      <x:c r="U137" s="6" t="n">
        <x:f>S137-M137</x:f>
        <x:v>161400.51</x:v>
      </x:c>
      <x:c r="V137" s="6" t="n">
        <x:f>F137-G137</x:f>
        <x:v>-12173.640000000014</x:v>
      </x:c>
      <x:c r="W137" s="8" t="n">
        <x:f>IFERROR(V137/G137,0)</x:f>
        <x:v>-0.012822256809845094</x:v>
      </x:c>
      <x:c r="X137" s="8" t="n">
        <x:f>IFERROR(T137/F137,0)</x:f>
        <x:v>0.15871112058430467</x:v>
      </x:c>
      <x:c r="Y137" s="8" t="n">
        <x:f>IFERROR(T137/O137,0)</x:f>
        <x:v>0.09335948275524449</x:v>
      </x:c>
    </x:row>
    <x:row r="138">
      <x:c r="A138" t="str">
        <x:v>2024-12-01</x:v>
      </x:c>
      <x:c r="B138" t="n">
        <x:v>2024</x:v>
      </x:c>
      <x:c r="C138" t="str">
        <x:v>Q4</x:v>
      </x:c>
      <x:c r="D138" t="str">
        <x:v>SMB</x:v>
      </x:c>
      <x:c r="E138" t="str">
        <x:v>Central</x:v>
      </x:c>
      <x:c r="F138" s="6" t="n">
        <x:v>823257.61</x:v>
      </x:c>
      <x:c r="G138" s="6" t="n">
        <x:v>858127.86</x:v>
      </x:c>
      <x:c r="H138" s="6" t="n">
        <x:v>874013.3</x:v>
      </x:c>
      <x:c r="I138" s="6" t="n">
        <x:v>449775.21</x:v>
      </x:c>
      <x:c r="J138" s="6" t="n">
        <x:v>463389.05</x:v>
      </x:c>
      <x:c r="K138" s="6" t="n">
        <x:v>473715.21</x:v>
      </x:c>
      <x:c r="L138" s="6" t="n">
        <x:v>248905.57</x:v>
      </x:c>
      <x:c r="M138" s="6" t="n">
        <x:v>248857.08</x:v>
      </x:c>
      <x:c r="N138" s="6" t="n">
        <x:v>256959.91</x:v>
      </x:c>
      <x:c r="O138" s="6" t="n">
        <x:v>1399537.93</x:v>
      </x:c>
      <x:c r="P138" s="6" t="n">
        <x:v>99314.61</x:v>
      </x:c>
      <x:c r="Q138" s="6" t="n">
        <x:v>70</x:v>
      </x:c>
      <x:c r="R138" s="6" t="n">
        <x:f>F138-I138</x:f>
        <x:v>373482.39999999997</x:v>
      </x:c>
      <x:c r="S138" s="6" t="n">
        <x:f>G138-J138</x:f>
        <x:v>394738.81</x:v>
      </x:c>
      <x:c r="T138" s="6" t="n">
        <x:f>R138-L138</x:f>
        <x:v>124576.82999999996</x:v>
      </x:c>
      <x:c r="U138" s="6" t="n">
        <x:f>S138-M138</x:f>
        <x:v>145881.73</x:v>
      </x:c>
      <x:c r="V138" s="6" t="n">
        <x:f>F138-G138</x:f>
        <x:v>-34870.25</x:v>
      </x:c>
      <x:c r="W138" s="8" t="n">
        <x:f>IFERROR(V138/G138,0)</x:f>
        <x:v>-0.040635261509864046</x:v>
      </x:c>
      <x:c r="X138" s="8" t="n">
        <x:f>IFERROR(T138/F138,0)</x:f>
        <x:v>0.15132180800612333</x:v>
      </x:c>
      <x:c r="Y138" s="8" t="n">
        <x:f>IFERROR(T138/O138,0)</x:f>
        <x:v>0.08901282868410716</x:v>
      </x:c>
    </x:row>
    <x:row r="139">
      <x:c r="A139" t="str">
        <x:v>2024-12-01</x:v>
      </x:c>
      <x:c r="B139" t="n">
        <x:v>2024</x:v>
      </x:c>
      <x:c r="C139" t="str">
        <x:v>Q4</x:v>
      </x:c>
      <x:c r="D139" t="str">
        <x:v>SMB</x:v>
      </x:c>
      <x:c r="E139" t="str">
        <x:v>West</x:v>
      </x:c>
      <x:c r="F139" s="6" t="n">
        <x:v>953032.64</x:v>
      </x:c>
      <x:c r="G139" s="6" t="n">
        <x:v>918962.34</x:v>
      </x:c>
      <x:c r="H139" s="6" t="n">
        <x:v>945737.98</x:v>
      </x:c>
      <x:c r="I139" s="6" t="n">
        <x:v>515474.91</x:v>
      </x:c>
      <x:c r="J139" s="6" t="n">
        <x:v>496239.66</x:v>
      </x:c>
      <x:c r="K139" s="6" t="n">
        <x:v>512589.98</x:v>
      </x:c>
      <x:c r="L139" s="6" t="n">
        <x:v>266001.5</x:v>
      </x:c>
      <x:c r="M139" s="6" t="n">
        <x:v>266499.08</x:v>
      </x:c>
      <x:c r="N139" s="6" t="n">
        <x:v>278046.96</x:v>
      </x:c>
      <x:c r="O139" s="6" t="n">
        <x:v>1620155.49</x:v>
      </x:c>
      <x:c r="P139" s="6" t="n">
        <x:v>140754.72</x:v>
      </x:c>
      <x:c r="Q139" s="6" t="n">
        <x:v>76</x:v>
      </x:c>
      <x:c r="R139" s="6" t="n">
        <x:f>F139-I139</x:f>
        <x:v>437557.73000000004</x:v>
      </x:c>
      <x:c r="S139" s="6" t="n">
        <x:f>G139-J139</x:f>
        <x:v>422722.68</x:v>
      </x:c>
      <x:c r="T139" s="6" t="n">
        <x:f>R139-L139</x:f>
        <x:v>171556.23000000004</x:v>
      </x:c>
      <x:c r="U139" s="6" t="n">
        <x:f>S139-M139</x:f>
        <x:v>156223.59999999998</x:v>
      </x:c>
      <x:c r="V139" s="6" t="n">
        <x:f>F139-G139</x:f>
        <x:v>34070.30000000005</x:v>
      </x:c>
      <x:c r="W139" s="8" t="n">
        <x:f>IFERROR(V139/G139,0)</x:f>
        <x:v>0.03707475107195366</x:v>
      </x:c>
      <x:c r="X139" s="8" t="n">
        <x:f>IFERROR(T139/F139,0)</x:f>
        <x:v>0.1800108651053127</x:v>
      </x:c>
      <x:c r="Y139" s="8" t="n">
        <x:f>IFERROR(T139/O139,0)</x:f>
        <x:v>0.1058887440488814</x:v>
      </x:c>
    </x:row>
    <x:row r="140">
      <x:c r="A140" t="str">
        <x:v>2024-12-01</x:v>
      </x:c>
      <x:c r="B140" t="n">
        <x:v>2024</x:v>
      </x:c>
      <x:c r="C140" t="str">
        <x:v>Q4</x:v>
      </x:c>
      <x:c r="D140" t="str">
        <x:v>Digital</x:v>
      </x:c>
      <x:c r="E140" t="str">
        <x:v>East</x:v>
      </x:c>
      <x:c r="F140" s="6" t="n">
        <x:v>725850.24</x:v>
      </x:c>
      <x:c r="G140" s="6" t="n">
        <x:v>696613.35</x:v>
      </x:c>
      <x:c r="H140" s="6" t="n">
        <x:v>713567.92</x:v>
      </x:c>
      <x:c r="I140" s="6" t="n">
        <x:v>260905.39</x:v>
      </x:c>
      <x:c r="J140" s="6" t="n">
        <x:v>250780.81</x:v>
      </x:c>
      <x:c r="K140" s="6" t="n">
        <x:v>258311.59</x:v>
      </x:c>
      <x:c r="L140" s="6" t="n">
        <x:v>249531.73</x:v>
      </x:c>
      <x:c r="M140" s="6" t="n">
        <x:v>236848.54</x:v>
      </x:c>
      <x:c r="N140" s="6" t="n">
        <x:v>245467.37</x:v>
      </x:c>
      <x:c r="O140" s="6" t="n">
        <x:v>1016190.33</x:v>
      </x:c>
      <x:c r="P140" s="6" t="n">
        <x:v>174783.11</x:v>
      </x:c>
      <x:c r="Q140" s="6" t="n">
        <x:v>57</x:v>
      </x:c>
      <x:c r="R140" s="6" t="n">
        <x:f>F140-I140</x:f>
        <x:v>464944.85</x:v>
      </x:c>
      <x:c r="S140" s="6" t="n">
        <x:f>G140-J140</x:f>
        <x:v>445832.54</x:v>
      </x:c>
      <x:c r="T140" s="6" t="n">
        <x:f>R140-L140</x:f>
        <x:v>215413.11999999997</x:v>
      </x:c>
      <x:c r="U140" s="6" t="n">
        <x:f>S140-M140</x:f>
        <x:v>208983.99999999997</x:v>
      </x:c>
      <x:c r="V140" s="6" t="n">
        <x:f>F140-G140</x:f>
        <x:v>29236.890000000014</x:v>
      </x:c>
      <x:c r="W140" s="8" t="n">
        <x:f>IFERROR(V140/G140,0)</x:f>
        <x:v>0.0419700397645265</x:v>
      </x:c>
      <x:c r="X140" s="8" t="n">
        <x:f>IFERROR(T140/F140,0)</x:f>
        <x:v>0.29677350523435797</x:v>
      </x:c>
      <x:c r="Y140" s="8" t="n">
        <x:f>IFERROR(T140/O140,0)</x:f>
        <x:v>0.2119810764190208</x:v>
      </x:c>
    </x:row>
    <x:row r="141">
      <x:c r="A141" t="str">
        <x:v>2024-12-01</x:v>
      </x:c>
      <x:c r="B141" t="n">
        <x:v>2024</x:v>
      </x:c>
      <x:c r="C141" t="str">
        <x:v>Q4</x:v>
      </x:c>
      <x:c r="D141" t="str">
        <x:v>Digital</x:v>
      </x:c>
      <x:c r="E141" t="str">
        <x:v>Central</x:v>
      </x:c>
      <x:c r="F141" s="6" t="n">
        <x:v>623596.91</x:v>
      </x:c>
      <x:c r="G141" s="6" t="n">
        <x:v>626102.66</x:v>
      </x:c>
      <x:c r="H141" s="6" t="n">
        <x:v>635159.33</x:v>
      </x:c>
      <x:c r="I141" s="6" t="n">
        <x:v>219514.46</x:v>
      </x:c>
      <x:c r="J141" s="6" t="n">
        <x:v>225396.96</x:v>
      </x:c>
      <x:c r="K141" s="6" t="n">
        <x:v>229927.68</x:v>
      </x:c>
      <x:c r="L141" s="6" t="n">
        <x:v>213322.97</x:v>
      </x:c>
      <x:c r="M141" s="6" t="n">
        <x:v>212874.9</x:v>
      </x:c>
      <x:c r="N141" s="6" t="n">
        <x:v>218494.81</x:v>
      </x:c>
      <x:c r="O141" s="6" t="n">
        <x:v>873035.67</x:v>
      </x:c>
      <x:c r="P141" s="6" t="n">
        <x:v>174323.78</x:v>
      </x:c>
      <x:c r="Q141" s="6" t="n">
        <x:v>51</x:v>
      </x:c>
      <x:c r="R141" s="6" t="n">
        <x:f>F141-I141</x:f>
        <x:v>404082.45000000007</x:v>
      </x:c>
      <x:c r="S141" s="6" t="n">
        <x:f>G141-J141</x:f>
        <x:v>400705.70000000007</x:v>
      </x:c>
      <x:c r="T141" s="6" t="n">
        <x:f>R141-L141</x:f>
        <x:v>190759.48000000007</x:v>
      </x:c>
      <x:c r="U141" s="6" t="n">
        <x:f>S141-M141</x:f>
        <x:v>187830.80000000008</x:v>
      </x:c>
      <x:c r="V141" s="6" t="n">
        <x:f>F141-G141</x:f>
        <x:v>-2505.75</x:v>
      </x:c>
      <x:c r="W141" s="8" t="n">
        <x:f>IFERROR(V141/G141,0)</x:f>
        <x:v>-0.004002139201900212</x:v>
      </x:c>
      <x:c r="X141" s="8" t="n">
        <x:f>IFERROR(T141/F141,0)</x:f>
        <x:v>0.3059019006364224</x:v>
      </x:c>
      <x:c r="Y141" s="8" t="n">
        <x:f>IFERROR(T141/O141,0)</x:f>
        <x:v>0.21850135859855538</x:v>
      </x:c>
    </x:row>
    <x:row r="142">
      <x:c r="A142" t="str">
        <x:v>2024-12-01</x:v>
      </x:c>
      <x:c r="B142" t="n">
        <x:v>2024</x:v>
      </x:c>
      <x:c r="C142" t="str">
        <x:v>Q4</x:v>
      </x:c>
      <x:c r="D142" t="str">
        <x:v>Digital</x:v>
      </x:c>
      <x:c r="E142" t="str">
        <x:v>West</x:v>
      </x:c>
      <x:c r="F142" s="6" t="n">
        <x:v>681171.85</x:v>
      </x:c>
      <x:c r="G142" s="6" t="n">
        <x:v>665031.23</x:v>
      </x:c>
      <x:c r="H142" s="6" t="n">
        <x:v>674503.04</x:v>
      </x:c>
      <x:c r="I142" s="6" t="n">
        <x:v>252132.96</x:v>
      </x:c>
      <x:c r="J142" s="6" t="n">
        <x:v>239411.24</x:v>
      </x:c>
      <x:c r="K142" s="6" t="n">
        <x:v>244170.1</x:v>
      </x:c>
      <x:c r="L142" s="6" t="n">
        <x:v>240842.09</x:v>
      </x:c>
      <x:c r="M142" s="6" t="n">
        <x:v>226110.62</x:v>
      </x:c>
      <x:c r="N142" s="6" t="n">
        <x:v>232029.05</x:v>
      </x:c>
      <x:c r="O142" s="6" t="n">
        <x:v>953640.59</x:v>
      </x:c>
      <x:c r="P142" s="6" t="n">
        <x:v>167846.78</x:v>
      </x:c>
      <x:c r="Q142" s="6" t="n">
        <x:v>55</x:v>
      </x:c>
      <x:c r="R142" s="6" t="n">
        <x:f>F142-I142</x:f>
        <x:v>429038.89</x:v>
      </x:c>
      <x:c r="S142" s="6" t="n">
        <x:f>G142-J142</x:f>
        <x:v>425619.99</x:v>
      </x:c>
      <x:c r="T142" s="6" t="n">
        <x:f>R142-L142</x:f>
        <x:v>188196.80000000002</x:v>
      </x:c>
      <x:c r="U142" s="6" t="n">
        <x:f>S142-M142</x:f>
        <x:v>199509.37</x:v>
      </x:c>
      <x:c r="V142" s="6" t="n">
        <x:f>F142-G142</x:f>
        <x:v>16140.619999999995</x:v>
      </x:c>
      <x:c r="W142" s="8" t="n">
        <x:f>IFERROR(V142/G142,0)</x:f>
        <x:v>0.024270469222926562</x:v>
      </x:c>
      <x:c r="X142" s="8" t="n">
        <x:f>IFERROR(T142/F142,0)</x:f>
        <x:v>0.27628387755600886</x:v>
      </x:c>
      <x:c r="Y142" s="8" t="n">
        <x:f>IFERROR(T142/O142,0)</x:f>
        <x:v>0.1973456268257206</x:v>
      </x:c>
    </x:row>
    <x:row r="143">
      <x:c r="A143" t="str">
        <x:v>2024-12-01</x:v>
      </x:c>
      <x:c r="B143" t="n">
        <x:v>2024</x:v>
      </x:c>
      <x:c r="C143" t="str">
        <x:v>Q4</x:v>
      </x:c>
      <x:c r="D143" t="str">
        <x:v>Services</x:v>
      </x:c>
      <x:c r="E143" t="str">
        <x:v>East</x:v>
      </x:c>
      <x:c r="F143" s="6" t="n">
        <x:v>503265.23</x:v>
      </x:c>
      <x:c r="G143" s="6" t="n">
        <x:v>510066.4</x:v>
      </x:c>
      <x:c r="H143" s="6" t="n">
        <x:v>518912.11</x:v>
      </x:c>
      <x:c r="I143" s="6" t="n">
        <x:v>215268.91</x:v>
      </x:c>
      <x:c r="J143" s="6" t="n">
        <x:v>214227.89</x:v>
      </x:c>
      <x:c r="K143" s="6" t="n">
        <x:v>218980.91</x:v>
      </x:c>
      <x:c r="L143" s="6" t="n">
        <x:v>163144.24</x:v>
      </x:c>
      <x:c r="M143" s="6" t="n">
        <x:v>158120.58</x:v>
      </x:c>
      <x:c r="N143" s="6" t="n">
        <x:v>162938.4</x:v>
      </x:c>
      <x:c r="O143" s="6" t="n">
        <x:v>805224.37</x:v>
      </x:c>
      <x:c r="P143" s="6" t="n">
        <x:v>90789.92</x:v>
      </x:c>
      <x:c r="Q143" s="6" t="n">
        <x:v>52</x:v>
      </x:c>
      <x:c r="R143" s="6" t="n">
        <x:f>F143-I143</x:f>
        <x:v>287996.31999999995</x:v>
      </x:c>
      <x:c r="S143" s="6" t="n">
        <x:f>G143-J143</x:f>
        <x:v>295838.51</x:v>
      </x:c>
      <x:c r="T143" s="6" t="n">
        <x:f>R143-L143</x:f>
        <x:v>124852.07999999996</x:v>
      </x:c>
      <x:c r="U143" s="6" t="n">
        <x:f>S143-M143</x:f>
        <x:v>137717.93000000002</x:v>
      </x:c>
      <x:c r="V143" s="6" t="n">
        <x:f>F143-G143</x:f>
        <x:v>-6801.170000000042</x:v>
      </x:c>
      <x:c r="W143" s="8" t="n">
        <x:f>IFERROR(V143/G143,0)</x:f>
        <x:v>-0.013333891430605978</x:v>
      </x:c>
      <x:c r="X143" s="8" t="n">
        <x:f>IFERROR(T143/F143,0)</x:f>
        <x:v>0.24808405698919428</x:v>
      </x:c>
      <x:c r="Y143" s="8" t="n">
        <x:f>IFERROR(T143/O143,0)</x:f>
        <x:v>0.15505253523313006</x:v>
      </x:c>
    </x:row>
    <x:row r="144">
      <x:c r="A144" t="str">
        <x:v>2024-12-01</x:v>
      </x:c>
      <x:c r="B144" t="n">
        <x:v>2024</x:v>
      </x:c>
      <x:c r="C144" t="str">
        <x:v>Q4</x:v>
      </x:c>
      <x:c r="D144" t="str">
        <x:v>Services</x:v>
      </x:c>
      <x:c r="E144" t="str">
        <x:v>Central</x:v>
      </x:c>
      <x:c r="F144" s="6" t="n">
        <x:v>460541.78</x:v>
      </x:c>
      <x:c r="G144" s="6" t="n">
        <x:v>452347.02</x:v>
      </x:c>
      <x:c r="H144" s="6" t="n">
        <x:v>464307.89</x:v>
      </x:c>
      <x:c r="I144" s="6" t="n">
        <x:v>199844.31</x:v>
      </x:c>
      <x:c r="J144" s="6" t="n">
        <x:v>189985.75</x:v>
      </x:c>
      <x:c r="K144" s="6" t="n">
        <x:v>195937.93</x:v>
      </x:c>
      <x:c r="L144" s="6" t="n">
        <x:v>147558.96</x:v>
      </x:c>
      <x:c r="M144" s="6" t="n">
        <x:v>140227.58</x:v>
      </x:c>
      <x:c r="N144" s="6" t="n">
        <x:v>145792.68</x:v>
      </x:c>
      <x:c r="O144" s="6" t="n">
        <x:v>736866.85</x:v>
      </x:c>
      <x:c r="P144" s="6" t="n">
        <x:v>91279.5</x:v>
      </x:c>
      <x:c r="Q144" s="6" t="n">
        <x:v>46</x:v>
      </x:c>
      <x:c r="R144" s="6" t="n">
        <x:f>F144-I144</x:f>
        <x:v>260697.47000000003</x:v>
      </x:c>
      <x:c r="S144" s="6" t="n">
        <x:f>G144-J144</x:f>
        <x:v>262361.27</x:v>
      </x:c>
      <x:c r="T144" s="6" t="n">
        <x:f>R144-L144</x:f>
        <x:v>113138.51000000004</x:v>
      </x:c>
      <x:c r="U144" s="6" t="n">
        <x:f>S144-M144</x:f>
        <x:v>122133.69000000003</x:v>
      </x:c>
      <x:c r="V144" s="6" t="n">
        <x:f>F144-G144</x:f>
        <x:v>8194.76000000001</x:v>
      </x:c>
      <x:c r="W144" s="8" t="n">
        <x:f>IFERROR(V144/G144,0)</x:f>
        <x:v>0.01811609149099735</x:v>
      </x:c>
      <x:c r="X144" s="8" t="n">
        <x:f>IFERROR(T144/F144,0)</x:f>
        <x:v>0.24566394388800084</x:v>
      </x:c>
      <x:c r="Y144" s="8" t="n">
        <x:f>IFERROR(T144/O144,0)</x:f>
        <x:v>0.1535399645132632</x:v>
      </x:c>
    </x:row>
    <x:row r="145">
      <x:c r="A145" t="str">
        <x:v>2024-12-01</x:v>
      </x:c>
      <x:c r="B145" t="n">
        <x:v>2024</x:v>
      </x:c>
      <x:c r="C145" t="str">
        <x:v>Q4</x:v>
      </x:c>
      <x:c r="D145" t="str">
        <x:v>Services</x:v>
      </x:c>
      <x:c r="E145" t="str">
        <x:v>West</x:v>
      </x:c>
      <x:c r="F145" s="6" t="n">
        <x:v>495414.82</x:v>
      </x:c>
      <x:c r="G145" s="6" t="n">
        <x:v>486475.93</x:v>
      </x:c>
      <x:c r="H145" s="6" t="n">
        <x:v>498280.79</x:v>
      </x:c>
      <x:c r="I145" s="6" t="n">
        <x:v>207844.18</x:v>
      </x:c>
      <x:c r="J145" s="6" t="n">
        <x:v>204319.89</x:v>
      </x:c>
      <x:c r="K145" s="6" t="n">
        <x:v>210274.49</x:v>
      </x:c>
      <x:c r="L145" s="6" t="n">
        <x:v>157948.17</x:v>
      </x:c>
      <x:c r="M145" s="6" t="n">
        <x:v>150807.54</x:v>
      </x:c>
      <x:c r="N145" s="6" t="n">
        <x:v>156460.17</x:v>
      </x:c>
      <x:c r="O145" s="6" t="n">
        <x:v>792663.72</x:v>
      </x:c>
      <x:c r="P145" s="6" t="n">
        <x:v>116749</x:v>
      </x:c>
      <x:c r="Q145" s="6" t="n">
        <x:v>50</x:v>
      </x:c>
      <x:c r="R145" s="6" t="n">
        <x:f>F145-I145</x:f>
        <x:v>287570.64</x:v>
      </x:c>
      <x:c r="S145" s="6" t="n">
        <x:f>G145-J145</x:f>
        <x:v>282156.04</x:v>
      </x:c>
      <x:c r="T145" s="6" t="n">
        <x:f>R145-L145</x:f>
        <x:v>129622.47</x:v>
      </x:c>
      <x:c r="U145" s="6" t="n">
        <x:f>S145-M145</x:f>
        <x:v>131348.49999999997</x:v>
      </x:c>
      <x:c r="V145" s="6" t="n">
        <x:f>F145-G145</x:f>
        <x:v>8938.890000000014</x:v>
      </x:c>
      <x:c r="W145" s="8" t="n">
        <x:f>IFERROR(V145/G145,0)</x:f>
        <x:v>0.018374783722598598</x:v>
      </x:c>
      <x:c r="X145" s="8" t="n">
        <x:f>IFERROR(T145/F145,0)</x:f>
        <x:v>0.2616443125379253</x:v>
      </x:c>
      <x:c r="Y145" s="8" t="n">
        <x:f>IFERROR(T145/O145,0)</x:f>
        <x:v>0.1635276936857915</x:v>
      </x:c>
    </x:row>
    <x:row r="146">
      <x:c r="A146" t="str">
        <x:v>2025-01-01</x:v>
      </x:c>
      <x:c r="B146" t="n">
        <x:v>2025</x:v>
      </x:c>
      <x:c r="C146" t="str">
        <x:v>Q1</x:v>
      </x:c>
      <x:c r="D146" t="str">
        <x:v>Enterprise</x:v>
      </x:c>
      <x:c r="E146" t="str">
        <x:v>East</x:v>
      </x:c>
      <x:c r="F146" s="6" t="n">
        <x:v>1732694.33</x:v>
      </x:c>
      <x:c r="G146" s="6" t="n">
        <x:v>1674724.82</x:v>
      </x:c>
      <x:c r="H146" s="6" t="n">
        <x:v>1671712.91</x:v>
      </x:c>
      <x:c r="I146" s="6" t="n">
        <x:v>827787.56</x:v>
      </x:c>
      <x:c r="J146" s="6" t="n">
        <x:v>803867.92</x:v>
      </x:c>
      <x:c r="K146" s="6" t="n">
        <x:v>805765.62</x:v>
      </x:c>
      <x:c r="L146" s="6" t="n">
        <x:v>454601.98</x:v>
      </x:c>
      <x:c r="M146" s="6" t="n">
        <x:v>452175.7</x:v>
      </x:c>
      <x:c r="N146" s="6" t="n">
        <x:v>458049.34</x:v>
      </x:c>
      <x:c r="O146" s="6" t="n">
        <x:v>3638658.09</x:v>
      </x:c>
      <x:c r="P146" s="6" t="n">
        <x:v>372056.8</x:v>
      </x:c>
      <x:c r="Q146" s="6" t="n">
        <x:v>111</x:v>
      </x:c>
      <x:c r="R146" s="6" t="n">
        <x:f>F146-I146</x:f>
        <x:v>904906.77</x:v>
      </x:c>
      <x:c r="S146" s="6" t="n">
        <x:f>G146-J146</x:f>
        <x:v>870856.9</x:v>
      </x:c>
      <x:c r="T146" s="6" t="n">
        <x:f>R146-L146</x:f>
        <x:v>450304.79000000004</x:v>
      </x:c>
      <x:c r="U146" s="6" t="n">
        <x:f>S146-M146</x:f>
        <x:v>418681.2</x:v>
      </x:c>
      <x:c r="V146" s="6" t="n">
        <x:f>F146-G146</x:f>
        <x:v>57969.51000000001</x:v>
      </x:c>
      <x:c r="W146" s="8" t="n">
        <x:f>IFERROR(V146/G146,0)</x:f>
        <x:v>0.034614349359198014</x:v>
      </x:c>
      <x:c r="X146" s="8" t="n">
        <x:f>IFERROR(T146/F146,0)</x:f>
        <x:v>0.2598870338543787</x:v>
      </x:c>
      <x:c r="Y146" s="8" t="n">
        <x:f>IFERROR(T146/O146,0)</x:f>
        <x:v>0.12375573050888111</x:v>
      </x:c>
    </x:row>
    <x:row r="147">
      <x:c r="A147" t="str">
        <x:v>2025-01-01</x:v>
      </x:c>
      <x:c r="B147" t="n">
        <x:v>2025</x:v>
      </x:c>
      <x:c r="C147" t="str">
        <x:v>Q1</x:v>
      </x:c>
      <x:c r="D147" t="str">
        <x:v>Enterprise</x:v>
      </x:c>
      <x:c r="E147" t="str">
        <x:v>Central</x:v>
      </x:c>
      <x:c r="F147" s="6" t="n">
        <x:v>1575151.53</x:v>
      </x:c>
      <x:c r="G147" s="6" t="n">
        <x:v>1522986.28</x:v>
      </x:c>
      <x:c r="H147" s="6" t="n">
        <x:v>1511791.21</x:v>
      </x:c>
      <x:c r="I147" s="6" t="n">
        <x:v>740404.98</x:v>
      </x:c>
      <x:c r="J147" s="6" t="n">
        <x:v>731033.41</x:v>
      </x:c>
      <x:c r="K147" s="6" t="n">
        <x:v>728683.36</x:v>
      </x:c>
      <x:c r="L147" s="6" t="n">
        <x:v>447540.22</x:v>
      </x:c>
      <x:c r="M147" s="6" t="n">
        <x:v>411206.3</x:v>
      </x:c>
      <x:c r="N147" s="6" t="n">
        <x:v>414230.79</x:v>
      </x:c>
      <x:c r="O147" s="6" t="n">
        <x:v>3307818.2</x:v>
      </x:c>
      <x:c r="P147" s="6" t="n">
        <x:v>326779.71</x:v>
      </x:c>
      <x:c r="Q147" s="6" t="n">
        <x:v>100</x:v>
      </x:c>
      <x:c r="R147" s="6" t="n">
        <x:f>F147-I147</x:f>
        <x:v>834746.55</x:v>
      </x:c>
      <x:c r="S147" s="6" t="n">
        <x:f>G147-J147</x:f>
        <x:v>791952.87</x:v>
      </x:c>
      <x:c r="T147" s="6" t="n">
        <x:f>R147-L147</x:f>
        <x:v>387206.3300000001</x:v>
      </x:c>
      <x:c r="U147" s="6" t="n">
        <x:f>S147-M147</x:f>
        <x:v>380746.57</x:v>
      </x:c>
      <x:c r="V147" s="6" t="n">
        <x:f>F147-G147</x:f>
        <x:v>52165.25</x:v>
      </x:c>
      <x:c r="W147" s="8" t="n">
        <x:f>IFERROR(V147/G147,0)</x:f>
        <x:v>0.03425195005696308</x:v>
      </x:c>
      <x:c r="X147" s="8" t="n">
        <x:f>IFERROR(T147/F147,0)</x:f>
        <x:v>0.2458216385061062</x:v>
      </x:c>
      <x:c r="Y147" s="8" t="n">
        <x:f>IFERROR(T147/O147,0)</x:f>
        <x:v>0.11705792355819315</x:v>
      </x:c>
    </x:row>
    <x:row r="148">
      <x:c r="A148" t="str">
        <x:v>2025-01-01</x:v>
      </x:c>
      <x:c r="B148" t="n">
        <x:v>2025</x:v>
      </x:c>
      <x:c r="C148" t="str">
        <x:v>Q1</x:v>
      </x:c>
      <x:c r="D148" t="str">
        <x:v>Enterprise</x:v>
      </x:c>
      <x:c r="E148" t="str">
        <x:v>West</x:v>
      </x:c>
      <x:c r="F148" s="6" t="n">
        <x:v>1695472.07</x:v>
      </x:c>
      <x:c r="G148" s="6" t="n">
        <x:v>1620471.93</x:v>
      </x:c>
      <x:c r="H148" s="6" t="n">
        <x:v>1606601.17</x:v>
      </x:c>
      <x:c r="I148" s="6" t="n">
        <x:v>813809.47</x:v>
      </x:c>
      <x:c r="J148" s="6" t="n">
        <x:v>777826.53</x:v>
      </x:c>
      <x:c r="K148" s="6" t="n">
        <x:v>774381.76</x:v>
      </x:c>
      <x:c r="L148" s="6" t="n">
        <x:v>450350.14</x:v>
      </x:c>
      <x:c r="M148" s="6" t="n">
        <x:v>437527.42</x:v>
      </x:c>
      <x:c r="N148" s="6" t="n">
        <x:v>440208.72</x:v>
      </x:c>
      <x:c r="O148" s="6" t="n">
        <x:v>3560491.35</x:v>
      </x:c>
      <x:c r="P148" s="6" t="n">
        <x:v>332570.09</x:v>
      </x:c>
      <x:c r="Q148" s="6" t="n">
        <x:v>107</x:v>
      </x:c>
      <x:c r="R148" s="6" t="n">
        <x:f>F148-I148</x:f>
        <x:v>881662.6000000001</x:v>
      </x:c>
      <x:c r="S148" s="6" t="n">
        <x:f>G148-J148</x:f>
        <x:v>842645.3999999999</x:v>
      </x:c>
      <x:c r="T148" s="6" t="n">
        <x:f>R148-L148</x:f>
        <x:v>431312.4600000001</x:v>
      </x:c>
      <x:c r="U148" s="6" t="n">
        <x:f>S148-M148</x:f>
        <x:v>405117.9799999999</x:v>
      </x:c>
      <x:c r="V148" s="6" t="n">
        <x:f>F148-G148</x:f>
        <x:v>75000.14000000013</x:v>
      </x:c>
      <x:c r="W148" s="8" t="n">
        <x:f>IFERROR(V148/G148,0)</x:f>
        <x:v>0.04628289982165883</x:v>
      </x:c>
      <x:c r="X148" s="8" t="n">
        <x:f>IFERROR(T148/F148,0)</x:f>
        <x:v>0.25439077861070286</x:v>
      </x:c>
      <x:c r="Y148" s="8" t="n">
        <x:f>IFERROR(T148/O148,0)</x:f>
        <x:v>0.1211384659030277</x:v>
      </x:c>
    </x:row>
    <x:row r="149">
      <x:c r="A149" t="str">
        <x:v>2025-01-01</x:v>
      </x:c>
      <x:c r="B149" t="n">
        <x:v>2025</x:v>
      </x:c>
      <x:c r="C149" t="str">
        <x:v>Q1</x:v>
      </x:c>
      <x:c r="D149" t="str">
        <x:v>SMB</x:v>
      </x:c>
      <x:c r="E149" t="str">
        <x:v>East</x:v>
      </x:c>
      <x:c r="F149" s="6" t="n">
        <x:v>1000818.63</x:v>
      </x:c>
      <x:c r="G149" s="6" t="n">
        <x:v>966541.86</x:v>
      </x:c>
      <x:c r="H149" s="6" t="n">
        <x:v>991241.28</x:v>
      </x:c>
      <x:c r="I149" s="6" t="n">
        <x:v>546064.54</x:v>
      </x:c>
      <x:c r="J149" s="6" t="n">
        <x:v>521932.6</x:v>
      </x:c>
      <x:c r="K149" s="6" t="n">
        <x:v>537252.77</x:v>
      </x:c>
      <x:c r="L149" s="6" t="n">
        <x:v>282970.73</x:v>
      </x:c>
      <x:c r="M149" s="6" t="n">
        <x:v>280297.14</x:v>
      </x:c>
      <x:c r="N149" s="6" t="n">
        <x:v>291424.94</x:v>
      </x:c>
      <x:c r="O149" s="6" t="n">
        <x:v>1701391.67</x:v>
      </x:c>
      <x:c r="P149" s="6" t="n">
        <x:v>138860.39</x:v>
      </x:c>
      <x:c r="Q149" s="6" t="n">
        <x:v>79</x:v>
      </x:c>
      <x:c r="R149" s="6" t="n">
        <x:f>F149-I149</x:f>
        <x:v>454754.08999999997</x:v>
      </x:c>
      <x:c r="S149" s="6" t="n">
        <x:f>G149-J149</x:f>
        <x:v>444609.26</x:v>
      </x:c>
      <x:c r="T149" s="6" t="n">
        <x:f>R149-L149</x:f>
        <x:v>171783.36</x:v>
      </x:c>
      <x:c r="U149" s="6" t="n">
        <x:f>S149-M149</x:f>
        <x:v>164312.12</x:v>
      </x:c>
      <x:c r="V149" s="6" t="n">
        <x:f>F149-G149</x:f>
        <x:v>34276.77000000002</x:v>
      </x:c>
      <x:c r="W149" s="8" t="n">
        <x:f>IFERROR(V149/G149,0)</x:f>
        <x:v>0.035463306265907636</x:v>
      </x:c>
      <x:c r="X149" s="8" t="n">
        <x:f>IFERROR(T149/F149,0)</x:f>
        <x:v>0.1716428480153292</x:v>
      </x:c>
      <x:c r="Y149" s="8" t="n">
        <x:f>IFERROR(T149/O149,0)</x:f>
        <x:v>0.10096638124483118</x:v>
      </x:c>
    </x:row>
    <x:row r="150">
      <x:c r="A150" t="str">
        <x:v>2025-01-01</x:v>
      </x:c>
      <x:c r="B150" t="n">
        <x:v>2025</x:v>
      </x:c>
      <x:c r="C150" t="str">
        <x:v>Q1</x:v>
      </x:c>
      <x:c r="D150" t="str">
        <x:v>SMB</x:v>
      </x:c>
      <x:c r="E150" t="str">
        <x:v>Central</x:v>
      </x:c>
      <x:c r="F150" s="6" t="n">
        <x:v>886167.61</x:v>
      </x:c>
      <x:c r="G150" s="6" t="n">
        <x:v>874141.89</x:v>
      </x:c>
      <x:c r="H150" s="6" t="n">
        <x:v>886163.3</x:v>
      </x:c>
      <x:c r="I150" s="6" t="n">
        <x:v>477672.73</x:v>
      </x:c>
      <x:c r="J150" s="6" t="n">
        <x:v>472036.62</x:v>
      </x:c>
      <x:c r="K150" s="6" t="n">
        <x:v>480300.51</x:v>
      </x:c>
      <x:c r="L150" s="6" t="n">
        <x:v>253003.46</x:v>
      </x:c>
      <x:c r="M150" s="6" t="n">
        <x:v>253501.15</x:v>
      </x:c>
      <x:c r="N150" s="6" t="n">
        <x:v>260532.01</x:v>
      </x:c>
      <x:c r="O150" s="6" t="n">
        <x:v>1506484.93</x:v>
      </x:c>
      <x:c r="P150" s="6" t="n">
        <x:v>138241.32</x:v>
      </x:c>
      <x:c r="Q150" s="6" t="n">
        <x:v>71</x:v>
      </x:c>
      <x:c r="R150" s="6" t="n">
        <x:f>F150-I150</x:f>
        <x:v>408494.88</x:v>
      </x:c>
      <x:c r="S150" s="6" t="n">
        <x:f>G150-J150</x:f>
        <x:v>402105.27</x:v>
      </x:c>
      <x:c r="T150" s="6" t="n">
        <x:f>R150-L150</x:f>
        <x:v>155491.42</x:v>
      </x:c>
      <x:c r="U150" s="6" t="n">
        <x:f>S150-M150</x:f>
        <x:v>148604.12000000002</x:v>
      </x:c>
      <x:c r="V150" s="6" t="n">
        <x:f>F150-G150</x:f>
        <x:v>12025.719999999972</x:v>
      </x:c>
      <x:c r="W150" s="8" t="n">
        <x:f>IFERROR(V150/G150,0)</x:f>
        <x:v>0.013757171618900419</x:v>
      </x:c>
      <x:c r="X150" s="8" t="n">
        <x:f>IFERROR(T150/F150,0)</x:f>
        <x:v>0.17546502292043828</x:v>
      </x:c>
      <x:c r="Y150" s="8" t="n">
        <x:f>IFERROR(T150/O150,0)</x:f>
        <x:v>0.10321471984455896</x:v>
      </x:c>
    </x:row>
    <x:row r="151">
      <x:c r="A151" t="str">
        <x:v>2025-01-01</x:v>
      </x:c>
      <x:c r="B151" t="n">
        <x:v>2025</x:v>
      </x:c>
      <x:c r="C151" t="str">
        <x:v>Q1</x:v>
      </x:c>
      <x:c r="D151" t="str">
        <x:v>SMB</x:v>
      </x:c>
      <x:c r="E151" t="str">
        <x:v>West</x:v>
      </x:c>
      <x:c r="F151" s="6" t="n">
        <x:v>928987.88</x:v>
      </x:c>
      <x:c r="G151" s="6" t="n">
        <x:v>935094.68</x:v>
      </x:c>
      <x:c r="H151" s="6" t="n">
        <x:v>941401.3</x:v>
      </x:c>
      <x:c r="I151" s="6" t="n">
        <x:v>496234.99</x:v>
      </x:c>
      <x:c r="J151" s="6" t="n">
        <x:v>504951.13</x:v>
      </x:c>
      <x:c r="K151" s="6" t="n">
        <x:v>510239.51</x:v>
      </x:c>
      <x:c r="L151" s="6" t="n">
        <x:v>274197.91</x:v>
      </x:c>
      <x:c r="M151" s="6" t="n">
        <x:v>271177.46</x:v>
      </x:c>
      <x:c r="N151" s="6" t="n">
        <x:v>276771.98</x:v>
      </x:c>
      <x:c r="O151" s="6" t="n">
        <x:v>1579279.4</x:v>
      </x:c>
      <x:c r="P151" s="6" t="n">
        <x:v>132387.44</x:v>
      </x:c>
      <x:c r="Q151" s="6" t="n">
        <x:v>76</x:v>
      </x:c>
      <x:c r="R151" s="6" t="n">
        <x:f>F151-I151</x:f>
        <x:v>432752.89</x:v>
      </x:c>
      <x:c r="S151" s="6" t="n">
        <x:f>G151-J151</x:f>
        <x:v>430143.55000000005</x:v>
      </x:c>
      <x:c r="T151" s="6" t="n">
        <x:f>R151-L151</x:f>
        <x:v>158554.98000000004</x:v>
      </x:c>
      <x:c r="U151" s="6" t="n">
        <x:f>S151-M151</x:f>
        <x:v>158966.09000000003</x:v>
      </x:c>
      <x:c r="V151" s="6" t="n">
        <x:f>F151-G151</x:f>
        <x:v>-6106.800000000047</x:v>
      </x:c>
      <x:c r="W151" s="8" t="n">
        <x:f>IFERROR(V151/G151,0)</x:f>
        <x:v>-0.0065306755889147465</x:v>
      </x:c>
      <x:c r="X151" s="8" t="n">
        <x:f>IFERROR(T151/F151,0)</x:f>
        <x:v>0.17067497156152353</x:v>
      </x:c>
      <x:c r="Y151" s="8" t="n">
        <x:f>IFERROR(T151/O151,0)</x:f>
        <x:v>0.10039704184072815</x:v>
      </x:c>
    </x:row>
    <x:row r="152">
      <x:c r="A152" t="str">
        <x:v>2025-01-01</x:v>
      </x:c>
      <x:c r="B152" t="n">
        <x:v>2025</x:v>
      </x:c>
      <x:c r="C152" t="str">
        <x:v>Q1</x:v>
      </x:c>
      <x:c r="D152" t="str">
        <x:v>Digital</x:v>
      </x:c>
      <x:c r="E152" t="str">
        <x:v>East</x:v>
      </x:c>
      <x:c r="F152" s="6" t="n">
        <x:v>716206.95</x:v>
      </x:c>
      <x:c r="G152" s="6" t="n">
        <x:v>727465.88</x:v>
      </x:c>
      <x:c r="H152" s="6" t="n">
        <x:v>748567.85</x:v>
      </x:c>
      <x:c r="I152" s="6" t="n">
        <x:v>261497.17</x:v>
      </x:c>
      <x:c r="J152" s="6" t="n">
        <x:v>261887.72</x:v>
      </x:c>
      <x:c r="K152" s="6" t="n">
        <x:v>270981.56</x:v>
      </x:c>
      <x:c r="L152" s="6" t="n">
        <x:v>240813.42</x:v>
      </x:c>
      <x:c r="M152" s="6" t="n">
        <x:v>247338.4</x:v>
      </x:c>
      <x:c r="N152" s="6" t="n">
        <x:v>257507.34</x:v>
      </x:c>
      <x:c r="O152" s="6" t="n">
        <x:v>1002689.73</x:v>
      </x:c>
      <x:c r="P152" s="6" t="n">
        <x:v>178215.41</x:v>
      </x:c>
      <x:c r="Q152" s="6" t="n">
        <x:v>57</x:v>
      </x:c>
      <x:c r="R152" s="6" t="n">
        <x:f>F152-I152</x:f>
        <x:v>454709.7799999999</x:v>
      </x:c>
      <x:c r="S152" s="6" t="n">
        <x:f>G152-J152</x:f>
        <x:v>465578.16000000003</x:v>
      </x:c>
      <x:c r="T152" s="6" t="n">
        <x:f>R152-L152</x:f>
        <x:v>213896.3599999999</x:v>
      </x:c>
      <x:c r="U152" s="6" t="n">
        <x:f>S152-M152</x:f>
        <x:v>218239.76000000004</x:v>
      </x:c>
      <x:c r="V152" s="6" t="n">
        <x:f>F152-G152</x:f>
        <x:v>-11258.930000000051</x:v>
      </x:c>
      <x:c r="W152" s="8" t="n">
        <x:f>IFERROR(V152/G152,0)</x:f>
        <x:v>-0.015476918312650006</x:v>
      </x:c>
      <x:c r="X152" s="8" t="n">
        <x:f>IFERROR(T152/F152,0)</x:f>
        <x:v>0.29865161180019256</x:v>
      </x:c>
      <x:c r="Y152" s="8" t="n">
        <x:f>IFERROR(T152/O152,0)</x:f>
        <x:v>0.21332257985728037</x:v>
      </x:c>
    </x:row>
    <x:row r="153">
      <x:c r="A153" t="str">
        <x:v>2025-01-01</x:v>
      </x:c>
      <x:c r="B153" t="n">
        <x:v>2025</x:v>
      </x:c>
      <x:c r="C153" t="str">
        <x:v>Q1</x:v>
      </x:c>
      <x:c r="D153" t="str">
        <x:v>Digital</x:v>
      </x:c>
      <x:c r="E153" t="str">
        <x:v>Central</x:v>
      </x:c>
      <x:c r="F153" s="6" t="n">
        <x:v>664362.9</x:v>
      </x:c>
      <x:c r="G153" s="6" t="n">
        <x:v>645346.55</x:v>
      </x:c>
      <x:c r="H153" s="6" t="n">
        <x:v>637090.62</x:v>
      </x:c>
      <x:c r="I153" s="6" t="n">
        <x:v>241673.01</x:v>
      </x:c>
      <x:c r="J153" s="6" t="n">
        <x:v>232324.76</x:v>
      </x:c>
      <x:c r="K153" s="6" t="n">
        <x:v>230626.81</x:v>
      </x:c>
      <x:c r="L153" s="6" t="n">
        <x:v>227811.25</x:v>
      </x:c>
      <x:c r="M153" s="6" t="n">
        <x:v>219417.83</x:v>
      </x:c>
      <x:c r="N153" s="6" t="n">
        <x:v>219159.17</x:v>
      </x:c>
      <x:c r="O153" s="6" t="n">
        <x:v>930108.06</x:v>
      </x:c>
      <x:c r="P153" s="6" t="n">
        <x:v>175552.73</x:v>
      </x:c>
      <x:c r="Q153" s="6" t="n">
        <x:v>51</x:v>
      </x:c>
      <x:c r="R153" s="6" t="n">
        <x:f>F153-I153</x:f>
        <x:v>422689.89</x:v>
      </x:c>
      <x:c r="S153" s="6" t="n">
        <x:f>G153-J153</x:f>
        <x:v>413021.79000000004</x:v>
      </x:c>
      <x:c r="T153" s="6" t="n">
        <x:f>R153-L153</x:f>
        <x:v>194878.64</x:v>
      </x:c>
      <x:c r="U153" s="6" t="n">
        <x:f>S153-M153</x:f>
        <x:v>193603.96000000005</x:v>
      </x:c>
      <x:c r="V153" s="6" t="n">
        <x:f>F153-G153</x:f>
        <x:v>19016.349999999977</x:v>
      </x:c>
      <x:c r="W153" s="8" t="n">
        <x:f>IFERROR(V153/G153,0)</x:f>
        <x:v>0.02946688101145032</x:v>
      </x:c>
      <x:c r="X153" s="8" t="n">
        <x:f>IFERROR(T153/F153,0)</x:f>
        <x:v>0.2933316113828752</x:v>
      </x:c>
      <x:c r="Y153" s="8" t="n">
        <x:f>IFERROR(T153/O153,0)</x:f>
        <x:v>0.2095225795591966</x:v>
      </x:c>
    </x:row>
    <x:row r="154">
      <x:c r="A154" t="str">
        <x:v>2025-01-01</x:v>
      </x:c>
      <x:c r="B154" t="n">
        <x:v>2025</x:v>
      </x:c>
      <x:c r="C154" t="str">
        <x:v>Q1</x:v>
      </x:c>
      <x:c r="D154" t="str">
        <x:v>Digital</x:v>
      </x:c>
      <x:c r="E154" t="str">
        <x:v>West</x:v>
      </x:c>
      <x:c r="F154" s="6" t="n">
        <x:v>709039.43</x:v>
      </x:c>
      <x:c r="G154" s="6" t="n">
        <x:v>685137.7</x:v>
      </x:c>
      <x:c r="H154" s="6" t="n">
        <x:v>693577.18</x:v>
      </x:c>
      <x:c r="I154" s="6" t="n">
        <x:v>253240.77</x:v>
      </x:c>
      <x:c r="J154" s="6" t="n">
        <x:v>246649.57</x:v>
      </x:c>
      <x:c r="K154" s="6" t="n">
        <x:v>251074.94</x:v>
      </x:c>
      <x:c r="L154" s="6" t="n">
        <x:v>246106.55</x:v>
      </x:c>
      <x:c r="M154" s="6" t="n">
        <x:v>232946.82</x:v>
      </x:c>
      <x:c r="N154" s="6" t="n">
        <x:v>238590.55</x:v>
      </x:c>
      <x:c r="O154" s="6" t="n">
        <x:v>992655.2</x:v>
      </x:c>
      <x:c r="P154" s="6" t="n">
        <x:v>177017.52</x:v>
      </x:c>
      <x:c r="Q154" s="6" t="n">
        <x:v>55</x:v>
      </x:c>
      <x:c r="R154" s="6" t="n">
        <x:f>F154-I154</x:f>
        <x:v>455798.66000000003</x:v>
      </x:c>
      <x:c r="S154" s="6" t="n">
        <x:f>G154-J154</x:f>
        <x:v>438488.12999999995</x:v>
      </x:c>
      <x:c r="T154" s="6" t="n">
        <x:f>R154-L154</x:f>
        <x:v>209692.11000000004</x:v>
      </x:c>
      <x:c r="U154" s="6" t="n">
        <x:f>S154-M154</x:f>
        <x:v>205541.30999999994</x:v>
      </x:c>
      <x:c r="V154" s="6" t="n">
        <x:f>F154-G154</x:f>
        <x:v>23901.730000000098</x:v>
      </x:c>
      <x:c r="W154" s="8" t="n">
        <x:f>IFERROR(V154/G154,0)</x:f>
        <x:v>0.03488602364167101</x:v>
      </x:c>
      <x:c r="X154" s="8" t="n">
        <x:f>IFERROR(T154/F154,0)</x:f>
        <x:v>0.29574111273332154</x:v>
      </x:c>
      <x:c r="Y154" s="8" t="n">
        <x:f>IFERROR(T154/O154,0)</x:f>
        <x:v>0.2112436523779859</x:v>
      </x:c>
    </x:row>
    <x:row r="155">
      <x:c r="A155" t="str">
        <x:v>2025-01-01</x:v>
      </x:c>
      <x:c r="B155" t="n">
        <x:v>2025</x:v>
      </x:c>
      <x:c r="C155" t="str">
        <x:v>Q1</x:v>
      </x:c>
      <x:c r="D155" t="str">
        <x:v>Services</x:v>
      </x:c>
      <x:c r="E155" t="str">
        <x:v>East</x:v>
      </x:c>
      <x:c r="F155" s="6" t="n">
        <x:v>545424.26</x:v>
      </x:c>
      <x:c r="G155" s="6" t="n">
        <x:v>531036.96</x:v>
      </x:c>
      <x:c r="H155" s="6" t="n">
        <x:v>538823.65</x:v>
      </x:c>
      <x:c r="I155" s="6" t="n">
        <x:v>234421.58</x:v>
      </x:c>
      <x:c r="J155" s="6" t="n">
        <x:v>223035.52</x:v>
      </x:c>
      <x:c r="K155" s="6" t="n">
        <x:v>227383.58</x:v>
      </x:c>
      <x:c r="L155" s="6" t="n">
        <x:v>172816.28</x:v>
      </x:c>
      <x:c r="M155" s="6" t="n">
        <x:v>164621.46</x:v>
      </x:c>
      <x:c r="N155" s="6" t="n">
        <x:v>169190.63</x:v>
      </x:c>
      <x:c r="O155" s="6" t="n">
        <x:v>872678.82</x:v>
      </x:c>
      <x:c r="P155" s="6" t="n">
        <x:v>124461.82</x:v>
      </x:c>
      <x:c r="Q155" s="6" t="n">
        <x:v>52</x:v>
      </x:c>
      <x:c r="R155" s="6" t="n">
        <x:f>F155-I155</x:f>
        <x:v>311002.68000000005</x:v>
      </x:c>
      <x:c r="S155" s="6" t="n">
        <x:f>G155-J155</x:f>
        <x:v>308001.43999999994</x:v>
      </x:c>
      <x:c r="T155" s="6" t="n">
        <x:f>R155-L155</x:f>
        <x:v>138186.40000000005</x:v>
      </x:c>
      <x:c r="U155" s="6" t="n">
        <x:f>S155-M155</x:f>
        <x:v>143379.97999999995</x:v>
      </x:c>
      <x:c r="V155" s="6" t="n">
        <x:f>F155-G155</x:f>
        <x:v>14387.300000000047</x:v>
      </x:c>
      <x:c r="W155" s="8" t="n">
        <x:f>IFERROR(V155/G155,0)</x:f>
        <x:v>0.02709284114612295</x:v>
      </x:c>
      <x:c r="X155" s="8" t="n">
        <x:f>IFERROR(T155/F155,0)</x:f>
        <x:v>0.25335580049189604</x:v>
      </x:c>
      <x:c r="Y155" s="8" t="n">
        <x:f>IFERROR(T155/O155,0)</x:f>
        <x:v>0.15834737458163595</x:v>
      </x:c>
    </x:row>
    <x:row r="156">
      <x:c r="A156" t="str">
        <x:v>2025-01-01</x:v>
      </x:c>
      <x:c r="B156" t="n">
        <x:v>2025</x:v>
      </x:c>
      <x:c r="C156" t="str">
        <x:v>Q1</x:v>
      </x:c>
      <x:c r="D156" t="str">
        <x:v>Services</x:v>
      </x:c>
      <x:c r="E156" t="str">
        <x:v>Central</x:v>
      </x:c>
      <x:c r="F156" s="6" t="n">
        <x:v>468258.62</x:v>
      </x:c>
      <x:c r="G156" s="6" t="n">
        <x:v>474958.72</x:v>
      </x:c>
      <x:c r="H156" s="6" t="n">
        <x:v>477256.12</x:v>
      </x:c>
      <x:c r="I156" s="6" t="n">
        <x:v>198105.67</x:v>
      </x:c>
      <x:c r="J156" s="6" t="n">
        <x:v>199482.66</x:v>
      </x:c>
      <x:c r="K156" s="6" t="n">
        <x:v>201402.08</x:v>
      </x:c>
      <x:c r="L156" s="6" t="n">
        <x:v>149829.08</x:v>
      </x:c>
      <x:c r="M156" s="6" t="n">
        <x:v>147237.2</x:v>
      </x:c>
      <x:c r="N156" s="6" t="n">
        <x:v>149858.42</x:v>
      </x:c>
      <x:c r="O156" s="6" t="n">
        <x:v>749213.79</x:v>
      </x:c>
      <x:c r="P156" s="6" t="n">
        <x:v>88802.23</x:v>
      </x:c>
      <x:c r="Q156" s="6" t="n">
        <x:v>46</x:v>
      </x:c>
      <x:c r="R156" s="6" t="n">
        <x:f>F156-I156</x:f>
        <x:v>270152.94999999995</x:v>
      </x:c>
      <x:c r="S156" s="6" t="n">
        <x:f>G156-J156</x:f>
        <x:v>275476.05999999994</x:v>
      </x:c>
      <x:c r="T156" s="6" t="n">
        <x:f>R156-L156</x:f>
        <x:v>120323.86999999997</x:v>
      </x:c>
      <x:c r="U156" s="6" t="n">
        <x:f>S156-M156</x:f>
        <x:v>128238.85999999993</x:v>
      </x:c>
      <x:c r="V156" s="6" t="n">
        <x:f>F156-G156</x:f>
        <x:v>-6700.099999999977</x:v>
      </x:c>
      <x:c r="W156" s="8" t="n">
        <x:f>IFERROR(V156/G156,0)</x:f>
        <x:v>-0.01410669963065417</x:v>
      </x:c>
      <x:c r="X156" s="8" t="n">
        <x:f>IFERROR(T156/F156,0)</x:f>
        <x:v>0.25696028831247136</x:v>
      </x:c>
      <x:c r="Y156" s="8" t="n">
        <x:f>IFERROR(T156/O156,0)</x:f>
        <x:v>0.16060018062401116</x:v>
      </x:c>
    </x:row>
    <x:row r="157">
      <x:c r="A157" t="str">
        <x:v>2025-01-01</x:v>
      </x:c>
      <x:c r="B157" t="n">
        <x:v>2025</x:v>
      </x:c>
      <x:c r="C157" t="str">
        <x:v>Q1</x:v>
      </x:c>
      <x:c r="D157" t="str">
        <x:v>Services</x:v>
      </x:c>
      <x:c r="E157" t="str">
        <x:v>West</x:v>
      </x:c>
      <x:c r="F157" s="6" t="n">
        <x:v>519996.24</x:v>
      </x:c>
      <x:c r="G157" s="6" t="n">
        <x:v>504974.22</x:v>
      </x:c>
      <x:c r="H157" s="6" t="n">
        <x:v>501390.82</x:v>
      </x:c>
      <x:c r="I157" s="6" t="n">
        <x:v>213945.25</x:v>
      </x:c>
      <x:c r="J157" s="6" t="n">
        <x:v>212089.17</x:v>
      </x:c>
      <x:c r="K157" s="6" t="n">
        <x:v>211586.93</x:v>
      </x:c>
      <x:c r="L157" s="6" t="n">
        <x:v>163373.58</x:v>
      </x:c>
      <x:c r="M157" s="6" t="n">
        <x:v>156542.01</x:v>
      </x:c>
      <x:c r="N157" s="6" t="n">
        <x:v>157436.72</x:v>
      </x:c>
      <x:c r="O157" s="6" t="n">
        <x:v>831993.98</x:v>
      </x:c>
      <x:c r="P157" s="6" t="n">
        <x:v>130449.65</x:v>
      </x:c>
      <x:c r="Q157" s="6" t="n">
        <x:v>50</x:v>
      </x:c>
      <x:c r="R157" s="6" t="n">
        <x:f>F157-I157</x:f>
        <x:v>306050.99</x:v>
      </x:c>
      <x:c r="S157" s="6" t="n">
        <x:f>G157-J157</x:f>
        <x:v>292885.04999999993</x:v>
      </x:c>
      <x:c r="T157" s="6" t="n">
        <x:f>R157-L157</x:f>
        <x:v>142677.41</x:v>
      </x:c>
      <x:c r="U157" s="6" t="n">
        <x:f>S157-M157</x:f>
        <x:v>136343.03999999992</x:v>
      </x:c>
      <x:c r="V157" s="6" t="n">
        <x:f>F157-G157</x:f>
        <x:v>15022.020000000019</x:v>
      </x:c>
      <x:c r="W157" s="8" t="n">
        <x:f>IFERROR(V157/G157,0)</x:f>
        <x:v>0.029748092882840672</x:v>
      </x:c>
      <x:c r="X157" s="8" t="n">
        <x:f>IFERROR(T157/F157,0)</x:f>
        <x:v>0.27438161860554994</x:v>
      </x:c>
      <x:c r="Y157" s="8" t="n">
        <x:f>IFERROR(T157/O157,0)</x:f>
        <x:v>0.17148851245293867</x:v>
      </x:c>
    </x:row>
    <x:row r="158">
      <x:c r="A158" t="str">
        <x:v>2025-02-01</x:v>
      </x:c>
      <x:c r="B158" t="n">
        <x:v>2025</x:v>
      </x:c>
      <x:c r="C158" t="str">
        <x:v>Q1</x:v>
      </x:c>
      <x:c r="D158" t="str">
        <x:v>Enterprise</x:v>
      </x:c>
      <x:c r="E158" t="str">
        <x:v>East</x:v>
      </x:c>
      <x:c r="F158" s="6" t="n">
        <x:v>1833632.1</x:v>
      </x:c>
      <x:c r="G158" s="6" t="n">
        <x:v>1752410.17</x:v>
      </x:c>
      <x:c r="H158" s="6" t="n">
        <x:v>1791613.81</x:v>
      </x:c>
      <x:c r="I158" s="6" t="n">
        <x:v>870390.72</x:v>
      </x:c>
      <x:c r="J158" s="6" t="n">
        <x:v>841156.88</x:v>
      </x:c>
      <x:c r="K158" s="6" t="n">
        <x:v>863557.85</x:v>
      </x:c>
      <x:c r="L158" s="6" t="n">
        <x:v>518442.41</x:v>
      </x:c>
      <x:c r="M158" s="6" t="n">
        <x:v>473150.75</x:v>
      </x:c>
      <x:c r="N158" s="6" t="n">
        <x:v>490902.18</x:v>
      </x:c>
      <x:c r="O158" s="6" t="n">
        <x:v>3850627.4</x:v>
      </x:c>
      <x:c r="P158" s="6" t="n">
        <x:v>363120.33</x:v>
      </x:c>
      <x:c r="Q158" s="6" t="n">
        <x:v>112</x:v>
      </x:c>
      <x:c r="R158" s="6" t="n">
        <x:f>F158-I158</x:f>
        <x:v>963241.3800000001</x:v>
      </x:c>
      <x:c r="S158" s="6" t="n">
        <x:f>G158-J158</x:f>
        <x:v>911253.2899999999</x:v>
      </x:c>
      <x:c r="T158" s="6" t="n">
        <x:f>R158-L158</x:f>
        <x:v>444798.97000000015</x:v>
      </x:c>
      <x:c r="U158" s="6" t="n">
        <x:f>S158-M158</x:f>
        <x:v>438102.5399999999</x:v>
      </x:c>
      <x:c r="V158" s="6" t="n">
        <x:f>F158-G158</x:f>
        <x:v>81221.93000000017</x:v>
      </x:c>
      <x:c r="W158" s="8" t="n">
        <x:f>IFERROR(V158/G158,0)</x:f>
        <x:v>0.04634869814753482</x:v>
      </x:c>
      <x:c r="X158" s="8" t="n">
        <x:f>IFERROR(T158/F158,0)</x:f>
        <x:v>0.24257808859258087</x:v>
      </x:c>
      <x:c r="Y158" s="8" t="n">
        <x:f>IFERROR(T158/O158,0)</x:f>
        <x:v>0.11551337582026247</x:v>
      </x:c>
    </x:row>
    <x:row r="159">
      <x:c r="A159" t="str">
        <x:v>2025-02-01</x:v>
      </x:c>
      <x:c r="B159" t="n">
        <x:v>2025</x:v>
      </x:c>
      <x:c r="C159" t="str">
        <x:v>Q1</x:v>
      </x:c>
      <x:c r="D159" t="str">
        <x:v>Enterprise</x:v>
      </x:c>
      <x:c r="E159" t="str">
        <x:v>Central</x:v>
      </x:c>
      <x:c r="F159" s="6" t="n">
        <x:v>1628694.4</x:v>
      </x:c>
      <x:c r="G159" s="6" t="n">
        <x:v>1581785.08</x:v>
      </x:c>
      <x:c r="H159" s="6" t="n">
        <x:v>1582168.17</x:v>
      </x:c>
      <x:c r="I159" s="6" t="n">
        <x:v>767105.96</x:v>
      </x:c>
      <x:c r="J159" s="6" t="n">
        <x:v>759256.84</x:v>
      </x:c>
      <x:c r="K159" s="6" t="n">
        <x:v>762605.06</x:v>
      </x:c>
      <x:c r="L159" s="6" t="n">
        <x:v>467250.92</x:v>
      </x:c>
      <x:c r="M159" s="6" t="n">
        <x:v>427081.97</x:v>
      </x:c>
      <x:c r="N159" s="6" t="n">
        <x:v>433514.08</x:v>
      </x:c>
      <x:c r="O159" s="6" t="n">
        <x:v>3420258.24</x:v>
      </x:c>
      <x:c r="P159" s="6" t="n">
        <x:v>295024.17</x:v>
      </x:c>
      <x:c r="Q159" s="6" t="n">
        <x:v>100</x:v>
      </x:c>
      <x:c r="R159" s="6" t="n">
        <x:f>F159-I159</x:f>
        <x:v>861588.44</x:v>
      </x:c>
      <x:c r="S159" s="6" t="n">
        <x:f>G159-J159</x:f>
        <x:v>822528.2400000001</x:v>
      </x:c>
      <x:c r="T159" s="6" t="n">
        <x:f>R159-L159</x:f>
        <x:v>394337.51999999996</x:v>
      </x:c>
      <x:c r="U159" s="6" t="n">
        <x:f>S159-M159</x:f>
        <x:v>395446.27000000014</x:v>
      </x:c>
      <x:c r="V159" s="6" t="n">
        <x:f>F159-G159</x:f>
        <x:v>46909.31999999983</x:v>
      </x:c>
      <x:c r="W159" s="8" t="n">
        <x:f>IFERROR(V159/G159,0)</x:f>
        <x:v>0.029655937834487497</x:v>
      </x:c>
      <x:c r="X159" s="8" t="n">
        <x:f>IFERROR(T159/F159,0)</x:f>
        <x:v>0.2421187915915963</x:v>
      </x:c>
      <x:c r="Y159" s="8" t="n">
        <x:f>IFERROR(T159/O159,0)</x:f>
        <x:v>0.11529466266266489</x:v>
      </x:c>
    </x:row>
    <x:row r="160">
      <x:c r="A160" t="str">
        <x:v>2025-02-01</x:v>
      </x:c>
      <x:c r="B160" t="n">
        <x:v>2025</x:v>
      </x:c>
      <x:c r="C160" t="str">
        <x:v>Q1</x:v>
      </x:c>
      <x:c r="D160" t="str">
        <x:v>Enterprise</x:v>
      </x:c>
      <x:c r="E160" t="str">
        <x:v>West</x:v>
      </x:c>
      <x:c r="F160" s="6" t="n">
        <x:v>1777699.97</x:v>
      </x:c>
      <x:c r="G160" s="6" t="n">
        <x:v>1707661.83</x:v>
      </x:c>
      <x:c r="H160" s="6" t="n">
        <x:v>1737699.18</x:v>
      </x:c>
      <x:c r="I160" s="6" t="n">
        <x:v>877256.71</x:v>
      </x:c>
      <x:c r="J160" s="6" t="n">
        <x:v>819677.68</x:v>
      </x:c>
      <x:c r="K160" s="6" t="n">
        <x:v>837571</x:v>
      </x:c>
      <x:c r="L160" s="6" t="n">
        <x:v>510232.06</x:v>
      </x:c>
      <x:c r="M160" s="6" t="n">
        <x:v>461068.69</x:v>
      </x:c>
      <x:c r="N160" s="6" t="n">
        <x:v>476129.57</x:v>
      </x:c>
      <x:c r="O160" s="6" t="n">
        <x:v>3733169.94</x:v>
      </x:c>
      <x:c r="P160" s="6" t="n">
        <x:v>343743.89</x:v>
      </x:c>
      <x:c r="Q160" s="6" t="n">
        <x:v>107</x:v>
      </x:c>
      <x:c r="R160" s="6" t="n">
        <x:f>F160-I160</x:f>
        <x:v>900443.26</x:v>
      </x:c>
      <x:c r="S160" s="6" t="n">
        <x:f>G160-J160</x:f>
        <x:v>887984.15</x:v>
      </x:c>
      <x:c r="T160" s="6" t="n">
        <x:f>R160-L160</x:f>
        <x:v>390211.2</x:v>
      </x:c>
      <x:c r="U160" s="6" t="n">
        <x:f>S160-M160</x:f>
        <x:v>426915.46</x:v>
      </x:c>
      <x:c r="V160" s="6" t="n">
        <x:f>F160-G160</x:f>
        <x:v>70038.1399999999</x:v>
      </x:c>
      <x:c r="W160" s="8" t="n">
        <x:f>IFERROR(V160/G160,0)</x:f>
        <x:v>0.041014057215297654</x:v>
      </x:c>
      <x:c r="X160" s="8" t="n">
        <x:f>IFERROR(T160/F160,0)</x:f>
        <x:v>0.2195034069781753</x:v>
      </x:c>
      <x:c r="Y160" s="8" t="n">
        <x:f>IFERROR(T160/O160,0)</x:f>
        <x:v>0.10452543181037187</x:v>
      </x:c>
    </x:row>
    <x:row r="161">
      <x:c r="A161" t="str">
        <x:v>2025-02-01</x:v>
      </x:c>
      <x:c r="B161" t="n">
        <x:v>2025</x:v>
      </x:c>
      <x:c r="C161" t="str">
        <x:v>Q1</x:v>
      </x:c>
      <x:c r="D161" t="str">
        <x:v>SMB</x:v>
      </x:c>
      <x:c r="E161" t="str">
        <x:v>East</x:v>
      </x:c>
      <x:c r="F161" s="6" t="n">
        <x:v>1041817.55</x:v>
      </x:c>
      <x:c r="G161" s="6" t="n">
        <x:v>1007494.05</x:v>
      </x:c>
      <x:c r="H161" s="6" t="n">
        <x:v>993012.67</x:v>
      </x:c>
      <x:c r="I161" s="6" t="n">
        <x:v>564613.94</x:v>
      </x:c>
      <x:c r="J161" s="6" t="n">
        <x:v>544046.79</x:v>
      </x:c>
      <x:c r="K161" s="6" t="n">
        <x:v>538212.87</x:v>
      </x:c>
      <x:c r="L161" s="6" t="n">
        <x:v>303839.4</x:v>
      </x:c>
      <x:c r="M161" s="6" t="n">
        <x:v>292173.27</x:v>
      </x:c>
      <x:c r="N161" s="6" t="n">
        <x:v>291945.73</x:v>
      </x:c>
      <x:c r="O161" s="6" t="n">
        <x:v>1771089.84</x:v>
      </x:c>
      <x:c r="P161" s="6" t="n">
        <x:v>148151.1</x:v>
      </x:c>
      <x:c r="Q161" s="6" t="n">
        <x:v>79</x:v>
      </x:c>
      <x:c r="R161" s="6" t="n">
        <x:f>F161-I161</x:f>
        <x:v>477203.6100000001</x:v>
      </x:c>
      <x:c r="S161" s="6" t="n">
        <x:f>G161-J161</x:f>
        <x:v>463447.26</x:v>
      </x:c>
      <x:c r="T161" s="6" t="n">
        <x:f>R161-L161</x:f>
        <x:v>173364.21000000008</x:v>
      </x:c>
      <x:c r="U161" s="6" t="n">
        <x:f>S161-M161</x:f>
        <x:v>171273.99</x:v>
      </x:c>
      <x:c r="V161" s="6" t="n">
        <x:f>F161-G161</x:f>
        <x:v>34323.5</x:v>
      </x:c>
      <x:c r="W161" s="8" t="n">
        <x:f>IFERROR(V161/G161,0)</x:f>
        <x:v>0.03406819127120403</x:v>
      </x:c>
      <x:c r="X161" s="8" t="n">
        <x:f>IFERROR(T161/F161,0)</x:f>
        <x:v>0.16640553809061873</x:v>
      </x:c>
      <x:c r="Y161" s="8" t="n">
        <x:f>IFERROR(T161/O161,0)</x:f>
        <x:v>0.09788561036519755</x:v>
      </x:c>
    </x:row>
    <x:row r="162">
      <x:c r="A162" t="str">
        <x:v>2025-02-01</x:v>
      </x:c>
      <x:c r="B162" t="n">
        <x:v>2025</x:v>
      </x:c>
      <x:c r="C162" t="str">
        <x:v>Q1</x:v>
      </x:c>
      <x:c r="D162" t="str">
        <x:v>SMB</x:v>
      </x:c>
      <x:c r="E162" t="str">
        <x:v>Central</x:v>
      </x:c>
      <x:c r="F162" s="6" t="n">
        <x:v>922524.45</x:v>
      </x:c>
      <x:c r="G162" s="6" t="n">
        <x:v>910275.77</x:v>
      </x:c>
      <x:c r="H162" s="6" t="n">
        <x:v>930309.83</x:v>
      </x:c>
      <x:c r="I162" s="6" t="n">
        <x:v>509646.41</x:v>
      </x:c>
      <x:c r="J162" s="6" t="n">
        <x:v>491548.92</x:v>
      </x:c>
      <x:c r="K162" s="6" t="n">
        <x:v>504227.93</x:v>
      </x:c>
      <x:c r="L162" s="6" t="n">
        <x:v>259460.36</x:v>
      </x:c>
      <x:c r="M162" s="6" t="n">
        <x:v>263979.97</x:v>
      </x:c>
      <x:c r="N162" s="6" t="n">
        <x:v>273511.09</x:v>
      </x:c>
      <x:c r="O162" s="6" t="n">
        <x:v>1568291.57</x:v>
      </x:c>
      <x:c r="P162" s="6" t="n">
        <x:v>117635.22</x:v>
      </x:c>
      <x:c r="Q162" s="6" t="n">
        <x:v>71</x:v>
      </x:c>
      <x:c r="R162" s="6" t="n">
        <x:f>F162-I162</x:f>
        <x:v>412878.04</x:v>
      </x:c>
      <x:c r="S162" s="6" t="n">
        <x:f>G162-J162</x:f>
        <x:v>418726.85000000003</x:v>
      </x:c>
      <x:c r="T162" s="6" t="n">
        <x:f>R162-L162</x:f>
        <x:v>153417.68</x:v>
      </x:c>
      <x:c r="U162" s="6" t="n">
        <x:f>S162-M162</x:f>
        <x:v>154746.88000000006</x:v>
      </x:c>
      <x:c r="V162" s="6" t="n">
        <x:f>F162-G162</x:f>
        <x:v>12248.679999999935</x:v>
      </x:c>
      <x:c r="W162" s="8" t="n">
        <x:f>IFERROR(V162/G162,0)</x:f>
        <x:v>0.013456010149539555</x:v>
      </x:c>
      <x:c r="X162" s="8" t="n">
        <x:f>IFERROR(T162/F162,0)</x:f>
        <x:v>0.166302020504714</x:v>
      </x:c>
      <x:c r="Y162" s="8" t="n">
        <x:f>IFERROR(T162/O162,0)</x:f>
        <x:v>0.09782471763206634</x:v>
      </x:c>
    </x:row>
    <x:row r="163">
      <x:c r="A163" t="str">
        <x:v>2025-02-01</x:v>
      </x:c>
      <x:c r="B163" t="n">
        <x:v>2025</x:v>
      </x:c>
      <x:c r="C163" t="str">
        <x:v>Q1</x:v>
      </x:c>
      <x:c r="D163" t="str">
        <x:v>SMB</x:v>
      </x:c>
      <x:c r="E163" t="str">
        <x:v>West</x:v>
      </x:c>
      <x:c r="F163" s="6" t="n">
        <x:v>1000816.85</x:v>
      </x:c>
      <x:c r="G163" s="6" t="n">
        <x:v>959166.5</x:v>
      </x:c>
      <x:c r="H163" s="6" t="n">
        <x:v>969010.74</x:v>
      </x:c>
      <x:c r="I163" s="6" t="n">
        <x:v>552247.39</x:v>
      </x:c>
      <x:c r="J163" s="6" t="n">
        <x:v>517949.91</x:v>
      </x:c>
      <x:c r="K163" s="6" t="n">
        <x:v>525203.82</x:v>
      </x:c>
      <x:c r="L163" s="6" t="n">
        <x:v>284873.52</x:v>
      </x:c>
      <x:c r="M163" s="6" t="n">
        <x:v>278158.28</x:v>
      </x:c>
      <x:c r="N163" s="6" t="n">
        <x:v>284889.16</x:v>
      </x:c>
      <x:c r="O163" s="6" t="n">
        <x:v>1701388.64</x:v>
      </x:c>
      <x:c r="P163" s="6" t="n">
        <x:v>119930.75</x:v>
      </x:c>
      <x:c r="Q163" s="6" t="n">
        <x:v>76</x:v>
      </x:c>
      <x:c r="R163" s="6" t="n">
        <x:f>F163-I163</x:f>
        <x:v>448569.45999999996</x:v>
      </x:c>
      <x:c r="S163" s="6" t="n">
        <x:f>G163-J163</x:f>
        <x:v>441216.59</x:v>
      </x:c>
      <x:c r="T163" s="6" t="n">
        <x:f>R163-L163</x:f>
        <x:v>163695.93999999994</x:v>
      </x:c>
      <x:c r="U163" s="6" t="n">
        <x:f>S163-M163</x:f>
        <x:v>163058.31</x:v>
      </x:c>
      <x:c r="V163" s="6" t="n">
        <x:f>F163-G163</x:f>
        <x:v>41650.34999999998</x:v>
      </x:c>
      <x:c r="W163" s="8" t="n">
        <x:f>IFERROR(V163/G163,0)</x:f>
        <x:v>0.04342348278427153</x:v>
      </x:c>
      <x:c r="X163" s="8" t="n">
        <x:f>IFERROR(T163/F163,0)</x:f>
        <x:v>0.16356233410738433</x:v>
      </x:c>
      <x:c r="Y163" s="8" t="n">
        <x:f>IFERROR(T163/O163,0)</x:f>
        <x:v>0.09621313799297493</x:v>
      </x:c>
    </x:row>
    <x:row r="164">
      <x:c r="A164" t="str">
        <x:v>2025-02-01</x:v>
      </x:c>
      <x:c r="B164" t="n">
        <x:v>2025</x:v>
      </x:c>
      <x:c r="C164" t="str">
        <x:v>Q1</x:v>
      </x:c>
      <x:c r="D164" t="str">
        <x:v>Digital</x:v>
      </x:c>
      <x:c r="E164" t="str">
        <x:v>East</x:v>
      </x:c>
      <x:c r="F164" s="6" t="n">
        <x:v>780693.24</x:v>
      </x:c>
      <x:c r="G164" s="6" t="n">
        <x:v>746404.35</x:v>
      </x:c>
      <x:c r="H164" s="6" t="n">
        <x:v>745358.3</x:v>
      </x:c>
      <x:c r="I164" s="6" t="n">
        <x:v>279968.85</x:v>
      </x:c>
      <x:c r="J164" s="6" t="n">
        <x:v>268705.56</x:v>
      </x:c>
      <x:c r="K164" s="6" t="n">
        <x:v>269819.71</x:v>
      </x:c>
      <x:c r="L164" s="6" t="n">
        <x:v>259341.07</x:v>
      </x:c>
      <x:c r="M164" s="6" t="n">
        <x:v>253777.48</x:v>
      </x:c>
      <x:c r="N164" s="6" t="n">
        <x:v>256403.26</x:v>
      </x:c>
      <x:c r="O164" s="6" t="n">
        <x:v>1092970.53</x:v>
      </x:c>
      <x:c r="P164" s="6" t="n">
        <x:v>219478.34</x:v>
      </x:c>
      <x:c r="Q164" s="6" t="n">
        <x:v>57</x:v>
      </x:c>
      <x:c r="R164" s="6" t="n">
        <x:f>F164-I164</x:f>
        <x:v>500724.39</x:v>
      </x:c>
      <x:c r="S164" s="6" t="n">
        <x:f>G164-J164</x:f>
        <x:v>477698.79</x:v>
      </x:c>
      <x:c r="T164" s="6" t="n">
        <x:f>R164-L164</x:f>
        <x:v>241383.32</x:v>
      </x:c>
      <x:c r="U164" s="6" t="n">
        <x:f>S164-M164</x:f>
        <x:v>223921.30999999997</x:v>
      </x:c>
      <x:c r="V164" s="6" t="n">
        <x:f>F164-G164</x:f>
        <x:v>34288.890000000014</x:v>
      </x:c>
      <x:c r="W164" s="8" t="n">
        <x:f>IFERROR(V164/G164,0)</x:f>
        <x:v>0.04593875960128048</x:v>
      </x:c>
      <x:c r="X164" s="8" t="n">
        <x:f>IFERROR(T164/F164,0)</x:f>
        <x:v>0.309190995428627</x:v>
      </x:c>
      <x:c r="Y164" s="8" t="n">
        <x:f>IFERROR(T164/O164,0)</x:f>
        <x:v>0.22085071223283578</x:v>
      </x:c>
    </x:row>
    <x:row r="165">
      <x:c r="A165" t="str">
        <x:v>2025-02-01</x:v>
      </x:c>
      <x:c r="B165" t="n">
        <x:v>2025</x:v>
      </x:c>
      <x:c r="C165" t="str">
        <x:v>Q1</x:v>
      </x:c>
      <x:c r="D165" t="str">
        <x:v>Digital</x:v>
      </x:c>
      <x:c r="E165" t="str">
        <x:v>Central</x:v>
      </x:c>
      <x:c r="F165" s="6" t="n">
        <x:v>660700.2</x:v>
      </x:c>
      <x:c r="G165" s="6" t="n">
        <x:v>657895.95</x:v>
      </x:c>
      <x:c r="H165" s="6" t="n">
        <x:v>650904.91</x:v>
      </x:c>
      <x:c r="I165" s="6" t="n">
        <x:v>245165.19</x:v>
      </x:c>
      <x:c r="J165" s="6" t="n">
        <x:v>236842.54</x:v>
      </x:c>
      <x:c r="K165" s="6" t="n">
        <x:v>235627.58</x:v>
      </x:c>
      <x:c r="L165" s="6" t="n">
        <x:v>219398.66</x:v>
      </x:c>
      <x:c r="M165" s="6" t="n">
        <x:v>223684.62</x:v>
      </x:c>
      <x:c r="N165" s="6" t="n">
        <x:v>223911.29</x:v>
      </x:c>
      <x:c r="O165" s="6" t="n">
        <x:v>924980.28</x:v>
      </x:c>
      <x:c r="P165" s="6" t="n">
        <x:v>159013.37</x:v>
      </x:c>
      <x:c r="Q165" s="6" t="n">
        <x:v>51</x:v>
      </x:c>
      <x:c r="R165" s="6" t="n">
        <x:f>F165-I165</x:f>
        <x:v>415535.00999999995</x:v>
      </x:c>
      <x:c r="S165" s="6" t="n">
        <x:f>G165-J165</x:f>
        <x:v>421053.4099999999</x:v>
      </x:c>
      <x:c r="T165" s="6" t="n">
        <x:f>R165-L165</x:f>
        <x:v>196136.34999999995</x:v>
      </x:c>
      <x:c r="U165" s="6" t="n">
        <x:f>S165-M165</x:f>
        <x:v>197368.78999999992</x:v>
      </x:c>
      <x:c r="V165" s="6" t="n">
        <x:f>F165-G165</x:f>
        <x:v>2804.25</x:v>
      </x:c>
      <x:c r="W165" s="8" t="n">
        <x:f>IFERROR(V165/G165,0)</x:f>
        <x:v>0.004262452140038254</x:v>
      </x:c>
      <x:c r="X165" s="8" t="n">
        <x:f>IFERROR(T165/F165,0)</x:f>
        <x:v>0.29686134497915995</x:v>
      </x:c>
      <x:c r="Y165" s="8" t="n">
        <x:f>IFERROR(T165/O165,0)</x:f>
        <x:v>0.21204381784225707</x:v>
      </x:c>
    </x:row>
    <x:row r="166">
      <x:c r="A166" t="str">
        <x:v>2025-02-01</x:v>
      </x:c>
      <x:c r="B166" t="n">
        <x:v>2025</x:v>
      </x:c>
      <x:c r="C166" t="str">
        <x:v>Q1</x:v>
      </x:c>
      <x:c r="D166" t="str">
        <x:v>Digital</x:v>
      </x:c>
      <x:c r="E166" t="str">
        <x:v>West</x:v>
      </x:c>
      <x:c r="F166" s="6" t="n">
        <x:v>735648.92</x:v>
      </x:c>
      <x:c r="G166" s="6" t="n">
        <x:v>714698.25</x:v>
      </x:c>
      <x:c r="H166" s="6" t="n">
        <x:v>734401.65</x:v>
      </x:c>
      <x:c r="I166" s="6" t="n">
        <x:v>264022.41</x:v>
      </x:c>
      <x:c r="J166" s="6" t="n">
        <x:v>257291.37</x:v>
      </x:c>
      <x:c r="K166" s="6" t="n">
        <x:v>265853.4</x:v>
      </x:c>
      <x:c r="L166" s="6" t="n">
        <x:v>257674.33</x:v>
      </x:c>
      <x:c r="M166" s="6" t="n">
        <x:v>242997.4</x:v>
      </x:c>
      <x:c r="N166" s="6" t="n">
        <x:v>252634.17</x:v>
      </x:c>
      <x:c r="O166" s="6" t="n">
        <x:v>1029908.49</x:v>
      </x:c>
      <x:c r="P166" s="6" t="n">
        <x:v>160657.68</x:v>
      </x:c>
      <x:c r="Q166" s="6" t="n">
        <x:v>55</x:v>
      </x:c>
      <x:c r="R166" s="6" t="n">
        <x:f>F166-I166</x:f>
        <x:v>471626.51000000007</x:v>
      </x:c>
      <x:c r="S166" s="6" t="n">
        <x:f>G166-J166</x:f>
        <x:v>457406.88</x:v>
      </x:c>
      <x:c r="T166" s="6" t="n">
        <x:f>R166-L166</x:f>
        <x:v>213952.18000000008</x:v>
      </x:c>
      <x:c r="U166" s="6" t="n">
        <x:f>S166-M166</x:f>
        <x:v>214409.48</x:v>
      </x:c>
      <x:c r="V166" s="6" t="n">
        <x:f>F166-G166</x:f>
        <x:v>20950.670000000042</x:v>
      </x:c>
      <x:c r="W166" s="8" t="n">
        <x:f>IFERROR(V166/G166,0)</x:f>
        <x:v>0.029314007694855895</x:v>
      </x:c>
      <x:c r="X166" s="8" t="n">
        <x:f>IFERROR(T166/F166,0)</x:f>
        <x:v>0.290834628017941</x:v>
      </x:c>
      <x:c r="Y166" s="8" t="n">
        <x:f>IFERROR(T166/O166,0)</x:f>
        <x:v>0.20773901960940247</x:v>
      </x:c>
    </x:row>
    <x:row r="167">
      <x:c r="A167" t="str">
        <x:v>2025-02-01</x:v>
      </x:c>
      <x:c r="B167" t="n">
        <x:v>2025</x:v>
      </x:c>
      <x:c r="C167" t="str">
        <x:v>Q1</x:v>
      </x:c>
      <x:c r="D167" t="str">
        <x:v>Services</x:v>
      </x:c>
      <x:c r="E167" t="str">
        <x:v>East</x:v>
      </x:c>
      <x:c r="F167" s="6" t="n">
        <x:v>524230.65</x:v>
      </x:c>
      <x:c r="G167" s="6" t="n">
        <x:v>543299.28</x:v>
      </x:c>
      <x:c r="H167" s="6" t="n">
        <x:v>547113.57</x:v>
      </x:c>
      <x:c r="I167" s="6" t="n">
        <x:v>219448.72</x:v>
      </x:c>
      <x:c r="J167" s="6" t="n">
        <x:v>228185.7</x:v>
      </x:c>
      <x:c r="K167" s="6" t="n">
        <x:v>230881.93</x:v>
      </x:c>
      <x:c r="L167" s="6" t="n">
        <x:v>171185.24</x:v>
      </x:c>
      <x:c r="M167" s="6" t="n">
        <x:v>168422.78</x:v>
      </x:c>
      <x:c r="N167" s="6" t="n">
        <x:v>171793.66</x:v>
      </x:c>
      <x:c r="O167" s="6" t="n">
        <x:v>838769.04</x:v>
      </x:c>
      <x:c r="P167" s="6" t="n">
        <x:v>97063.77</x:v>
      </x:c>
      <x:c r="Q167" s="6" t="n">
        <x:v>52</x:v>
      </x:c>
      <x:c r="R167" s="6" t="n">
        <x:f>F167-I167</x:f>
        <x:v>304781.93000000005</x:v>
      </x:c>
      <x:c r="S167" s="6" t="n">
        <x:f>G167-J167</x:f>
        <x:v>315113.58</x:v>
      </x:c>
      <x:c r="T167" s="6" t="n">
        <x:f>R167-L167</x:f>
        <x:v>133596.69000000006</x:v>
      </x:c>
      <x:c r="U167" s="6" t="n">
        <x:f>S167-M167</x:f>
        <x:v>146690.80000000002</x:v>
      </x:c>
      <x:c r="V167" s="6" t="n">
        <x:f>F167-G167</x:f>
        <x:v>-19068.630000000005</x:v>
      </x:c>
      <x:c r="W167" s="8" t="n">
        <x:f>IFERROR(V167/G167,0)</x:f>
        <x:v>-0.03509783778841011</x:v>
      </x:c>
      <x:c r="X167" s="8" t="n">
        <x:f>IFERROR(T167/F167,0)</x:f>
        <x:v>0.25484334042658524</x:v>
      </x:c>
      <x:c r="Y167" s="8" t="n">
        <x:f>IFERROR(T167/O167,0)</x:f>
        <x:v>0.15927708776661578</x:v>
      </x:c>
    </x:row>
    <x:row r="168">
      <x:c r="A168" t="str">
        <x:v>2025-02-01</x:v>
      </x:c>
      <x:c r="B168" t="n">
        <x:v>2025</x:v>
      </x:c>
      <x:c r="C168" t="str">
        <x:v>Q1</x:v>
      </x:c>
      <x:c r="D168" t="str">
        <x:v>Services</x:v>
      </x:c>
      <x:c r="E168" t="str">
        <x:v>Central</x:v>
      </x:c>
      <x:c r="F168" s="6" t="n">
        <x:v>485411.95</x:v>
      </x:c>
      <x:c r="G168" s="6" t="n">
        <x:v>485733.36</x:v>
      </x:c>
      <x:c r="H168" s="6" t="n">
        <x:v>499224.59</x:v>
      </x:c>
      <x:c r="I168" s="6" t="n">
        <x:v>208844.47</x:v>
      </x:c>
      <x:c r="J168" s="6" t="n">
        <x:v>204008.01</x:v>
      </x:c>
      <x:c r="K168" s="6" t="n">
        <x:v>210672.78</x:v>
      </x:c>
      <x:c r="L168" s="6" t="n">
        <x:v>146099.6</x:v>
      </x:c>
      <x:c r="M168" s="6" t="n">
        <x:v>150577.34</x:v>
      </x:c>
      <x:c r="N168" s="6" t="n">
        <x:v>156756.52</x:v>
      </x:c>
      <x:c r="O168" s="6" t="n">
        <x:v>776659.12</x:v>
      </x:c>
      <x:c r="P168" s="6" t="n">
        <x:v>111828.73</x:v>
      </x:c>
      <x:c r="Q168" s="6" t="n">
        <x:v>46</x:v>
      </x:c>
      <x:c r="R168" s="6" t="n">
        <x:f>F168-I168</x:f>
        <x:v>276567.48</x:v>
      </x:c>
      <x:c r="S168" s="6" t="n">
        <x:f>G168-J168</x:f>
        <x:v>281725.35</x:v>
      </x:c>
      <x:c r="T168" s="6" t="n">
        <x:f>R168-L168</x:f>
        <x:v>130467.87999999998</x:v>
      </x:c>
      <x:c r="U168" s="6" t="n">
        <x:f>S168-M168</x:f>
        <x:v>131148.00999999998</x:v>
      </x:c>
      <x:c r="V168" s="6" t="n">
        <x:f>F168-G168</x:f>
        <x:v>-321.4099999999744</x:v>
      </x:c>
      <x:c r="W168" s="8" t="n">
        <x:f>IFERROR(V168/G168,0)</x:f>
        <x:v>-0.0006617004852208924</x:v>
      </x:c>
      <x:c r="X168" s="8" t="n">
        <x:f>IFERROR(T168/F168,0)</x:f>
        <x:v>0.26877764340165083</x:v>
      </x:c>
      <x:c r="Y168" s="8" t="n">
        <x:f>IFERROR(T168/O168,0)</x:f>
        <x:v>0.16798602712603178</x:v>
      </x:c>
    </x:row>
    <x:row r="169">
      <x:c r="A169" t="str">
        <x:v>2025-02-01</x:v>
      </x:c>
      <x:c r="B169" t="n">
        <x:v>2025</x:v>
      </x:c>
      <x:c r="C169" t="str">
        <x:v>Q1</x:v>
      </x:c>
      <x:c r="D169" t="str">
        <x:v>Services</x:v>
      </x:c>
      <x:c r="E169" t="str">
        <x:v>West</x:v>
      </x:c>
      <x:c r="F169" s="6" t="n">
        <x:v>552331.62</x:v>
      </x:c>
      <x:c r="G169" s="6" t="n">
        <x:v>524638.95</x:v>
      </x:c>
      <x:c r="H169" s="6" t="n">
        <x:v>525237.21</x:v>
      </x:c>
      <x:c r="I169" s="6" t="n">
        <x:v>231068.84</x:v>
      </x:c>
      <x:c r="J169" s="6" t="n">
        <x:v>220348.36</x:v>
      </x:c>
      <x:c r="K169" s="6" t="n">
        <x:v>221650.1</x:v>
      </x:c>
      <x:c r="L169" s="6" t="n">
        <x:v>167739.94</x:v>
      </x:c>
      <x:c r="M169" s="6" t="n">
        <x:v>162638.07</x:v>
      </x:c>
      <x:c r="N169" s="6" t="n">
        <x:v>164924.48</x:v>
      </x:c>
      <x:c r="O169" s="6" t="n">
        <x:v>883730.6</x:v>
      </x:c>
      <x:c r="P169" s="6" t="n">
        <x:v>114287.31</x:v>
      </x:c>
      <x:c r="Q169" s="6" t="n">
        <x:v>50</x:v>
      </x:c>
      <x:c r="R169" s="6" t="n">
        <x:f>F169-I169</x:f>
        <x:v>321262.78</x:v>
      </x:c>
      <x:c r="S169" s="6" t="n">
        <x:f>G169-J169</x:f>
        <x:v>304290.58999999997</x:v>
      </x:c>
      <x:c r="T169" s="6" t="n">
        <x:f>R169-L169</x:f>
        <x:v>153522.84000000003</x:v>
      </x:c>
      <x:c r="U169" s="6" t="n">
        <x:f>S169-M169</x:f>
        <x:v>141652.51999999996</x:v>
      </x:c>
      <x:c r="V169" s="6" t="n">
        <x:f>F169-G169</x:f>
        <x:v>27692.670000000042</x:v>
      </x:c>
      <x:c r="W169" s="8" t="n">
        <x:f>IFERROR(V169/G169,0)</x:f>
        <x:v>0.05278424333534528</x:v>
      </x:c>
      <x:c r="X169" s="8" t="n">
        <x:f>IFERROR(T169/F169,0)</x:f>
        <x:v>0.2779541030078995</x:v>
      </x:c>
      <x:c r="Y169" s="8" t="n">
        <x:f>IFERROR(T169/O169,0)</x:f>
        <x:v>0.17372131280731937</x:v>
      </x:c>
    </x:row>
    <x:row r="170">
      <x:c r="A170" t="str">
        <x:v>2025-03-01</x:v>
      </x:c>
      <x:c r="B170" t="n">
        <x:v>2025</x:v>
      </x:c>
      <x:c r="C170" t="str">
        <x:v>Q1</x:v>
      </x:c>
      <x:c r="D170" t="str">
        <x:v>Enterprise</x:v>
      </x:c>
      <x:c r="E170" t="str">
        <x:v>East</x:v>
      </x:c>
      <x:c r="F170" s="6" t="n">
        <x:v>1812303.08</x:v>
      </x:c>
      <x:c r="G170" s="6" t="n">
        <x:v>1811448.55</x:v>
      </x:c>
      <x:c r="H170" s="6" t="n">
        <x:v>1838302.54</x:v>
      </x:c>
      <x:c r="I170" s="6" t="n">
        <x:v>878394.88</x:v>
      </x:c>
      <x:c r="J170" s="6" t="n">
        <x:v>869495.3</x:v>
      </x:c>
      <x:c r="K170" s="6" t="n">
        <x:v>886061.82</x:v>
      </x:c>
      <x:c r="L170" s="6" t="n">
        <x:v>500040.48</x:v>
      </x:c>
      <x:c r="M170" s="6" t="n">
        <x:v>489091.11</x:v>
      </x:c>
      <x:c r="N170" s="6" t="n">
        <x:v>503694.89</x:v>
      </x:c>
      <x:c r="O170" s="6" t="n">
        <x:v>3805836.46</x:v>
      </x:c>
      <x:c r="P170" s="6" t="n">
        <x:v>314238.02</x:v>
      </x:c>
      <x:c r="Q170" s="6" t="n">
        <x:v>112</x:v>
      </x:c>
      <x:c r="R170" s="6" t="n">
        <x:f>F170-I170</x:f>
        <x:v>933908.2000000001</x:v>
      </x:c>
      <x:c r="S170" s="6" t="n">
        <x:f>G170-J170</x:f>
        <x:v>941953.25</x:v>
      </x:c>
      <x:c r="T170" s="6" t="n">
        <x:f>R170-L170</x:f>
        <x:v>433867.7200000001</x:v>
      </x:c>
      <x:c r="U170" s="6" t="n">
        <x:f>S170-M170</x:f>
        <x:v>452862.14</x:v>
      </x:c>
      <x:c r="V170" s="6" t="n">
        <x:f>F170-G170</x:f>
        <x:v>854.5300000000279</x:v>
      </x:c>
      <x:c r="W170" s="8" t="n">
        <x:f>IFERROR(V170/G170,0)</x:f>
        <x:v>0.00047173848796314307</x:v>
      </x:c>
      <x:c r="X170" s="8" t="n">
        <x:f>IFERROR(T170/F170,0)</x:f>
        <x:v>0.23940130367156914</x:v>
      </x:c>
      <x:c r="Y170" s="8" t="n">
        <x:f>IFERROR(T170/O170,0)</x:f>
        <x:v>0.11400062103561856</x:v>
      </x:c>
    </x:row>
    <x:row r="171">
      <x:c r="A171" t="str">
        <x:v>2025-03-01</x:v>
      </x:c>
      <x:c r="B171" t="n">
        <x:v>2025</x:v>
      </x:c>
      <x:c r="C171" t="str">
        <x:v>Q1</x:v>
      </x:c>
      <x:c r="D171" t="str">
        <x:v>Enterprise</x:v>
      </x:c>
      <x:c r="E171" t="str">
        <x:v>Central</x:v>
      </x:c>
      <x:c r="F171" s="6" t="n">
        <x:v>1585313.65</x:v>
      </x:c>
      <x:c r="G171" s="6" t="n">
        <x:v>1618729.25</x:v>
      </x:c>
      <x:c r="H171" s="6" t="n">
        <x:v>1603620.97</x:v>
      </x:c>
      <x:c r="I171" s="6" t="n">
        <x:v>765197.65</x:v>
      </x:c>
      <x:c r="J171" s="6" t="n">
        <x:v>776990.04</x:v>
      </x:c>
      <x:c r="K171" s="6" t="n">
        <x:v>772945.31</x:v>
      </x:c>
      <x:c r="L171" s="6" t="n">
        <x:v>412273.98</x:v>
      </x:c>
      <x:c r="M171" s="6" t="n">
        <x:v>437056.9</x:v>
      </x:c>
      <x:c r="N171" s="6" t="n">
        <x:v>439392.14</x:v>
      </x:c>
      <x:c r="O171" s="6" t="n">
        <x:v>3329158.66</x:v>
      </x:c>
      <x:c r="P171" s="6" t="n">
        <x:v>356058.92</x:v>
      </x:c>
      <x:c r="Q171" s="6" t="n">
        <x:v>100</x:v>
      </x:c>
      <x:c r="R171" s="6" t="n">
        <x:f>F171-I171</x:f>
        <x:v>820115.9999999999</x:v>
      </x:c>
      <x:c r="S171" s="6" t="n">
        <x:f>G171-J171</x:f>
        <x:v>841739.21</x:v>
      </x:c>
      <x:c r="T171" s="6" t="n">
        <x:f>R171-L171</x:f>
        <x:v>407842.0199999999</x:v>
      </x:c>
      <x:c r="U171" s="6" t="n">
        <x:f>S171-M171</x:f>
        <x:v>404682.30999999994</x:v>
      </x:c>
      <x:c r="V171" s="6" t="n">
        <x:f>F171-G171</x:f>
        <x:v>-33415.60000000009</x:v>
      </x:c>
      <x:c r="W171" s="8" t="n">
        <x:f>IFERROR(V171/G171,0)</x:f>
        <x:v>-0.02064310631317751</x:v>
      </x:c>
      <x:c r="X171" s="8" t="n">
        <x:f>IFERROR(T171/F171,0)</x:f>
        <x:v>0.257262668494654</x:v>
      </x:c>
      <x:c r="Y171" s="8" t="n">
        <x:f>IFERROR(T171/O171,0)</x:f>
        <x:v>0.12250603280049137</x:v>
      </x:c>
    </x:row>
    <x:row r="172">
      <x:c r="A172" t="str">
        <x:v>2025-03-01</x:v>
      </x:c>
      <x:c r="B172" t="n">
        <x:v>2025</x:v>
      </x:c>
      <x:c r="C172" t="str">
        <x:v>Q1</x:v>
      </x:c>
      <x:c r="D172" t="str">
        <x:v>Enterprise</x:v>
      </x:c>
      <x:c r="E172" t="str">
        <x:v>West</x:v>
      </x:c>
      <x:c r="F172" s="6" t="n">
        <x:v>1669280.88</x:v>
      </x:c>
      <x:c r="G172" s="6" t="n">
        <x:v>1709286.5</x:v>
      </x:c>
      <x:c r="H172" s="6" t="n">
        <x:v>1750542.34</x:v>
      </x:c>
      <x:c r="I172" s="6" t="n">
        <x:v>795483.37</x:v>
      </x:c>
      <x:c r="J172" s="6" t="n">
        <x:v>820457.52</x:v>
      </x:c>
      <x:c r="K172" s="6" t="n">
        <x:v>843761.41</x:v>
      </x:c>
      <x:c r="L172" s="6" t="n">
        <x:v>438063.75</x:v>
      </x:c>
      <x:c r="M172" s="6" t="n">
        <x:v>461507.36</x:v>
      </x:c>
      <x:c r="N172" s="6" t="n">
        <x:v>479648.6</x:v>
      </x:c>
      <x:c r="O172" s="6" t="n">
        <x:v>3505489.85</x:v>
      </x:c>
      <x:c r="P172" s="6" t="n">
        <x:v>392206.67</x:v>
      </x:c>
      <x:c r="Q172" s="6" t="n">
        <x:v>108</x:v>
      </x:c>
      <x:c r="R172" s="6" t="n">
        <x:f>F172-I172</x:f>
        <x:v>873797.5099999999</x:v>
      </x:c>
      <x:c r="S172" s="6" t="n">
        <x:f>G172-J172</x:f>
        <x:v>888828.98</x:v>
      </x:c>
      <x:c r="T172" s="6" t="n">
        <x:f>R172-L172</x:f>
        <x:v>435733.7599999999</x:v>
      </x:c>
      <x:c r="U172" s="6" t="n">
        <x:f>S172-M172</x:f>
        <x:v>427321.62</x:v>
      </x:c>
      <x:c r="V172" s="6" t="n">
        <x:f>F172-G172</x:f>
        <x:v>-40005.62000000011</x:v>
      </x:c>
      <x:c r="W172" s="8" t="n">
        <x:f>IFERROR(V172/G172,0)</x:f>
        <x:v>-0.023404865129397625</x:v>
      </x:c>
      <x:c r="X172" s="8" t="n">
        <x:f>IFERROR(T172/F172,0)</x:f>
        <x:v>0.2610308218470698</x:v>
      </x:c>
      <x:c r="Y172" s="8" t="n">
        <x:f>IFERROR(T172/O172,0)</x:f>
        <x:v>0.12430039128482996</x:v>
      </x:c>
    </x:row>
    <x:row r="173">
      <x:c r="A173" t="str">
        <x:v>2025-03-01</x:v>
      </x:c>
      <x:c r="B173" t="n">
        <x:v>2025</x:v>
      </x:c>
      <x:c r="C173" t="str">
        <x:v>Q1</x:v>
      </x:c>
      <x:c r="D173" t="str">
        <x:v>SMB</x:v>
      </x:c>
      <x:c r="E173" t="str">
        <x:v>East</x:v>
      </x:c>
      <x:c r="F173" s="6" t="n">
        <x:v>1062022.81</x:v>
      </x:c>
      <x:c r="G173" s="6" t="n">
        <x:v>1020351.05</x:v>
      </x:c>
      <x:c r="H173" s="6" t="n">
        <x:v>1011689.25</x:v>
      </x:c>
      <x:c r="I173" s="6" t="n">
        <x:v>564337.46</x:v>
      </x:c>
      <x:c r="J173" s="6" t="n">
        <x:v>550989.57</x:v>
      </x:c>
      <x:c r="K173" s="6" t="n">
        <x:v>548335.57</x:v>
      </x:c>
      <x:c r="L173" s="6" t="n">
        <x:v>303228.36</x:v>
      </x:c>
      <x:c r="M173" s="6" t="n">
        <x:v>295901.8</x:v>
      </x:c>
      <x:c r="N173" s="6" t="n">
        <x:v>297436.64</x:v>
      </x:c>
      <x:c r="O173" s="6" t="n">
        <x:v>1805438.78</x:v>
      </x:c>
      <x:c r="P173" s="6" t="n">
        <x:v>146795.47</x:v>
      </x:c>
      <x:c r="Q173" s="6" t="n">
        <x:v>79</x:v>
      </x:c>
      <x:c r="R173" s="6" t="n">
        <x:f>F173-I173</x:f>
        <x:v>497685.3500000001</x:v>
      </x:c>
      <x:c r="S173" s="6" t="n">
        <x:f>G173-J173</x:f>
        <x:v>469361.4800000001</x:v>
      </x:c>
      <x:c r="T173" s="6" t="n">
        <x:f>R173-L173</x:f>
        <x:v>194456.9900000001</x:v>
      </x:c>
      <x:c r="U173" s="6" t="n">
        <x:f>S173-M173</x:f>
        <x:v>173459.6800000001</x:v>
      </x:c>
      <x:c r="V173" s="6" t="n">
        <x:f>F173-G173</x:f>
        <x:v>41671.76000000001</x:v>
      </x:c>
      <x:c r="W173" s="8" t="n">
        <x:f>IFERROR(V173/G173,0)</x:f>
        <x:v>0.04084061068982093</x:v>
      </x:c>
      <x:c r="X173" s="8" t="n">
        <x:f>IFERROR(T173/F173,0)</x:f>
        <x:v>0.1831005776608509</x:v>
      </x:c>
      <x:c r="Y173" s="8" t="n">
        <x:f>IFERROR(T173/O173,0)</x:f>
        <x:v>0.1077062219744721</x:v>
      </x:c>
    </x:row>
    <x:row r="174">
      <x:c r="A174" t="str">
        <x:v>2025-03-01</x:v>
      </x:c>
      <x:c r="B174" t="n">
        <x:v>2025</x:v>
      </x:c>
      <x:c r="C174" t="str">
        <x:v>Q1</x:v>
      </x:c>
      <x:c r="D174" t="str">
        <x:v>SMB</x:v>
      </x:c>
      <x:c r="E174" t="str">
        <x:v>Central</x:v>
      </x:c>
      <x:c r="F174" s="6" t="n">
        <x:v>892240.52</x:v>
      </x:c>
      <x:c r="G174" s="6" t="n">
        <x:v>931767.96</x:v>
      </x:c>
      <x:c r="H174" s="6" t="n">
        <x:v>918414.53</x:v>
      </x:c>
      <x:c r="I174" s="6" t="n">
        <x:v>489429.26</x:v>
      </x:c>
      <x:c r="J174" s="6" t="n">
        <x:v>503154.7</x:v>
      </x:c>
      <x:c r="K174" s="6" t="n">
        <x:v>497780.68</x:v>
      </x:c>
      <x:c r="L174" s="6" t="n">
        <x:v>254411.63</x:v>
      </x:c>
      <x:c r="M174" s="6" t="n">
        <x:v>270212.71</x:v>
      </x:c>
      <x:c r="N174" s="6" t="n">
        <x:v>270013.87</x:v>
      </x:c>
      <x:c r="O174" s="6" t="n">
        <x:v>1516808.88</x:v>
      </x:c>
      <x:c r="P174" s="6" t="n">
        <x:v>116457.25</x:v>
      </x:c>
      <x:c r="Q174" s="6" t="n">
        <x:v>71</x:v>
      </x:c>
      <x:c r="R174" s="6" t="n">
        <x:f>F174-I174</x:f>
        <x:v>402811.26</x:v>
      </x:c>
      <x:c r="S174" s="6" t="n">
        <x:f>G174-J174</x:f>
        <x:v>428613.25999999995</x:v>
      </x:c>
      <x:c r="T174" s="6" t="n">
        <x:f>R174-L174</x:f>
        <x:v>148399.63</x:v>
      </x:c>
      <x:c r="U174" s="6" t="n">
        <x:f>S174-M174</x:f>
        <x:v>158400.54999999993</x:v>
      </x:c>
      <x:c r="V174" s="6" t="n">
        <x:f>F174-G174</x:f>
        <x:v>-39527.439999999944</x:v>
      </x:c>
      <x:c r="W174" s="8" t="n">
        <x:f>IFERROR(V174/G174,0)</x:f>
        <x:v>-0.042421978107081454</x:v>
      </x:c>
      <x:c r="X174" s="8" t="n">
        <x:f>IFERROR(T174/F174,0)</x:f>
        <x:v>0.16632245081180577</x:v>
      </x:c>
      <x:c r="Y174" s="8" t="n">
        <x:f>IFERROR(T174/O174,0)</x:f>
        <x:v>0.09783673602965721</x:v>
      </x:c>
    </x:row>
    <x:row r="175">
      <x:c r="A175" t="str">
        <x:v>2025-03-01</x:v>
      </x:c>
      <x:c r="B175" t="n">
        <x:v>2025</x:v>
      </x:c>
      <x:c r="C175" t="str">
        <x:v>Q1</x:v>
      </x:c>
      <x:c r="D175" t="str">
        <x:v>SMB</x:v>
      </x:c>
      <x:c r="E175" t="str">
        <x:v>West</x:v>
      </x:c>
      <x:c r="F175" s="6" t="n">
        <x:v>947376.56</x:v>
      </x:c>
      <x:c r="G175" s="6" t="n">
        <x:v>986604.03</x:v>
      </x:c>
      <x:c r="H175" s="6" t="n">
        <x:v>1004735.16</x:v>
      </x:c>
      <x:c r="I175" s="6" t="n">
        <x:v>513173.25</x:v>
      </x:c>
      <x:c r="J175" s="6" t="n">
        <x:v>532766.18</x:v>
      </x:c>
      <x:c r="K175" s="6" t="n">
        <x:v>544566.46</x:v>
      </x:c>
      <x:c r="L175" s="6" t="n">
        <x:v>284563.46</x:v>
      </x:c>
      <x:c r="M175" s="6" t="n">
        <x:v>286115.17</x:v>
      </x:c>
      <x:c r="N175" s="6" t="n">
        <x:v>295392.14</x:v>
      </x:c>
      <x:c r="O175" s="6" t="n">
        <x:v>1610540.15</x:v>
      </x:c>
      <x:c r="P175" s="6" t="n">
        <x:v>121993.77</x:v>
      </x:c>
      <x:c r="Q175" s="6" t="n">
        <x:v>76</x:v>
      </x:c>
      <x:c r="R175" s="6" t="n">
        <x:f>F175-I175</x:f>
        <x:v>434203.31000000006</x:v>
      </x:c>
      <x:c r="S175" s="6" t="n">
        <x:f>G175-J175</x:f>
        <x:v>453837.85</x:v>
      </x:c>
      <x:c r="T175" s="6" t="n">
        <x:f>R175-L175</x:f>
        <x:v>149639.85000000003</x:v>
      </x:c>
      <x:c r="U175" s="6" t="n">
        <x:f>S175-M175</x:f>
        <x:v>167722.68</x:v>
      </x:c>
      <x:c r="V175" s="6" t="n">
        <x:f>F175-G175</x:f>
        <x:v>-39227.46999999997</x:v>
      </x:c>
      <x:c r="W175" s="8" t="n">
        <x:f>IFERROR(V175/G175,0)</x:f>
        <x:v>-0.039760095040357754</x:v>
      </x:c>
      <x:c r="X175" s="8" t="n">
        <x:f>IFERROR(T175/F175,0)</x:f>
        <x:v>0.15795181801838123</x:v>
      </x:c>
      <x:c r="Y175" s="8" t="n">
        <x:f>IFERROR(T175/O175,0)</x:f>
        <x:v>0.09291283424384052</x:v>
      </x:c>
    </x:row>
    <x:row r="176">
      <x:c r="A176" t="str">
        <x:v>2025-03-01</x:v>
      </x:c>
      <x:c r="B176" t="n">
        <x:v>2025</x:v>
      </x:c>
      <x:c r="C176" t="str">
        <x:v>Q1</x:v>
      </x:c>
      <x:c r="D176" t="str">
        <x:v>Digital</x:v>
      </x:c>
      <x:c r="E176" t="str">
        <x:v>East</x:v>
      </x:c>
      <x:c r="F176" s="6" t="n">
        <x:v>768070.51</x:v>
      </x:c>
      <x:c r="G176" s="6" t="n">
        <x:v>763243.91</x:v>
      </x:c>
      <x:c r="H176" s="6" t="n">
        <x:v>755540.82</x:v>
      </x:c>
      <x:c r="I176" s="6" t="n">
        <x:v>277350.11</x:v>
      </x:c>
      <x:c r="J176" s="6" t="n">
        <x:v>274767.81</x:v>
      </x:c>
      <x:c r="K176" s="6" t="n">
        <x:v>273505.78</x:v>
      </x:c>
      <x:c r="L176" s="6" t="n">
        <x:v>273711.5</x:v>
      </x:c>
      <x:c r="M176" s="6" t="n">
        <x:v>259502.93</x:v>
      </x:c>
      <x:c r="N176" s="6" t="n">
        <x:v>259906.04</x:v>
      </x:c>
      <x:c r="O176" s="6" t="n">
        <x:v>1075298.71</x:v>
      </x:c>
      <x:c r="P176" s="6" t="n">
        <x:v>158128.52</x:v>
      </x:c>
      <x:c r="Q176" s="6" t="n">
        <x:v>57</x:v>
      </x:c>
      <x:c r="R176" s="6" t="n">
        <x:f>F176-I176</x:f>
        <x:v>490720.4</x:v>
      </x:c>
      <x:c r="S176" s="6" t="n">
        <x:f>G176-J176</x:f>
        <x:v>488476.10000000003</x:v>
      </x:c>
      <x:c r="T176" s="6" t="n">
        <x:f>R176-L176</x:f>
        <x:v>217008.90000000002</x:v>
      </x:c>
      <x:c r="U176" s="6" t="n">
        <x:f>S176-M176</x:f>
        <x:v>228973.17000000004</x:v>
      </x:c>
      <x:c r="V176" s="6" t="n">
        <x:f>F176-G176</x:f>
        <x:v>4826.599999999977</x:v>
      </x:c>
      <x:c r="W176" s="8" t="n">
        <x:f>IFERROR(V176/G176,0)</x:f>
        <x:v>0.006323797591781605</x:v>
      </x:c>
      <x:c r="X176" s="8" t="n">
        <x:f>IFERROR(T176/F176,0)</x:f>
        <x:v>0.2825377321152455</x:v>
      </x:c>
      <x:c r="Y176" s="8" t="n">
        <x:f>IFERROR(T176/O176,0)</x:f>
        <x:v>0.2018126665473262</x:v>
      </x:c>
    </x:row>
    <x:row r="177">
      <x:c r="A177" t="str">
        <x:v>2025-03-01</x:v>
      </x:c>
      <x:c r="B177" t="n">
        <x:v>2025</x:v>
      </x:c>
      <x:c r="C177" t="str">
        <x:v>Q1</x:v>
      </x:c>
      <x:c r="D177" t="str">
        <x:v>Digital</x:v>
      </x:c>
      <x:c r="E177" t="str">
        <x:v>Central</x:v>
      </x:c>
      <x:c r="F177" s="6" t="n">
        <x:v>711887.03</x:v>
      </x:c>
      <x:c r="G177" s="6" t="n">
        <x:v>683390.94</x:v>
      </x:c>
      <x:c r="H177" s="6" t="n">
        <x:v>689176.05</x:v>
      </x:c>
      <x:c r="I177" s="6" t="n">
        <x:v>256214.63</x:v>
      </x:c>
      <x:c r="J177" s="6" t="n">
        <x:v>246020.74</x:v>
      </x:c>
      <x:c r="K177" s="6" t="n">
        <x:v>249481.73</x:v>
      </x:c>
      <x:c r="L177" s="6" t="n">
        <x:v>254087.28</x:v>
      </x:c>
      <x:c r="M177" s="6" t="n">
        <x:v>232352.92</x:v>
      </x:c>
      <x:c r="N177" s="6" t="n">
        <x:v>237076.56</x:v>
      </x:c>
      <x:c r="O177" s="6" t="n">
        <x:v>996641.85</x:v>
      </x:c>
      <x:c r="P177" s="6" t="n">
        <x:v>147593.59</x:v>
      </x:c>
      <x:c r="Q177" s="6" t="n">
        <x:v>51</x:v>
      </x:c>
      <x:c r="R177" s="6" t="n">
        <x:f>F177-I177</x:f>
        <x:v>455672.4</x:v>
      </x:c>
      <x:c r="S177" s="6" t="n">
        <x:f>G177-J177</x:f>
        <x:v>437370.19999999995</x:v>
      </x:c>
      <x:c r="T177" s="6" t="n">
        <x:f>R177-L177</x:f>
        <x:v>201585.12000000002</x:v>
      </x:c>
      <x:c r="U177" s="6" t="n">
        <x:f>S177-M177</x:f>
        <x:v>205017.27999999994</x:v>
      </x:c>
      <x:c r="V177" s="6" t="n">
        <x:f>F177-G177</x:f>
        <x:v>28496.090000000084</x:v>
      </x:c>
      <x:c r="W177" s="8" t="n">
        <x:f>IFERROR(V177/G177,0)</x:f>
        <x:v>0.04169807987211549</x:v>
      </x:c>
      <x:c r="X177" s="8" t="n">
        <x:f>IFERROR(T177/F177,0)</x:f>
        <x:v>0.28317009792972353</x:v>
      </x:c>
      <x:c r="Y177" s="8" t="n">
        <x:f>IFERROR(T177/O177,0)</x:f>
        <x:v>0.2022643540405212</x:v>
      </x:c>
    </x:row>
    <x:row r="178">
      <x:c r="A178" t="str">
        <x:v>2025-03-01</x:v>
      </x:c>
      <x:c r="B178" t="n">
        <x:v>2025</x:v>
      </x:c>
      <x:c r="C178" t="str">
        <x:v>Q1</x:v>
      </x:c>
      <x:c r="D178" t="str">
        <x:v>Digital</x:v>
      </x:c>
      <x:c r="E178" t="str">
        <x:v>West</x:v>
      </x:c>
      <x:c r="F178" s="6" t="n">
        <x:v>724115.67</x:v>
      </x:c>
      <x:c r="G178" s="6" t="n">
        <x:v>727636.17</x:v>
      </x:c>
      <x:c r="H178" s="6" t="n">
        <x:v>739186.95</x:v>
      </x:c>
      <x:c r="I178" s="6" t="n">
        <x:v>261222.55</x:v>
      </x:c>
      <x:c r="J178" s="6" t="n">
        <x:v>261949.02</x:v>
      </x:c>
      <x:c r="K178" s="6" t="n">
        <x:v>267585.68</x:v>
      </x:c>
      <x:c r="L178" s="6" t="n">
        <x:v>257271.8</x:v>
      </x:c>
      <x:c r="M178" s="6" t="n">
        <x:v>247396.3</x:v>
      </x:c>
      <x:c r="N178" s="6" t="n">
        <x:v>254280.31</x:v>
      </x:c>
      <x:c r="O178" s="6" t="n">
        <x:v>1013761.93</x:v>
      </x:c>
      <x:c r="P178" s="6" t="n">
        <x:v>151069.6</x:v>
      </x:c>
      <x:c r="Q178" s="6" t="n">
        <x:v>55</x:v>
      </x:c>
      <x:c r="R178" s="6" t="n">
        <x:f>F178-I178</x:f>
        <x:v>462893.12000000005</x:v>
      </x:c>
      <x:c r="S178" s="6" t="n">
        <x:f>G178-J178</x:f>
        <x:v>465687.15</x:v>
      </x:c>
      <x:c r="T178" s="6" t="n">
        <x:f>R178-L178</x:f>
        <x:v>205621.32000000007</x:v>
      </x:c>
      <x:c r="U178" s="6" t="n">
        <x:f>S178-M178</x:f>
        <x:v>218290.85000000003</x:v>
      </x:c>
      <x:c r="V178" s="6" t="n">
        <x:f>F178-G178</x:f>
        <x:v>-3520.5</x:v>
      </x:c>
      <x:c r="W178" s="8" t="n">
        <x:f>IFERROR(V178/G178,0)</x:f>
        <x:v>-0.004838269653362613</x:v>
      </x:c>
      <x:c r="X178" s="8" t="n">
        <x:f>IFERROR(T178/F178,0)</x:f>
        <x:v>0.28396198082552204</x:v>
      </x:c>
      <x:c r="Y178" s="8" t="n">
        <x:f>IFERROR(T178/O178,0)</x:f>
        <x:v>0.2028299879045567</x:v>
      </x:c>
    </x:row>
    <x:row r="179">
      <x:c r="A179" t="str">
        <x:v>2025-03-01</x:v>
      </x:c>
      <x:c r="B179" t="n">
        <x:v>2025</x:v>
      </x:c>
      <x:c r="C179" t="str">
        <x:v>Q1</x:v>
      </x:c>
      <x:c r="D179" t="str">
        <x:v>Services</x:v>
      </x:c>
      <x:c r="E179" t="str">
        <x:v>East</x:v>
      </x:c>
      <x:c r="F179" s="6" t="n">
        <x:v>559441.97</x:v>
      </x:c>
      <x:c r="G179" s="6" t="n">
        <x:v>550724.15</x:v>
      </x:c>
      <x:c r="H179" s="6" t="n">
        <x:v>544091.06</x:v>
      </x:c>
      <x:c r="I179" s="6" t="n">
        <x:v>232252.57</x:v>
      </x:c>
      <x:c r="J179" s="6" t="n">
        <x:v>231304.14</x:v>
      </x:c>
      <x:c r="K179" s="6" t="n">
        <x:v>229606.43</x:v>
      </x:c>
      <x:c r="L179" s="6" t="n">
        <x:v>177338.8</x:v>
      </x:c>
      <x:c r="M179" s="6" t="n">
        <x:v>170724.49</x:v>
      </x:c>
      <x:c r="N179" s="6" t="n">
        <x:v>170844.59</x:v>
      </x:c>
      <x:c r="O179" s="6" t="n">
        <x:v>895107.15</x:v>
      </x:c>
      <x:c r="P179" s="6" t="n">
        <x:v>124326.74</x:v>
      </x:c>
      <x:c r="Q179" s="6" t="n">
        <x:v>52</x:v>
      </x:c>
      <x:c r="R179" s="6" t="n">
        <x:f>F179-I179</x:f>
        <x:v>327189.39999999997</x:v>
      </x:c>
      <x:c r="S179" s="6" t="n">
        <x:f>G179-J179</x:f>
        <x:v>319420.01</x:v>
      </x:c>
      <x:c r="T179" s="6" t="n">
        <x:f>R179-L179</x:f>
        <x:v>149850.59999999998</x:v>
      </x:c>
      <x:c r="U179" s="6" t="n">
        <x:f>S179-M179</x:f>
        <x:v>148695.52000000002</x:v>
      </x:c>
      <x:c r="V179" s="6" t="n">
        <x:f>F179-G179</x:f>
        <x:v>8717.819999999949</x:v>
      </x:c>
      <x:c r="W179" s="8" t="n">
        <x:f>IFERROR(V179/G179,0)</x:f>
        <x:v>0.015829739807124762</x:v>
      </x:c>
      <x:c r="X179" s="8" t="n">
        <x:f>IFERROR(T179/F179,0)</x:f>
        <x:v>0.26785727213137045</x:v>
      </x:c>
      <x:c r="Y179" s="8" t="n">
        <x:f>IFERROR(T179/O179,0)</x:f>
        <x:v>0.16741079545616408</x:v>
      </x:c>
    </x:row>
    <x:row r="180">
      <x:c r="A180" t="str">
        <x:v>2025-03-01</x:v>
      </x:c>
      <x:c r="B180" t="n">
        <x:v>2025</x:v>
      </x:c>
      <x:c r="C180" t="str">
        <x:v>Q1</x:v>
      </x:c>
      <x:c r="D180" t="str">
        <x:v>Services</x:v>
      </x:c>
      <x:c r="E180" t="str">
        <x:v>Central</x:v>
      </x:c>
      <x:c r="F180" s="6" t="n">
        <x:v>523741.21</x:v>
      </x:c>
      <x:c r="G180" s="6" t="n">
        <x:v>496690.09</x:v>
      </x:c>
      <x:c r="H180" s="6" t="n">
        <x:v>501098.25</x:v>
      </x:c>
      <x:c r="I180" s="6" t="n">
        <x:v>219864.78</x:v>
      </x:c>
      <x:c r="J180" s="6" t="n">
        <x:v>208609.84</x:v>
      </x:c>
      <x:c r="K180" s="6" t="n">
        <x:v>211463.46</x:v>
      </x:c>
      <x:c r="L180" s="6" t="n">
        <x:v>165587.49</x:v>
      </x:c>
      <x:c r="M180" s="6" t="n">
        <x:v>153973.93</x:v>
      </x:c>
      <x:c r="N180" s="6" t="n">
        <x:v>157344.85</x:v>
      </x:c>
      <x:c r="O180" s="6" t="n">
        <x:v>837985.94</x:v>
      </x:c>
      <x:c r="P180" s="6" t="n">
        <x:v>102311.1</x:v>
      </x:c>
      <x:c r="Q180" s="6" t="n">
        <x:v>47</x:v>
      </x:c>
      <x:c r="R180" s="6" t="n">
        <x:f>F180-I180</x:f>
        <x:v>303876.43000000005</x:v>
      </x:c>
      <x:c r="S180" s="6" t="n">
        <x:f>G180-J180</x:f>
        <x:v>288080.25</x:v>
      </x:c>
      <x:c r="T180" s="6" t="n">
        <x:f>R180-L180</x:f>
        <x:v>138288.94000000006</x:v>
      </x:c>
      <x:c r="U180" s="6" t="n">
        <x:f>S180-M180</x:f>
        <x:v>134106.32</x:v>
      </x:c>
      <x:c r="V180" s="6" t="n">
        <x:f>F180-G180</x:f>
        <x:v>27051.119999999995</x:v>
      </x:c>
      <x:c r="W180" s="8" t="n">
        <x:f>IFERROR(V180/G180,0)</x:f>
        <x:v>0.05446277375898519</x:v>
      </x:c>
      <x:c r="X180" s="8" t="n">
        <x:f>IFERROR(T180/F180,0)</x:f>
        <x:v>0.2640405936359296</x:v>
      </x:c>
      <x:c r="Y180" s="8" t="n">
        <x:f>IFERROR(T180/O180,0)</x:f>
        <x:v>0.16502537023473218</x:v>
      </x:c>
    </x:row>
    <x:row r="181">
      <x:c r="A181" t="str">
        <x:v>2025-03-01</x:v>
      </x:c>
      <x:c r="B181" t="n">
        <x:v>2025</x:v>
      </x:c>
      <x:c r="C181" t="str">
        <x:v>Q1</x:v>
      </x:c>
      <x:c r="D181" t="str">
        <x:v>Services</x:v>
      </x:c>
      <x:c r="E181" t="str">
        <x:v>West</x:v>
      </x:c>
      <x:c r="F181" s="6" t="n">
        <x:v>561479.12</x:v>
      </x:c>
      <x:c r="G181" s="6" t="n">
        <x:v>539738.83</x:v>
      </x:c>
      <x:c r="H181" s="6" t="n">
        <x:v>547452.38</x:v>
      </x:c>
      <x:c r="I181" s="6" t="n">
        <x:v>240309.15</x:v>
      </x:c>
      <x:c r="J181" s="6" t="n">
        <x:v>226690.31</x:v>
      </x:c>
      <x:c r="K181" s="6" t="n">
        <x:v>231024.9</x:v>
      </x:c>
      <x:c r="L181" s="6" t="n">
        <x:v>179462.88</x:v>
      </x:c>
      <x:c r="M181" s="6" t="n">
        <x:v>167319.04</x:v>
      </x:c>
      <x:c r="N181" s="6" t="n">
        <x:v>171900.05</x:v>
      </x:c>
      <x:c r="O181" s="6" t="n">
        <x:v>898366.6</x:v>
      </x:c>
      <x:c r="P181" s="6" t="n">
        <x:v>108123.17</x:v>
      </x:c>
      <x:c r="Q181" s="6" t="n">
        <x:v>50</x:v>
      </x:c>
      <x:c r="R181" s="6" t="n">
        <x:f>F181-I181</x:f>
        <x:v>321169.97</x:v>
      </x:c>
      <x:c r="S181" s="6" t="n">
        <x:f>G181-J181</x:f>
        <x:v>313048.51999999996</x:v>
      </x:c>
      <x:c r="T181" s="6" t="n">
        <x:f>R181-L181</x:f>
        <x:v>141707.08999999997</x:v>
      </x:c>
      <x:c r="U181" s="6" t="n">
        <x:f>S181-M181</x:f>
        <x:v>145729.47999999995</x:v>
      </x:c>
      <x:c r="V181" s="6" t="n">
        <x:f>F181-G181</x:f>
        <x:v>21740.290000000037</x:v>
      </x:c>
      <x:c r="W181" s="8" t="n">
        <x:f>IFERROR(V181/G181,0)</x:f>
        <x:v>0.04027927729416844</x:v>
      </x:c>
      <x:c r="X181" s="8" t="n">
        <x:f>IFERROR(T181/F181,0)</x:f>
        <x:v>0.2523817626557511</x:v>
      </x:c>
      <x:c r="Y181" s="8" t="n">
        <x:f>IFERROR(T181/O181,0)</x:f>
        <x:v>0.1577386002551742</x:v>
      </x:c>
    </x:row>
    <x:row r="182">
      <x:c r="A182" t="str">
        <x:v>2025-04-01</x:v>
      </x:c>
      <x:c r="B182" t="n">
        <x:v>2025</x:v>
      </x:c>
      <x:c r="C182" t="str">
        <x:v>Q2</x:v>
      </x:c>
      <x:c r="D182" t="str">
        <x:v>Enterprise</x:v>
      </x:c>
      <x:c r="E182" t="str">
        <x:v>East</x:v>
      </x:c>
      <x:c r="F182" s="6" t="n">
        <x:v>1772208.02</x:v>
      </x:c>
      <x:c r="G182" s="6" t="n">
        <x:v>1812352.8</x:v>
      </x:c>
      <x:c r="H182" s="6" t="n">
        <x:v>1812809.38</x:v>
      </x:c>
      <x:c r="I182" s="6" t="n">
        <x:v>850289.41</x:v>
      </x:c>
      <x:c r="J182" s="6" t="n">
        <x:v>869929.35</x:v>
      </x:c>
      <x:c r="K182" s="6" t="n">
        <x:v>873774.12</x:v>
      </x:c>
      <x:c r="L182" s="6" t="n">
        <x:v>479346.28</x:v>
      </x:c>
      <x:c r="M182" s="6" t="n">
        <x:v>489335.26</x:v>
      </x:c>
      <x:c r="N182" s="6" t="n">
        <x:v>496709.77</x:v>
      </x:c>
      <x:c r="O182" s="6" t="n">
        <x:v>3721636.85</x:v>
      </x:c>
      <x:c r="P182" s="6" t="n">
        <x:v>327068.56</x:v>
      </x:c>
      <x:c r="Q182" s="6" t="n">
        <x:v>112</x:v>
      </x:c>
      <x:c r="R182" s="6" t="n">
        <x:f>F182-I182</x:f>
        <x:v>921918.61</x:v>
      </x:c>
      <x:c r="S182" s="6" t="n">
        <x:f>G182-J182</x:f>
        <x:v>942423.4500000001</x:v>
      </x:c>
      <x:c r="T182" s="6" t="n">
        <x:f>R182-L182</x:f>
        <x:v>442572.32999999996</x:v>
      </x:c>
      <x:c r="U182" s="6" t="n">
        <x:f>S182-M182</x:f>
        <x:v>453088.19000000006</x:v>
      </x:c>
      <x:c r="V182" s="6" t="n">
        <x:f>F182-G182</x:f>
        <x:v>-40144.78000000003</x:v>
      </x:c>
      <x:c r="W182" s="8" t="n">
        <x:f>IFERROR(V182/G182,0)</x:f>
        <x:v>-0.022150643075674905</x:v>
      </x:c>
      <x:c r="X182" s="8" t="n">
        <x:f>IFERROR(T182/F182,0)</x:f>
        <x:v>0.24972933482154083</x:v>
      </x:c>
      <x:c r="Y182" s="8" t="n">
        <x:f>IFERROR(T182/O182,0)</x:f>
        <x:v>0.11891873061177367</x:v>
      </x:c>
    </x:row>
    <x:row r="183">
      <x:c r="A183" t="str">
        <x:v>2025-04-01</x:v>
      </x:c>
      <x:c r="B183" t="n">
        <x:v>2025</x:v>
      </x:c>
      <x:c r="C183" t="str">
        <x:v>Q2</x:v>
      </x:c>
      <x:c r="D183" t="str">
        <x:v>Enterprise</x:v>
      </x:c>
      <x:c r="E183" t="str">
        <x:v>Central</x:v>
      </x:c>
      <x:c r="F183" s="6" t="n">
        <x:v>1656153.81</x:v>
      </x:c>
      <x:c r="G183" s="6" t="n">
        <x:v>1621278.83</x:v>
      </x:c>
      <x:c r="H183" s="6" t="n">
        <x:v>1624267.73</x:v>
      </x:c>
      <x:c r="I183" s="6" t="n">
        <x:v>781652.62</x:v>
      </x:c>
      <x:c r="J183" s="6" t="n">
        <x:v>778213.84</x:v>
      </x:c>
      <x:c r="K183" s="6" t="n">
        <x:v>782897.05</x:v>
      </x:c>
      <x:c r="L183" s="6" t="n">
        <x:v>473145.84</x:v>
      </x:c>
      <x:c r="M183" s="6" t="n">
        <x:v>437745.28</x:v>
      </x:c>
      <x:c r="N183" s="6" t="n">
        <x:v>445049.36</x:v>
      </x:c>
      <x:c r="O183" s="6" t="n">
        <x:v>3477923</x:v>
      </x:c>
      <x:c r="P183" s="6" t="n">
        <x:v>294364.72</x:v>
      </x:c>
      <x:c r="Q183" s="6" t="n">
        <x:v>100</x:v>
      </x:c>
      <x:c r="R183" s="6" t="n">
        <x:f>F183-I183</x:f>
        <x:v>874501.1900000001</x:v>
      </x:c>
      <x:c r="S183" s="6" t="n">
        <x:f>G183-J183</x:f>
        <x:v>843064.9900000001</x:v>
      </x:c>
      <x:c r="T183" s="6" t="n">
        <x:f>R183-L183</x:f>
        <x:v>401355.35000000003</x:v>
      </x:c>
      <x:c r="U183" s="6" t="n">
        <x:f>S183-M183</x:f>
        <x:v>405319.7100000001</x:v>
      </x:c>
      <x:c r="V183" s="6" t="n">
        <x:f>F183-G183</x:f>
        <x:v>34874.97999999998</x:v>
      </x:c>
      <x:c r="W183" s="8" t="n">
        <x:f>IFERROR(V183/G183,0)</x:f>
        <x:v>0.021510784792027404</x:v>
      </x:c>
      <x:c r="X183" s="8" t="n">
        <x:f>IFERROR(T183/F183,0)</x:f>
        <x:v>0.24234183297262712</x:v>
      </x:c>
      <x:c r="Y183" s="8" t="n">
        <x:f>IFERROR(T183/O183,0)</x:f>
        <x:v>0.11540087287728913</x:v>
      </x:c>
    </x:row>
    <x:row r="184">
      <x:c r="A184" t="str">
        <x:v>2025-04-01</x:v>
      </x:c>
      <x:c r="B184" t="n">
        <x:v>2025</x:v>
      </x:c>
      <x:c r="C184" t="str">
        <x:v>Q2</x:v>
      </x:c>
      <x:c r="D184" t="str">
        <x:v>Enterprise</x:v>
      </x:c>
      <x:c r="E184" t="str">
        <x:v>West</x:v>
      </x:c>
      <x:c r="F184" s="6" t="n">
        <x:v>1700318.27</x:v>
      </x:c>
      <x:c r="G184" s="6" t="n">
        <x:v>1763224.82</x:v>
      </x:c>
      <x:c r="H184" s="6" t="n">
        <x:v>1744438.37</x:v>
      </x:c>
      <x:c r="I184" s="6" t="n">
        <x:v>828409.85</x:v>
      </x:c>
      <x:c r="J184" s="6" t="n">
        <x:v>846347.92</x:v>
      </x:c>
      <x:c r="K184" s="6" t="n">
        <x:v>840819.29</x:v>
      </x:c>
      <x:c r="L184" s="6" t="n">
        <x:v>480090.1</x:v>
      </x:c>
      <x:c r="M184" s="6" t="n">
        <x:v>476070.7</x:v>
      </x:c>
      <x:c r="N184" s="6" t="n">
        <x:v>477976.11</x:v>
      </x:c>
      <x:c r="O184" s="6" t="n">
        <x:v>3570668.37</x:v>
      </x:c>
      <x:c r="P184" s="6" t="n">
        <x:v>325708.44</x:v>
      </x:c>
      <x:c r="Q184" s="6" t="n">
        <x:v>108</x:v>
      </x:c>
      <x:c r="R184" s="6" t="n">
        <x:f>F184-I184</x:f>
        <x:v>871908.42</x:v>
      </x:c>
      <x:c r="S184" s="6" t="n">
        <x:f>G184-J184</x:f>
        <x:v>916876.9</x:v>
      </x:c>
      <x:c r="T184" s="6" t="n">
        <x:f>R184-L184</x:f>
        <x:v>391818.32000000007</x:v>
      </x:c>
      <x:c r="U184" s="6" t="n">
        <x:f>S184-M184</x:f>
        <x:v>440806.2</x:v>
      </x:c>
      <x:c r="V184" s="6" t="n">
        <x:f>F184-G184</x:f>
        <x:v>-62906.55000000005</x:v>
      </x:c>
      <x:c r="W184" s="8" t="n">
        <x:f>IFERROR(V184/G184,0)</x:f>
        <x:v>-0.035676987577795125</x:v>
      </x:c>
      <x:c r="X184" s="8" t="n">
        <x:f>IFERROR(T184/F184,0)</x:f>
        <x:v>0.23043822260405403</x:v>
      </x:c>
      <x:c r="Y184" s="8" t="n">
        <x:f>IFERROR(T184/O184,0)</x:f>
        <x:v>0.10973248686211654</x:v>
      </x:c>
    </x:row>
    <x:row r="185">
      <x:c r="A185" t="str">
        <x:v>2025-04-01</x:v>
      </x:c>
      <x:c r="B185" t="n">
        <x:v>2025</x:v>
      </x:c>
      <x:c r="C185" t="str">
        <x:v>Q2</x:v>
      </x:c>
      <x:c r="D185" t="str">
        <x:v>SMB</x:v>
      </x:c>
      <x:c r="E185" t="str">
        <x:v>East</x:v>
      </x:c>
      <x:c r="F185" s="6" t="n">
        <x:v>1063113.42</x:v>
      </x:c>
      <x:c r="G185" s="6" t="n">
        <x:v>1051381.43</x:v>
      </x:c>
      <x:c r="H185" s="6" t="n">
        <x:v>1051206.97</x:v>
      </x:c>
      <x:c r="I185" s="6" t="n">
        <x:v>564702.47</x:v>
      </x:c>
      <x:c r="J185" s="6" t="n">
        <x:v>567745.97</x:v>
      </x:c>
      <x:c r="K185" s="6" t="n">
        <x:v>569754.18</x:v>
      </x:c>
      <x:c r="L185" s="6" t="n">
        <x:v>306822.98</x:v>
      </x:c>
      <x:c r="M185" s="6" t="n">
        <x:v>304900.61</x:v>
      </x:c>
      <x:c r="N185" s="6" t="n">
        <x:v>309054.85</x:v>
      </x:c>
      <x:c r="O185" s="6" t="n">
        <x:v>1807292.81</x:v>
      </x:c>
      <x:c r="P185" s="6" t="n">
        <x:v>163437.58</x:v>
      </x:c>
      <x:c r="Q185" s="6" t="n">
        <x:v>79</x:v>
      </x:c>
      <x:c r="R185" s="6" t="n">
        <x:f>F185-I185</x:f>
        <x:v>498410.94999999995</x:v>
      </x:c>
      <x:c r="S185" s="6" t="n">
        <x:f>G185-J185</x:f>
        <x:v>483635.45999999996</x:v>
      </x:c>
      <x:c r="T185" s="6" t="n">
        <x:f>R185-L185</x:f>
        <x:v>191587.96999999997</x:v>
      </x:c>
      <x:c r="U185" s="6" t="n">
        <x:f>S185-M185</x:f>
        <x:v>178734.84999999998</x:v>
      </x:c>
      <x:c r="V185" s="6" t="n">
        <x:f>F185-G185</x:f>
        <x:v>11731.98999999999</x:v>
      </x:c>
      <x:c r="W185" s="8" t="n">
        <x:f>IFERROR(V185/G185,0)</x:f>
        <x:v>0.011158642967471844</x:v>
      </x:c>
      <x:c r="X185" s="8" t="n">
        <x:f>IFERROR(T185/F185,0)</x:f>
        <x:v>0.18021404527091756</x:v>
      </x:c>
      <x:c r="Y185" s="8" t="n">
        <x:f>IFERROR(T185/O185,0)</x:f>
        <x:v>0.10600826215869247</x:v>
      </x:c>
    </x:row>
    <x:row r="186">
      <x:c r="A186" t="str">
        <x:v>2025-04-01</x:v>
      </x:c>
      <x:c r="B186" t="n">
        <x:v>2025</x:v>
      </x:c>
      <x:c r="C186" t="str">
        <x:v>Q2</x:v>
      </x:c>
      <x:c r="D186" t="str">
        <x:v>SMB</x:v>
      </x:c>
      <x:c r="E186" t="str">
        <x:v>Central</x:v>
      </x:c>
      <x:c r="F186" s="6" t="n">
        <x:v>985395.78</x:v>
      </x:c>
      <x:c r="G186" s="6" t="n">
        <x:v>945850.52</x:v>
      </x:c>
      <x:c r="H186" s="6" t="n">
        <x:v>962353.46</x:v>
      </x:c>
      <x:c r="I186" s="6" t="n">
        <x:v>545099.63</x:v>
      </x:c>
      <x:c r="J186" s="6" t="n">
        <x:v>510759.28</x:v>
      </x:c>
      <x:c r="K186" s="6" t="n">
        <x:v>521595.58</x:v>
      </x:c>
      <x:c r="L186" s="6" t="n">
        <x:v>291689.28</x:v>
      </x:c>
      <x:c r="M186" s="6" t="n">
        <x:v>274296.65</x:v>
      </x:c>
      <x:c r="N186" s="6" t="n">
        <x:v>282931.92</x:v>
      </x:c>
      <x:c r="O186" s="6" t="n">
        <x:v>1675172.83</x:v>
      </x:c>
      <x:c r="P186" s="6" t="n">
        <x:v>117448.36</x:v>
      </x:c>
      <x:c r="Q186" s="6" t="n">
        <x:v>71</x:v>
      </x:c>
      <x:c r="R186" s="6" t="n">
        <x:f>F186-I186</x:f>
        <x:v>440296.15</x:v>
      </x:c>
      <x:c r="S186" s="6" t="n">
        <x:f>G186-J186</x:f>
        <x:v>435091.24</x:v>
      </x:c>
      <x:c r="T186" s="6" t="n">
        <x:f>R186-L186</x:f>
        <x:v>148606.87</x:v>
      </x:c>
      <x:c r="U186" s="6" t="n">
        <x:f>S186-M186</x:f>
        <x:v>160794.58999999997</x:v>
      </x:c>
      <x:c r="V186" s="6" t="n">
        <x:f>F186-G186</x:f>
        <x:v>39545.26000000001</x:v>
      </x:c>
      <x:c r="W186" s="8" t="n">
        <x:f>IFERROR(V186/G186,0)</x:f>
        <x:v>0.041809206807857976</x:v>
      </x:c>
      <x:c r="X186" s="8" t="n">
        <x:f>IFERROR(T186/F186,0)</x:f>
        <x:v>0.15080932252419427</x:v>
      </x:c>
      <x:c r="Y186" s="8" t="n">
        <x:f>IFERROR(T186/O186,0)</x:f>
        <x:v>0.08871136597887633</x:v>
      </x:c>
    </x:row>
    <x:row r="187">
      <x:c r="A187" t="str">
        <x:v>2025-04-01</x:v>
      </x:c>
      <x:c r="B187" t="n">
        <x:v>2025</x:v>
      </x:c>
      <x:c r="C187" t="str">
        <x:v>Q2</x:v>
      </x:c>
      <x:c r="D187" t="str">
        <x:v>SMB</x:v>
      </x:c>
      <x:c r="E187" t="str">
        <x:v>West</x:v>
      </x:c>
      <x:c r="F187" s="6" t="n">
        <x:v>987081.4</x:v>
      </x:c>
      <x:c r="G187" s="6" t="n">
        <x:v>1011070.17</x:v>
      </x:c>
      <x:c r="H187" s="6" t="n">
        <x:v>1025784.41</x:v>
      </x:c>
      <x:c r="I187" s="6" t="n">
        <x:v>526934.03</x:v>
      </x:c>
      <x:c r="J187" s="6" t="n">
        <x:v>545977.89</x:v>
      </x:c>
      <x:c r="K187" s="6" t="n">
        <x:v>555975.15</x:v>
      </x:c>
      <x:c r="L187" s="6" t="n">
        <x:v>277613.24</x:v>
      </x:c>
      <x:c r="M187" s="6" t="n">
        <x:v>293210.35</x:v>
      </x:c>
      <x:c r="N187" s="6" t="n">
        <x:v>301580.62</x:v>
      </x:c>
      <x:c r="O187" s="6" t="n">
        <x:v>1678038.38</x:v>
      </x:c>
      <x:c r="P187" s="6" t="n">
        <x:v>162286.48</x:v>
      </x:c>
      <x:c r="Q187" s="6" t="n">
        <x:v>76</x:v>
      </x:c>
      <x:c r="R187" s="6" t="n">
        <x:f>F187-I187</x:f>
        <x:v>460147.37</x:v>
      </x:c>
      <x:c r="S187" s="6" t="n">
        <x:f>G187-J187</x:f>
        <x:v>465092.28</x:v>
      </x:c>
      <x:c r="T187" s="6" t="n">
        <x:f>R187-L187</x:f>
        <x:v>182534.13</x:v>
      </x:c>
      <x:c r="U187" s="6" t="n">
        <x:f>S187-M187</x:f>
        <x:v>171881.93000000005</x:v>
      </x:c>
      <x:c r="V187" s="6" t="n">
        <x:f>F187-G187</x:f>
        <x:v>-23988.77000000002</x:v>
      </x:c>
      <x:c r="W187" s="8" t="n">
        <x:f>IFERROR(V187/G187,0)</x:f>
        <x:v>-0.02372611784204851</x:v>
      </x:c>
      <x:c r="X187" s="8" t="n">
        <x:f>IFERROR(T187/F187,0)</x:f>
        <x:v>0.18492307726596813</x:v>
      </x:c>
      <x:c r="Y187" s="8" t="n">
        <x:f>IFERROR(T187/O187,0)</x:f>
        <x:v>0.10877828074468715</x:v>
      </x:c>
    </x:row>
    <x:row r="188">
      <x:c r="A188" t="str">
        <x:v>2025-04-01</x:v>
      </x:c>
      <x:c r="B188" t="n">
        <x:v>2025</x:v>
      </x:c>
      <x:c r="C188" t="str">
        <x:v>Q2</x:v>
      </x:c>
      <x:c r="D188" t="str">
        <x:v>Digital</x:v>
      </x:c>
      <x:c r="E188" t="str">
        <x:v>East</x:v>
      </x:c>
      <x:c r="F188" s="6" t="n">
        <x:v>787145.33</x:v>
      </x:c>
      <x:c r="G188" s="6" t="n">
        <x:v>763284.62</x:v>
      </x:c>
      <x:c r="H188" s="6" t="n">
        <x:v>771554.43</x:v>
      </x:c>
      <x:c r="I188" s="6" t="n">
        <x:v>290446.99</x:v>
      </x:c>
      <x:c r="J188" s="6" t="n">
        <x:v>274782.46</x:v>
      </x:c>
      <x:c r="K188" s="6" t="n">
        <x:v>279302.7</x:v>
      </x:c>
      <x:c r="L188" s="6" t="n">
        <x:v>278141.47</x:v>
      </x:c>
      <x:c r="M188" s="6" t="n">
        <x:v>259516.77</x:v>
      </x:c>
      <x:c r="N188" s="6" t="n">
        <x:v>265414.72</x:v>
      </x:c>
      <x:c r="O188" s="6" t="n">
        <x:v>1102003.46</x:v>
      </x:c>
      <x:c r="P188" s="6" t="n">
        <x:v>199959.72</x:v>
      </x:c>
      <x:c r="Q188" s="6" t="n">
        <x:v>58</x:v>
      </x:c>
      <x:c r="R188" s="6" t="n">
        <x:f>F188-I188</x:f>
        <x:v>496698.33999999997</x:v>
      </x:c>
      <x:c r="S188" s="6" t="n">
        <x:f>G188-J188</x:f>
        <x:v>488502.16</x:v>
      </x:c>
      <x:c r="T188" s="6" t="n">
        <x:f>R188-L188</x:f>
        <x:v>218556.87</x:v>
      </x:c>
      <x:c r="U188" s="6" t="n">
        <x:f>S188-M188</x:f>
        <x:v>228985.38999999998</x:v>
      </x:c>
      <x:c r="V188" s="6" t="n">
        <x:f>F188-G188</x:f>
        <x:v>23860.709999999963</x:v>
      </x:c>
      <x:c r="W188" s="8" t="n">
        <x:f>IFERROR(V188/G188,0)</x:f>
        <x:v>0.031260566995310296</x:v>
      </x:c>
      <x:c r="X188" s="8" t="n">
        <x:f>IFERROR(T188/F188,0)</x:f>
        <x:v>0.27765758325721124</x:v>
      </x:c>
      <x:c r="Y188" s="8" t="n">
        <x:f>IFERROR(T188/O188,0)</x:f>
        <x:v>0.198326845543661</x:v>
      </x:c>
    </x:row>
    <x:row r="189">
      <x:c r="A189" t="str">
        <x:v>2025-04-01</x:v>
      </x:c>
      <x:c r="B189" t="n">
        <x:v>2025</x:v>
      </x:c>
      <x:c r="C189" t="str">
        <x:v>Q2</x:v>
      </x:c>
      <x:c r="D189" t="str">
        <x:v>Digital</x:v>
      </x:c>
      <x:c r="E189" t="str">
        <x:v>Central</x:v>
      </x:c>
      <x:c r="F189" s="6" t="n">
        <x:v>703930.03</x:v>
      </x:c>
      <x:c r="G189" s="6" t="n">
        <x:v>692600.93</x:v>
      </x:c>
      <x:c r="H189" s="6" t="n">
        <x:v>702242.94</x:v>
      </x:c>
      <x:c r="I189" s="6" t="n">
        <x:v>245448.15</x:v>
      </x:c>
      <x:c r="J189" s="6" t="n">
        <x:v>249336.33</x:v>
      </x:c>
      <x:c r="K189" s="6" t="n">
        <x:v>254211.95</x:v>
      </x:c>
      <x:c r="L189" s="6" t="n">
        <x:v>250509.36</x:v>
      </x:c>
      <x:c r="M189" s="6" t="n">
        <x:v>235484.31</x:v>
      </x:c>
      <x:c r="N189" s="6" t="n">
        <x:v>241571.57</x:v>
      </x:c>
      <x:c r="O189" s="6" t="n">
        <x:v>985502.04</x:v>
      </x:c>
      <x:c r="P189" s="6" t="n">
        <x:v>184241.22</x:v>
      </x:c>
      <x:c r="Q189" s="6" t="n">
        <x:v>52</x:v>
      </x:c>
      <x:c r="R189" s="6" t="n">
        <x:f>F189-I189</x:f>
        <x:v>458481.88</x:v>
      </x:c>
      <x:c r="S189" s="6" t="n">
        <x:f>G189-J189</x:f>
        <x:v>443264.6000000001</x:v>
      </x:c>
      <x:c r="T189" s="6" t="n">
        <x:f>R189-L189</x:f>
        <x:v>207972.52000000002</x:v>
      </x:c>
      <x:c r="U189" s="6" t="n">
        <x:f>S189-M189</x:f>
        <x:v>207780.2900000001</x:v>
      </x:c>
      <x:c r="V189" s="6" t="n">
        <x:f>F189-G189</x:f>
        <x:v>11329.099999999977</x:v>
      </x:c>
      <x:c r="W189" s="8" t="n">
        <x:f>IFERROR(V189/G189,0)</x:f>
        <x:v>0.01635732715519163</x:v>
      </x:c>
      <x:c r="X189" s="8" t="n">
        <x:f>IFERROR(T189/F189,0)</x:f>
        <x:v>0.2954448753947889</x:v>
      </x:c>
      <x:c r="Y189" s="8" t="n">
        <x:f>IFERROR(T189/O189,0)</x:f>
        <x:v>0.21103205428169383</x:v>
      </x:c>
    </x:row>
    <x:row r="190">
      <x:c r="A190" t="str">
        <x:v>2025-04-01</x:v>
      </x:c>
      <x:c r="B190" t="n">
        <x:v>2025</x:v>
      </x:c>
      <x:c r="C190" t="str">
        <x:v>Q2</x:v>
      </x:c>
      <x:c r="D190" t="str">
        <x:v>Digital</x:v>
      </x:c>
      <x:c r="E190" t="str">
        <x:v>West</x:v>
      </x:c>
      <x:c r="F190" s="6" t="n">
        <x:v>712259.84</x:v>
      </x:c>
      <x:c r="G190" s="6" t="n">
        <x:v>731993.2</x:v>
      </x:c>
      <x:c r="H190" s="6" t="n">
        <x:v>744159.98</x:v>
      </x:c>
      <x:c r="I190" s="6" t="n">
        <x:v>253588.43</x:v>
      </x:c>
      <x:c r="J190" s="6" t="n">
        <x:v>263517.55</x:v>
      </x:c>
      <x:c r="K190" s="6" t="n">
        <x:v>269385.91</x:v>
      </x:c>
      <x:c r="L190" s="6" t="n">
        <x:v>240882.53</x:v>
      </x:c>
      <x:c r="M190" s="6" t="n">
        <x:v>248877.69</x:v>
      </x:c>
      <x:c r="N190" s="6" t="n">
        <x:v>255991.03</x:v>
      </x:c>
      <x:c r="O190" s="6" t="n">
        <x:v>997163.77</x:v>
      </x:c>
      <x:c r="P190" s="6" t="n">
        <x:v>157073.94</x:v>
      </x:c>
      <x:c r="Q190" s="6" t="n">
        <x:v>55</x:v>
      </x:c>
      <x:c r="R190" s="6" t="n">
        <x:f>F190-I190</x:f>
        <x:v>458671.41</x:v>
      </x:c>
      <x:c r="S190" s="6" t="n">
        <x:f>G190-J190</x:f>
        <x:v>468475.64999999997</x:v>
      </x:c>
      <x:c r="T190" s="6" t="n">
        <x:f>R190-L190</x:f>
        <x:v>217788.87999999998</x:v>
      </x:c>
      <x:c r="U190" s="6" t="n">
        <x:f>S190-M190</x:f>
        <x:v>219597.95999999996</x:v>
      </x:c>
      <x:c r="V190" s="6" t="n">
        <x:f>F190-G190</x:f>
        <x:v>-19733.359999999986</x:v>
      </x:c>
      <x:c r="W190" s="8" t="n">
        <x:f>IFERROR(V190/G190,0)</x:f>
        <x:v>-0.026958392509657175</x:v>
      </x:c>
      <x:c r="X190" s="8" t="n">
        <x:f>IFERROR(T190/F190,0)</x:f>
        <x:v>0.3057716689459846</x:v>
      </x:c>
      <x:c r="Y190" s="8" t="n">
        <x:f>IFERROR(T190/O190,0)</x:f>
        <x:v>0.2184083362755949</x:v>
      </x:c>
    </x:row>
    <x:row r="191">
      <x:c r="A191" t="str">
        <x:v>2025-04-01</x:v>
      </x:c>
      <x:c r="B191" t="n">
        <x:v>2025</x:v>
      </x:c>
      <x:c r="C191" t="str">
        <x:v>Q2</x:v>
      </x:c>
      <x:c r="D191" t="str">
        <x:v>Services</x:v>
      </x:c>
      <x:c r="E191" t="str">
        <x:v>East</x:v>
      </x:c>
      <x:c r="F191" s="6" t="n">
        <x:v>577570.3</x:v>
      </x:c>
      <x:c r="G191" s="6" t="n">
        <x:v>570929.19</x:v>
      </x:c>
      <x:c r="H191" s="6" t="n">
        <x:v>572662.13</x:v>
      </x:c>
      <x:c r="I191" s="6" t="n">
        <x:v>237779.19</x:v>
      </x:c>
      <x:c r="J191" s="6" t="n">
        <x:v>239790.26</x:v>
      </x:c>
      <x:c r="K191" s="6" t="n">
        <x:v>241663.42</x:v>
      </x:c>
      <x:c r="L191" s="6" t="n">
        <x:v>183086.99</x:v>
      </x:c>
      <x:c r="M191" s="6" t="n">
        <x:v>176988.05</x:v>
      </x:c>
      <x:c r="N191" s="6" t="n">
        <x:v>179815.91</x:v>
      </x:c>
      <x:c r="O191" s="6" t="n">
        <x:v>924112.48</x:v>
      </x:c>
      <x:c r="P191" s="6" t="n">
        <x:v>113787.79</x:v>
      </x:c>
      <x:c r="Q191" s="6" t="n">
        <x:v>52</x:v>
      </x:c>
      <x:c r="R191" s="6" t="n">
        <x:f>F191-I191</x:f>
        <x:v>339791.11000000004</x:v>
      </x:c>
      <x:c r="S191" s="6" t="n">
        <x:f>G191-J191</x:f>
        <x:v>331138.92999999993</x:v>
      </x:c>
      <x:c r="T191" s="6" t="n">
        <x:f>R191-L191</x:f>
        <x:v>156704.12000000005</x:v>
      </x:c>
      <x:c r="U191" s="6" t="n">
        <x:f>S191-M191</x:f>
        <x:v>154150.87999999995</x:v>
      </x:c>
      <x:c r="V191" s="6" t="n">
        <x:f>F191-G191</x:f>
        <x:v>6641.110000000102</x:v>
      </x:c>
      <x:c r="W191" s="8" t="n">
        <x:f>IFERROR(V191/G191,0)</x:f>
        <x:v>0.01163210800274567</x:v>
      </x:c>
      <x:c r="X191" s="8" t="n">
        <x:f>IFERROR(T191/F191,0)</x:f>
        <x:v>0.2713160977979651</x:v>
      </x:c>
      <x:c r="Y191" s="8" t="n">
        <x:f>IFERROR(T191/O191,0)</x:f>
        <x:v>0.1695725611237282</x:v>
      </x:c>
    </x:row>
    <x:row r="192">
      <x:c r="A192" t="str">
        <x:v>2025-04-01</x:v>
      </x:c>
      <x:c r="B192" t="n">
        <x:v>2025</x:v>
      </x:c>
      <x:c r="C192" t="str">
        <x:v>Q2</x:v>
      </x:c>
      <x:c r="D192" t="str">
        <x:v>Services</x:v>
      </x:c>
      <x:c r="E192" t="str">
        <x:v>Central</x:v>
      </x:c>
      <x:c r="F192" s="6" t="n">
        <x:v>497280.45</x:v>
      </x:c>
      <x:c r="G192" s="6" t="n">
        <x:v>509240.85</x:v>
      </x:c>
      <x:c r="H192" s="6" t="n">
        <x:v>511223.05</x:v>
      </x:c>
      <x:c r="I192" s="6" t="n">
        <x:v>207297.97</x:v>
      </x:c>
      <x:c r="J192" s="6" t="n">
        <x:v>213881.16</x:v>
      </x:c>
      <x:c r="K192" s="6" t="n">
        <x:v>215736.13</x:v>
      </x:c>
      <x:c r="L192" s="6" t="n">
        <x:v>153710.18</x:v>
      </x:c>
      <x:c r="M192" s="6" t="n">
        <x:v>157864.66</x:v>
      </x:c>
      <x:c r="N192" s="6" t="n">
        <x:v>160524.04</x:v>
      </x:c>
      <x:c r="O192" s="6" t="n">
        <x:v>795648.73</x:v>
      </x:c>
      <x:c r="P192" s="6" t="n">
        <x:v>117782.77</x:v>
      </x:c>
      <x:c r="Q192" s="6" t="n">
        <x:v>47</x:v>
      </x:c>
      <x:c r="R192" s="6" t="n">
        <x:f>F192-I192</x:f>
        <x:v>289982.48</x:v>
      </x:c>
      <x:c r="S192" s="6" t="n">
        <x:f>G192-J192</x:f>
        <x:v>295359.68999999994</x:v>
      </x:c>
      <x:c r="T192" s="6" t="n">
        <x:f>R192-L192</x:f>
        <x:v>136272.3</x:v>
      </x:c>
      <x:c r="U192" s="6" t="n">
        <x:f>S192-M192</x:f>
        <x:v>137495.02999999994</x:v>
      </x:c>
      <x:c r="V192" s="6" t="n">
        <x:f>F192-G192</x:f>
        <x:v>-11960.399999999965</x:v>
      </x:c>
      <x:c r="W192" s="8" t="n">
        <x:f>IFERROR(V192/G192,0)</x:f>
        <x:v>-0.02348672538740748</x:v>
      </x:c>
      <x:c r="X192" s="8" t="n">
        <x:f>IFERROR(T192/F192,0)</x:f>
        <x:v>0.2740351043359939</x:v>
      </x:c>
      <x:c r="Y192" s="8" t="n">
        <x:f>IFERROR(T192/O192,0)</x:f>
        <x:v>0.17127193805738872</x:v>
      </x:c>
    </x:row>
    <x:row r="193">
      <x:c r="A193" t="str">
        <x:v>2025-04-01</x:v>
      </x:c>
      <x:c r="B193" t="n">
        <x:v>2025</x:v>
      </x:c>
      <x:c r="C193" t="str">
        <x:v>Q2</x:v>
      </x:c>
      <x:c r="D193" t="str">
        <x:v>Services</x:v>
      </x:c>
      <x:c r="E193" t="str">
        <x:v>West</x:v>
      </x:c>
      <x:c r="F193" s="6" t="n">
        <x:v>554103.84</x:v>
      </x:c>
      <x:c r="G193" s="6" t="n">
        <x:v>547663.67</x:v>
      </x:c>
      <x:c r="H193" s="6" t="n">
        <x:v>541542.47</x:v>
      </x:c>
      <x:c r="I193" s="6" t="n">
        <x:v>226832.29</x:v>
      </x:c>
      <x:c r="J193" s="6" t="n">
        <x:v>230018.74</x:v>
      </x:c>
      <x:c r="K193" s="6" t="n">
        <x:v>228530.92</x:v>
      </x:c>
      <x:c r="L193" s="6" t="n">
        <x:v>167739.59</x:v>
      </x:c>
      <x:c r="M193" s="6" t="n">
        <x:v>169775.74</x:v>
      </x:c>
      <x:c r="N193" s="6" t="n">
        <x:v>170044.34</x:v>
      </x:c>
      <x:c r="O193" s="6" t="n">
        <x:v>886566.15</x:v>
      </x:c>
      <x:c r="P193" s="6" t="n">
        <x:v>134576</x:v>
      </x:c>
      <x:c r="Q193" s="6" t="n">
        <x:v>50</x:v>
      </x:c>
      <x:c r="R193" s="6" t="n">
        <x:f>F193-I193</x:f>
        <x:v>327271.54999999993</x:v>
      </x:c>
      <x:c r="S193" s="6" t="n">
        <x:f>G193-J193</x:f>
        <x:v>317644.93000000005</x:v>
      </x:c>
      <x:c r="T193" s="6" t="n">
        <x:f>R193-L193</x:f>
        <x:v>159531.95999999993</x:v>
      </x:c>
      <x:c r="U193" s="6" t="n">
        <x:f>S193-M193</x:f>
        <x:v>147869.19000000006</x:v>
      </x:c>
      <x:c r="V193" s="6" t="n">
        <x:f>F193-G193</x:f>
        <x:v>6440.1699999999255</x:v>
      </x:c>
      <x:c r="W193" s="8" t="n">
        <x:f>IFERROR(V193/G193,0)</x:f>
        <x:v>0.01175935223163502</x:v>
      </x:c>
      <x:c r="X193" s="8" t="n">
        <x:f>IFERROR(T193/F193,0)</x:f>
        <x:v>0.2879098618049641</x:v>
      </x:c>
      <x:c r="Y193" s="8" t="n">
        <x:f>IFERROR(T193/O193,0)</x:f>
        <x:v>0.1799436624103006</x:v>
      </x:c>
    </x:row>
    <x:row r="194">
      <x:c r="A194" t="str">
        <x:v>2025-05-01</x:v>
      </x:c>
      <x:c r="B194" t="n">
        <x:v>2025</x:v>
      </x:c>
      <x:c r="C194" t="str">
        <x:v>Q2</x:v>
      </x:c>
      <x:c r="D194" t="str">
        <x:v>Enterprise</x:v>
      </x:c>
      <x:c r="E194" t="str">
        <x:v>East</x:v>
      </x:c>
      <x:c r="F194" s="6" t="n">
        <x:v>1791119.49</x:v>
      </x:c>
      <x:c r="G194" s="6" t="n">
        <x:v>1823560.11</x:v>
      </x:c>
      <x:c r="H194" s="6" t="n">
        <x:v>1850525.53</x:v>
      </x:c>
      <x:c r="I194" s="6" t="n">
        <x:v>860860.75</x:v>
      </x:c>
      <x:c r="J194" s="6" t="n">
        <x:v>875308.85</x:v>
      </x:c>
      <x:c r="K194" s="6" t="n">
        <x:v>891953.31</x:v>
      </x:c>
      <x:c r="L194" s="6" t="n">
        <x:v>485861.45</x:v>
      </x:c>
      <x:c r="M194" s="6" t="n">
        <x:v>492361.23</x:v>
      </x:c>
      <x:c r="N194" s="6" t="n">
        <x:v>507044</x:v>
      </x:c>
      <x:c r="O194" s="6" t="n">
        <x:v>3761350.93</x:v>
      </x:c>
      <x:c r="P194" s="6" t="n">
        <x:v>344244.97</x:v>
      </x:c>
      <x:c r="Q194" s="6" t="n">
        <x:v>112</x:v>
      </x:c>
      <x:c r="R194" s="6" t="n">
        <x:f>F194-I194</x:f>
        <x:v>930258.74</x:v>
      </x:c>
      <x:c r="S194" s="6" t="n">
        <x:f>G194-J194</x:f>
        <x:v>948251.2600000001</x:v>
      </x:c>
      <x:c r="T194" s="6" t="n">
        <x:f>R194-L194</x:f>
        <x:v>444397.29</x:v>
      </x:c>
      <x:c r="U194" s="6" t="n">
        <x:f>S194-M194</x:f>
        <x:v>455890.03000000014</x:v>
      </x:c>
      <x:c r="V194" s="6" t="n">
        <x:f>F194-G194</x:f>
        <x:v>-32440.62000000011</x:v>
      </x:c>
      <x:c r="W194" s="8" t="n">
        <x:f>IFERROR(V194/G194,0)</x:f>
        <x:v>-0.01778971793806134</x:v>
      </x:c>
      <x:c r="X194" s="8" t="n">
        <x:f>IFERROR(T194/F194,0)</x:f>
        <x:v>0.248111470217992</x:v>
      </x:c>
      <x:c r="Y194" s="8" t="n">
        <x:f>IFERROR(T194/O194,0)</x:f>
        <x:v>0.11814831912001361</x:v>
      </x:c>
    </x:row>
    <x:row r="195">
      <x:c r="A195" t="str">
        <x:v>2025-05-01</x:v>
      </x:c>
      <x:c r="B195" t="n">
        <x:v>2025</x:v>
      </x:c>
      <x:c r="C195" t="str">
        <x:v>Q2</x:v>
      </x:c>
      <x:c r="D195" t="str">
        <x:v>Enterprise</x:v>
      </x:c>
      <x:c r="E195" t="str">
        <x:v>Central</x:v>
      </x:c>
      <x:c r="F195" s="6" t="n">
        <x:v>1581450.55</x:v>
      </x:c>
      <x:c r="G195" s="6" t="n">
        <x:v>1636465.66</x:v>
      </x:c>
      <x:c r="H195" s="6" t="n">
        <x:v>1643577.92</x:v>
      </x:c>
      <x:c r="I195" s="6" t="n">
        <x:v>751765.3</x:v>
      </x:c>
      <x:c r="J195" s="6" t="n">
        <x:v>785503.52</x:v>
      </x:c>
      <x:c r="K195" s="6" t="n">
        <x:v>792204.56</x:v>
      </x:c>
      <x:c r="L195" s="6" t="n">
        <x:v>440204.02</x:v>
      </x:c>
      <x:c r="M195" s="6" t="n">
        <x:v>441845.73</x:v>
      </x:c>
      <x:c r="N195" s="6" t="n">
        <x:v>450340.35</x:v>
      </x:c>
      <x:c r="O195" s="6" t="n">
        <x:v>3321046.15</x:v>
      </x:c>
      <x:c r="P195" s="6" t="n">
        <x:v>318333.35</x:v>
      </x:c>
      <x:c r="Q195" s="6" t="n">
        <x:v>101</x:v>
      </x:c>
      <x:c r="R195" s="6" t="n">
        <x:f>F195-I195</x:f>
        <x:v>829685.25</x:v>
      </x:c>
      <x:c r="S195" s="6" t="n">
        <x:f>G195-J195</x:f>
        <x:v>850962.1399999999</x:v>
      </x:c>
      <x:c r="T195" s="6" t="n">
        <x:f>R195-L195</x:f>
        <x:v>389481.23</x:v>
      </x:c>
      <x:c r="U195" s="6" t="n">
        <x:f>S195-M195</x:f>
        <x:v>409116.4099999999</x:v>
      </x:c>
      <x:c r="V195" s="6" t="n">
        <x:f>F195-G195</x:f>
        <x:v>-55015.10999999987</x:v>
      </x:c>
      <x:c r="W195" s="8" t="n">
        <x:f>IFERROR(V195/G195,0)</x:f>
        <x:v>-0.03361824897688343</x:v>
      </x:c>
      <x:c r="X195" s="8" t="n">
        <x:f>IFERROR(T195/F195,0)</x:f>
        <x:v>0.24628100448667203</x:v>
      </x:c>
      <x:c r="Y195" s="8" t="n">
        <x:f>IFERROR(T195/O195,0)</x:f>
        <x:v>0.11727666897974302</x:v>
      </x:c>
    </x:row>
    <x:row r="196">
      <x:c r="A196" t="str">
        <x:v>2025-05-01</x:v>
      </x:c>
      <x:c r="B196" t="n">
        <x:v>2025</x:v>
      </x:c>
      <x:c r="C196" t="str">
        <x:v>Q2</x:v>
      </x:c>
      <x:c r="D196" t="str">
        <x:v>Enterprise</x:v>
      </x:c>
      <x:c r="E196" t="str">
        <x:v>West</x:v>
      </x:c>
      <x:c r="F196" s="6" t="n">
        <x:v>1682780.28</x:v>
      </x:c>
      <x:c r="G196" s="6" t="n">
        <x:v>1753733.28</x:v>
      </x:c>
      <x:c r="H196" s="6" t="n">
        <x:v>1758620.68</x:v>
      </x:c>
      <x:c r="I196" s="6" t="n">
        <x:v>813763.01</x:v>
      </x:c>
      <x:c r="J196" s="6" t="n">
        <x:v>841791.98</x:v>
      </x:c>
      <x:c r="K196" s="6" t="n">
        <x:v>847655.17</x:v>
      </x:c>
      <x:c r="L196" s="6" t="n">
        <x:v>434545.38</x:v>
      </x:c>
      <x:c r="M196" s="6" t="n">
        <x:v>473507.99</x:v>
      </x:c>
      <x:c r="N196" s="6" t="n">
        <x:v>481862.07</x:v>
      </x:c>
      <x:c r="O196" s="6" t="n">
        <x:v>3533838.58</x:v>
      </x:c>
      <x:c r="P196" s="6" t="n">
        <x:v>339011.41</x:v>
      </x:c>
      <x:c r="Q196" s="6" t="n">
        <x:v>108</x:v>
      </x:c>
      <x:c r="R196" s="6" t="n">
        <x:f>F196-I196</x:f>
        <x:v>869017.27</x:v>
      </x:c>
      <x:c r="S196" s="6" t="n">
        <x:f>G196-J196</x:f>
        <x:v>911941.3</x:v>
      </x:c>
      <x:c r="T196" s="6" t="n">
        <x:f>R196-L196</x:f>
        <x:v>434471.89</x:v>
      </x:c>
      <x:c r="U196" s="6" t="n">
        <x:f>S196-M196</x:f>
        <x:v>438433.31000000006</x:v>
      </x:c>
      <x:c r="V196" s="6" t="n">
        <x:f>F196-G196</x:f>
        <x:v>-70953</x:v>
      </x:c>
      <x:c r="W196" s="8" t="n">
        <x:f>IFERROR(V196/G196,0)</x:f>
        <x:v>-0.04045826170328478</x:v>
      </x:c>
      <x:c r="X196" s="8" t="n">
        <x:f>IFERROR(T196/F196,0)</x:f>
        <x:v>0.2581869392954855</x:v>
      </x:c>
      <x:c r="Y196" s="8" t="n">
        <x:f>IFERROR(T196/O196,0)</x:f>
        <x:v>0.12294616184760765</x:v>
      </x:c>
    </x:row>
    <x:row r="197">
      <x:c r="A197" t="str">
        <x:v>2025-05-01</x:v>
      </x:c>
      <x:c r="B197" t="n">
        <x:v>2025</x:v>
      </x:c>
      <x:c r="C197" t="str">
        <x:v>Q2</x:v>
      </x:c>
      <x:c r="D197" t="str">
        <x:v>SMB</x:v>
      </x:c>
      <x:c r="E197" t="str">
        <x:v>East</x:v>
      </x:c>
      <x:c r="F197" s="6" t="n">
        <x:v>1006563.9</x:v>
      </x:c>
      <x:c r="G197" s="6" t="n">
        <x:v>1039062.15</x:v>
      </x:c>
      <x:c r="H197" s="6" t="n">
        <x:v>1035423.75</x:v>
      </x:c>
      <x:c r="I197" s="6" t="n">
        <x:v>540052.92</x:v>
      </x:c>
      <x:c r="J197" s="6" t="n">
        <x:v>561093.56</x:v>
      </x:c>
      <x:c r="K197" s="6" t="n">
        <x:v>561199.67</x:v>
      </x:c>
      <x:c r="L197" s="6" t="n">
        <x:v>280058.18</x:v>
      </x:c>
      <x:c r="M197" s="6" t="n">
        <x:v>301328.02</x:v>
      </x:c>
      <x:c r="N197" s="6" t="n">
        <x:v>304414.58</x:v>
      </x:c>
      <x:c r="O197" s="6" t="n">
        <x:v>1711158.64</x:v>
      </x:c>
      <x:c r="P197" s="6" t="n">
        <x:v>162102.59</x:v>
      </x:c>
      <x:c r="Q197" s="6" t="n">
        <x:v>80</x:v>
      </x:c>
      <x:c r="R197" s="6" t="n">
        <x:f>F197-I197</x:f>
        <x:v>466510.98</x:v>
      </x:c>
      <x:c r="S197" s="6" t="n">
        <x:f>G197-J197</x:f>
        <x:v>477968.58999999997</x:v>
      </x:c>
      <x:c r="T197" s="6" t="n">
        <x:f>R197-L197</x:f>
        <x:v>186452.8</x:v>
      </x:c>
      <x:c r="U197" s="6" t="n">
        <x:f>S197-M197</x:f>
        <x:v>176640.56999999995</x:v>
      </x:c>
      <x:c r="V197" s="6" t="n">
        <x:f>F197-G197</x:f>
        <x:v>-32498.25</x:v>
      </x:c>
      <x:c r="W197" s="8" t="n">
        <x:f>IFERROR(V197/G197,0)</x:f>
        <x:v>-0.03127652181344494</x:v>
      </x:c>
      <x:c r="X197" s="8" t="n">
        <x:f>IFERROR(T197/F197,0)</x:f>
        <x:v>0.18523692335876538</x:v>
      </x:c>
      <x:c r="Y197" s="8" t="n">
        <x:f>IFERROR(T197/O197,0)</x:f>
        <x:v>0.10896289545661296</x:v>
      </x:c>
    </x:row>
    <x:row r="198">
      <x:c r="A198" t="str">
        <x:v>2025-05-01</x:v>
      </x:c>
      <x:c r="B198" t="n">
        <x:v>2025</x:v>
      </x:c>
      <x:c r="C198" t="str">
        <x:v>Q2</x:v>
      </x:c>
      <x:c r="D198" t="str">
        <x:v>SMB</x:v>
      </x:c>
      <x:c r="E198" t="str">
        <x:v>Central</x:v>
      </x:c>
      <x:c r="F198" s="6" t="n">
        <x:v>922722.41</x:v>
      </x:c>
      <x:c r="G198" s="6" t="n">
        <x:v>929207.59</x:v>
      </x:c>
      <x:c r="H198" s="6" t="n">
        <x:v>944693.03</x:v>
      </x:c>
      <x:c r="I198" s="6" t="n">
        <x:v>499199.12</x:v>
      </x:c>
      <x:c r="J198" s="6" t="n">
        <x:v>501772.1</x:v>
      </x:c>
      <x:c r="K198" s="6" t="n">
        <x:v>512023.62</x:v>
      </x:c>
      <x:c r="L198" s="6" t="n">
        <x:v>279585.47</x:v>
      </x:c>
      <x:c r="M198" s="6" t="n">
        <x:v>269470.2</x:v>
      </x:c>
      <x:c r="N198" s="6" t="n">
        <x:v>277739.75</x:v>
      </x:c>
      <x:c r="O198" s="6" t="n">
        <x:v>1568628.1</x:v>
      </x:c>
      <x:c r="P198" s="6" t="n">
        <x:v>126843.77</x:v>
      </x:c>
      <x:c r="Q198" s="6" t="n">
        <x:v>71</x:v>
      </x:c>
      <x:c r="R198" s="6" t="n">
        <x:f>F198-I198</x:f>
        <x:v>423523.29000000004</x:v>
      </x:c>
      <x:c r="S198" s="6" t="n">
        <x:f>G198-J198</x:f>
        <x:v>427435.49</x:v>
      </x:c>
      <x:c r="T198" s="6" t="n">
        <x:f>R198-L198</x:f>
        <x:v>143937.82000000007</x:v>
      </x:c>
      <x:c r="U198" s="6" t="n">
        <x:f>S198-M198</x:f>
        <x:v>157965.28999999998</x:v>
      </x:c>
      <x:c r="V198" s="6" t="n">
        <x:f>F198-G198</x:f>
        <x:v>-6485.179999999935</x:v>
      </x:c>
      <x:c r="W198" s="8" t="n">
        <x:f>IFERROR(V198/G198,0)</x:f>
        <x:v>-0.006979258531454672</x:v>
      </x:c>
      <x:c r="X198" s="8" t="n">
        <x:f>IFERROR(T198/F198,0)</x:f>
        <x:v>0.155992548181419</x:v>
      </x:c>
      <x:c r="Y198" s="8" t="n">
        <x:f>IFERROR(T198/O198,0)</x:f>
        <x:v>0.0917603222841667</x:v>
      </x:c>
    </x:row>
    <x:row r="199">
      <x:c r="A199" t="str">
        <x:v>2025-05-01</x:v>
      </x:c>
      <x:c r="B199" t="n">
        <x:v>2025</x:v>
      </x:c>
      <x:c r="C199" t="str">
        <x:v>Q2</x:v>
      </x:c>
      <x:c r="D199" t="str">
        <x:v>SMB</x:v>
      </x:c>
      <x:c r="E199" t="str">
        <x:v>West</x:v>
      </x:c>
      <x:c r="F199" s="6" t="n">
        <x:v>1036251.45</x:v>
      </x:c>
      <x:c r="G199" s="6" t="n">
        <x:v>995269.79</x:v>
      </x:c>
      <x:c r="H199" s="6" t="n">
        <x:v>982235.34</x:v>
      </x:c>
      <x:c r="I199" s="6" t="n">
        <x:v>547645.71</x:v>
      </x:c>
      <x:c r="J199" s="6" t="n">
        <x:v>537445.69</x:v>
      </x:c>
      <x:c r="K199" s="6" t="n">
        <x:v>532371.56</x:v>
      </x:c>
      <x:c r="L199" s="6" t="n">
        <x:v>316714.58</x:v>
      </x:c>
      <x:c r="M199" s="6" t="n">
        <x:v>288628.24</x:v>
      </x:c>
      <x:c r="N199" s="6" t="n">
        <x:v>288777.19</x:v>
      </x:c>
      <x:c r="O199" s="6" t="n">
        <x:v>1761627.47</x:v>
      </x:c>
      <x:c r="P199" s="6" t="n">
        <x:v>153399.45</x:v>
      </x:c>
      <x:c r="Q199" s="6" t="n">
        <x:v>77</x:v>
      </x:c>
      <x:c r="R199" s="6" t="n">
        <x:f>F199-I199</x:f>
        <x:v>488605.74</x:v>
      </x:c>
      <x:c r="S199" s="6" t="n">
        <x:f>G199-J199</x:f>
        <x:v>457824.1000000001</x:v>
      </x:c>
      <x:c r="T199" s="6" t="n">
        <x:f>R199-L199</x:f>
        <x:v>171891.15999999997</x:v>
      </x:c>
      <x:c r="U199" s="6" t="n">
        <x:f>S199-M199</x:f>
        <x:v>169195.8600000001</x:v>
      </x:c>
      <x:c r="V199" s="6" t="n">
        <x:f>F199-G199</x:f>
        <x:v>40981.659999999916</x:v>
      </x:c>
      <x:c r="W199" s="8" t="n">
        <x:f>IFERROR(V199/G199,0)</x:f>
        <x:v>0.041176433175973234</x:v>
      </x:c>
      <x:c r="X199" s="8" t="n">
        <x:f>IFERROR(T199/F199,0)</x:f>
        <x:v>0.16587784750506257</x:v>
      </x:c>
      <x:c r="Y199" s="8" t="n">
        <x:f>IFERROR(T199/O199,0)</x:f>
        <x:v>0.0975752041377965</x:v>
      </x:c>
    </x:row>
    <x:row r="200">
      <x:c r="A200" t="str">
        <x:v>2025-05-01</x:v>
      </x:c>
      <x:c r="B200" t="n">
        <x:v>2025</x:v>
      </x:c>
      <x:c r="C200" t="str">
        <x:v>Q2</x:v>
      </x:c>
      <x:c r="D200" t="str">
        <x:v>Digital</x:v>
      </x:c>
      <x:c r="E200" t="str">
        <x:v>East</x:v>
      </x:c>
      <x:c r="F200" s="6" t="n">
        <x:v>777164.17</x:v>
      </x:c>
      <x:c r="G200" s="6" t="n">
        <x:v>767690.89</x:v>
      </x:c>
      <x:c r="H200" s="6" t="n">
        <x:v>780685.94</x:v>
      </x:c>
      <x:c r="I200" s="6" t="n">
        <x:v>278893.17</x:v>
      </x:c>
      <x:c r="J200" s="6" t="n">
        <x:v>276368.72</x:v>
      </x:c>
      <x:c r="K200" s="6" t="n">
        <x:v>282608.31</x:v>
      </x:c>
      <x:c r="L200" s="6" t="n">
        <x:v>257595.11</x:v>
      </x:c>
      <x:c r="M200" s="6" t="n">
        <x:v>261014.9</x:v>
      </x:c>
      <x:c r="N200" s="6" t="n">
        <x:v>268555.96</x:v>
      </x:c>
      <x:c r="O200" s="6" t="n">
        <x:v>1088029.84</x:v>
      </x:c>
      <x:c r="P200" s="6" t="n">
        <x:v>174290.58</x:v>
      </x:c>
      <x:c r="Q200" s="6" t="n">
        <x:v>58</x:v>
      </x:c>
      <x:c r="R200" s="6" t="n">
        <x:f>F200-I200</x:f>
        <x:v>498271.00000000006</x:v>
      </x:c>
      <x:c r="S200" s="6" t="n">
        <x:f>G200-J200</x:f>
        <x:v>491322.17000000004</x:v>
      </x:c>
      <x:c r="T200" s="6" t="n">
        <x:f>R200-L200</x:f>
        <x:v>240675.89000000007</x:v>
      </x:c>
      <x:c r="U200" s="6" t="n">
        <x:f>S200-M200</x:f>
        <x:v>230307.27000000005</x:v>
      </x:c>
      <x:c r="V200" s="6" t="n">
        <x:f>F200-G200</x:f>
        <x:v>9473.280000000028</x:v>
      </x:c>
      <x:c r="W200" s="8" t="n">
        <x:f>IFERROR(V200/G200,0)</x:f>
        <x:v>0.012339966675910441</x:v>
      </x:c>
      <x:c r="X200" s="8" t="n">
        <x:f>IFERROR(T200/F200,0)</x:f>
        <x:v>0.3096847478184694</x:v>
      </x:c>
      <x:c r="Y200" s="8" t="n">
        <x:f>IFERROR(T200/O200,0)</x:f>
        <x:v>0.22120339089229396</x:v>
      </x:c>
    </x:row>
    <x:row r="201">
      <x:c r="A201" t="str">
        <x:v>2025-05-01</x:v>
      </x:c>
      <x:c r="B201" t="n">
        <x:v>2025</x:v>
      </x:c>
      <x:c r="C201" t="str">
        <x:v>Q2</x:v>
      </x:c>
      <x:c r="D201" t="str">
        <x:v>Digital</x:v>
      </x:c>
      <x:c r="E201" t="str">
        <x:v>Central</x:v>
      </x:c>
      <x:c r="F201" s="6" t="n">
        <x:v>706066.73</x:v>
      </x:c>
      <x:c r="G201" s="6" t="n">
        <x:v>682102.94</x:v>
      </x:c>
      <x:c r="H201" s="6" t="n">
        <x:v>690844.52</x:v>
      </x:c>
      <x:c r="I201" s="6" t="n">
        <x:v>260985.33</x:v>
      </x:c>
      <x:c r="J201" s="6" t="n">
        <x:v>245557.06</x:v>
      </x:c>
      <x:c r="K201" s="6" t="n">
        <x:v>250085.72</x:v>
      </x:c>
      <x:c r="L201" s="6" t="n">
        <x:v>251072.45</x:v>
      </x:c>
      <x:c r="M201" s="6" t="n">
        <x:v>231915</x:v>
      </x:c>
      <x:c r="N201" s="6" t="n">
        <x:v>237650.52</x:v>
      </x:c>
      <x:c r="O201" s="6" t="n">
        <x:v>988493.42</x:v>
      </x:c>
      <x:c r="P201" s="6" t="n">
        <x:v>143106.04</x:v>
      </x:c>
      <x:c r="Q201" s="6" t="n">
        <x:v>52</x:v>
      </x:c>
      <x:c r="R201" s="6" t="n">
        <x:f>F201-I201</x:f>
        <x:v>445081.4</x:v>
      </x:c>
      <x:c r="S201" s="6" t="n">
        <x:f>G201-J201</x:f>
        <x:v>436545.87999999995</x:v>
      </x:c>
      <x:c r="T201" s="6" t="n">
        <x:f>R201-L201</x:f>
        <x:v>194008.95</x:v>
      </x:c>
      <x:c r="U201" s="6" t="n">
        <x:f>S201-M201</x:f>
        <x:v>204630.87999999995</x:v>
      </x:c>
      <x:c r="V201" s="6" t="n">
        <x:f>F201-G201</x:f>
        <x:v>23963.790000000037</x:v>
      </x:c>
      <x:c r="W201" s="8" t="n">
        <x:f>IFERROR(V201/G201,0)</x:f>
        <x:v>0.03513221919260462</x:v>
      </x:c>
      <x:c r="X201" s="8" t="n">
        <x:f>IFERROR(T201/F201,0)</x:f>
        <x:v>0.2747742412392098</x:v>
      </x:c>
      <x:c r="Y201" s="8" t="n">
        <x:f>IFERROR(T201/O201,0)</x:f>
        <x:v>0.1962673155679681</x:v>
      </x:c>
    </x:row>
    <x:row r="202">
      <x:c r="A202" t="str">
        <x:v>2025-05-01</x:v>
      </x:c>
      <x:c r="B202" t="n">
        <x:v>2025</x:v>
      </x:c>
      <x:c r="C202" t="str">
        <x:v>Q2</x:v>
      </x:c>
      <x:c r="D202" t="str">
        <x:v>Digital</x:v>
      </x:c>
      <x:c r="E202" t="str">
        <x:v>West</x:v>
      </x:c>
      <x:c r="F202" s="6" t="n">
        <x:v>728999.98</x:v>
      </x:c>
      <x:c r="G202" s="6" t="n">
        <x:v>744385.19</x:v>
      </x:c>
      <x:c r="H202" s="6" t="n">
        <x:v>752945.03</x:v>
      </x:c>
      <x:c r="I202" s="6" t="n">
        <x:v>263623.18</x:v>
      </x:c>
      <x:c r="J202" s="6" t="n">
        <x:v>267978.67</x:v>
      </x:c>
      <x:c r="K202" s="6" t="n">
        <x:v>272566.1</x:v>
      </x:c>
      <x:c r="L202" s="6" t="n">
        <x:v>247767.41</x:v>
      </x:c>
      <x:c r="M202" s="6" t="n">
        <x:v>253090.97</x:v>
      </x:c>
      <x:c r="N202" s="6" t="n">
        <x:v>259013.09</x:v>
      </x:c>
      <x:c r="O202" s="6" t="n">
        <x:v>1020599.97</x:v>
      </x:c>
      <x:c r="P202" s="6" t="n">
        <x:v>170182.49</x:v>
      </x:c>
      <x:c r="Q202" s="6" t="n">
        <x:v>56</x:v>
      </x:c>
      <x:c r="R202" s="6" t="n">
        <x:f>F202-I202</x:f>
        <x:v>465376.8</x:v>
      </x:c>
      <x:c r="S202" s="6" t="n">
        <x:f>G202-J202</x:f>
        <x:v>476406.51999999996</x:v>
      </x:c>
      <x:c r="T202" s="6" t="n">
        <x:f>R202-L202</x:f>
        <x:v>217609.38999999998</x:v>
      </x:c>
      <x:c r="U202" s="6" t="n">
        <x:f>S202-M202</x:f>
        <x:v>223315.54999999996</x:v>
      </x:c>
      <x:c r="V202" s="6" t="n">
        <x:f>F202-G202</x:f>
        <x:v>-15385.209999999963</x:v>
      </x:c>
      <x:c r="W202" s="8" t="n">
        <x:f>IFERROR(V202/G202,0)</x:f>
        <x:v>-0.020668345107725698</x:v>
      </x:c>
      <x:c r="X202" s="8" t="n">
        <x:f>IFERROR(T202/F202,0)</x:f>
        <x:v>0.2985039725241145</x:v>
      </x:c>
      <x:c r="Y202" s="8" t="n">
        <x:f>IFERROR(T202/O202,0)</x:f>
        <x:v>0.21321712364933734</x:v>
      </x:c>
    </x:row>
    <x:row r="203">
      <x:c r="A203" t="str">
        <x:v>2025-05-01</x:v>
      </x:c>
      <x:c r="B203" t="n">
        <x:v>2025</x:v>
      </x:c>
      <x:c r="C203" t="str">
        <x:v>Q2</x:v>
      </x:c>
      <x:c r="D203" t="str">
        <x:v>Services</x:v>
      </x:c>
      <x:c r="E203" t="str">
        <x:v>East</x:v>
      </x:c>
      <x:c r="F203" s="6" t="n">
        <x:v>555099.32</x:v>
      </x:c>
      <x:c r="G203" s="6" t="n">
        <x:v>561666.97</x:v>
      </x:c>
      <x:c r="H203" s="6" t="n">
        <x:v>557491.52</x:v>
      </x:c>
      <x:c r="I203" s="6" t="n">
        <x:v>233848.11</x:v>
      </x:c>
      <x:c r="J203" s="6" t="n">
        <x:v>235900.13</x:v>
      </x:c>
      <x:c r="K203" s="6" t="n">
        <x:v>235261.42</x:v>
      </x:c>
      <x:c r="L203" s="6" t="n">
        <x:v>167318.48</x:v>
      </x:c>
      <x:c r="M203" s="6" t="n">
        <x:v>174116.76</x:v>
      </x:c>
      <x:c r="N203" s="6" t="n">
        <x:v>175052.34</x:v>
      </x:c>
      <x:c r="O203" s="6" t="n">
        <x:v>888158.91</x:v>
      </x:c>
      <x:c r="P203" s="6" t="n">
        <x:v>126531.22</x:v>
      </x:c>
      <x:c r="Q203" s="6" t="n">
        <x:v>52</x:v>
      </x:c>
      <x:c r="R203" s="6" t="n">
        <x:f>F203-I203</x:f>
        <x:v>321251.20999999996</x:v>
      </x:c>
      <x:c r="S203" s="6" t="n">
        <x:f>G203-J203</x:f>
        <x:v>325766.83999999997</x:v>
      </x:c>
      <x:c r="T203" s="6" t="n">
        <x:f>R203-L203</x:f>
        <x:v>153932.72999999995</x:v>
      </x:c>
      <x:c r="U203" s="6" t="n">
        <x:f>S203-M203</x:f>
        <x:v>151650.07999999996</x:v>
      </x:c>
      <x:c r="V203" s="6" t="n">
        <x:f>F203-G203</x:f>
        <x:v>-6567.650000000023</x:v>
      </x:c>
      <x:c r="W203" s="8" t="n">
        <x:f>IFERROR(V203/G203,0)</x:f>
        <x:v>-0.011693139085604452</x:v>
      </x:c>
      <x:c r="X203" s="8" t="n">
        <x:f>IFERROR(T203/F203,0)</x:f>
        <x:v>0.2773066448721284</x:v>
      </x:c>
      <x:c r="Y203" s="8" t="n">
        <x:f>IFERROR(T203/O203,0)</x:f>
        <x:v>0.1733166534353632</x:v>
      </x:c>
    </x:row>
    <x:row r="204">
      <x:c r="A204" t="str">
        <x:v>2025-05-01</x:v>
      </x:c>
      <x:c r="B204" t="n">
        <x:v>2025</x:v>
      </x:c>
      <x:c r="C204" t="str">
        <x:v>Q2</x:v>
      </x:c>
      <x:c r="D204" t="str">
        <x:v>Services</x:v>
      </x:c>
      <x:c r="E204" t="str">
        <x:v>Central</x:v>
      </x:c>
      <x:c r="F204" s="6" t="n">
        <x:v>506265.1</x:v>
      </x:c>
      <x:c r="G204" s="6" t="n">
        <x:v>511411.16</x:v>
      </x:c>
      <x:c r="H204" s="6" t="n">
        <x:v>520479.53</x:v>
      </x:c>
      <x:c r="I204" s="6" t="n">
        <x:v>217335.89</x:v>
      </x:c>
      <x:c r="J204" s="6" t="n">
        <x:v>214792.69</x:v>
      </x:c>
      <x:c r="K204" s="6" t="n">
        <x:v>219642.36</x:v>
      </x:c>
      <x:c r="L204" s="6" t="n">
        <x:v>163245.74</x:v>
      </x:c>
      <x:c r="M204" s="6" t="n">
        <x:v>158537.46</x:v>
      </x:c>
      <x:c r="N204" s="6" t="n">
        <x:v>163430.57</x:v>
      </x:c>
      <x:c r="O204" s="6" t="n">
        <x:v>810024.16</x:v>
      </x:c>
      <x:c r="P204" s="6" t="n">
        <x:v>96431.11</x:v>
      </x:c>
      <x:c r="Q204" s="6" t="n">
        <x:v>47</x:v>
      </x:c>
      <x:c r="R204" s="6" t="n">
        <x:f>F204-I204</x:f>
        <x:v>288929.20999999996</x:v>
      </x:c>
      <x:c r="S204" s="6" t="n">
        <x:f>G204-J204</x:f>
        <x:v>296618.47</x:v>
      </x:c>
      <x:c r="T204" s="6" t="n">
        <x:f>R204-L204</x:f>
        <x:v>125683.46999999997</x:v>
      </x:c>
      <x:c r="U204" s="6" t="n">
        <x:f>S204-M204</x:f>
        <x:v>138081.00999999998</x:v>
      </x:c>
      <x:c r="V204" s="6" t="n">
        <x:f>F204-G204</x:f>
        <x:v>-5146.059999999998</x:v>
      </x:c>
      <x:c r="W204" s="8" t="n">
        <x:f>IFERROR(V204/G204,0)</x:f>
        <x:v>-0.010062471065355707</x:v>
      </x:c>
      <x:c r="X204" s="8" t="n">
        <x:f>IFERROR(T204/F204,0)</x:f>
        <x:v>0.24825623966574029</x:v>
      </x:c>
      <x:c r="Y204" s="8" t="n">
        <x:f>IFERROR(T204/O204,0)</x:f>
        <x:v>0.15516014979108766</x:v>
      </x:c>
    </x:row>
    <x:row r="205">
      <x:c r="A205" t="str">
        <x:v>2025-05-01</x:v>
      </x:c>
      <x:c r="B205" t="n">
        <x:v>2025</x:v>
      </x:c>
      <x:c r="C205" t="str">
        <x:v>Q2</x:v>
      </x:c>
      <x:c r="D205" t="str">
        <x:v>Services</x:v>
      </x:c>
      <x:c r="E205" t="str">
        <x:v>West</x:v>
      </x:c>
      <x:c r="F205" s="6" t="n">
        <x:v>523551.03</x:v>
      </x:c>
      <x:c r="G205" s="6" t="n">
        <x:v>537125.71</x:v>
      </x:c>
      <x:c r="H205" s="6" t="n">
        <x:v>543629.2</x:v>
      </x:c>
      <x:c r="I205" s="6" t="n">
        <x:v>223957.12</x:v>
      </x:c>
      <x:c r="J205" s="6" t="n">
        <x:v>225592.8</x:v>
      </x:c>
      <x:c r="K205" s="6" t="n">
        <x:v>229411.52</x:v>
      </x:c>
      <x:c r="L205" s="6" t="n">
        <x:v>166313.98</x:v>
      </x:c>
      <x:c r="M205" s="6" t="n">
        <x:v>166508.97</x:v>
      </x:c>
      <x:c r="N205" s="6" t="n">
        <x:v>170699.57</x:v>
      </x:c>
      <x:c r="O205" s="6" t="n">
        <x:v>837681.65</x:v>
      </x:c>
      <x:c r="P205" s="6" t="n">
        <x:v>100683.56</x:v>
      </x:c>
      <x:c r="Q205" s="6" t="n">
        <x:v>50</x:v>
      </x:c>
      <x:c r="R205" s="6" t="n">
        <x:f>F205-I205</x:f>
        <x:v>299593.91000000003</x:v>
      </x:c>
      <x:c r="S205" s="6" t="n">
        <x:f>G205-J205</x:f>
        <x:v>311532.91</x:v>
      </x:c>
      <x:c r="T205" s="6" t="n">
        <x:f>R205-L205</x:f>
        <x:v>133279.93000000002</x:v>
      </x:c>
      <x:c r="U205" s="6" t="n">
        <x:f>S205-M205</x:f>
        <x:v>145023.93999999997</x:v>
      </x:c>
      <x:c r="V205" s="6" t="n">
        <x:f>F205-G205</x:f>
        <x:v>-13574.679999999935</x:v>
      </x:c>
      <x:c r="W205" s="8" t="n">
        <x:f>IFERROR(V205/G205,0)</x:f>
        <x:v>-0.02527281741922191</x:v>
      </x:c>
      <x:c r="X205" s="8" t="n">
        <x:f>IFERROR(T205/F205,0)</x:f>
        <x:v>0.25456912958417827</x:v>
      </x:c>
      <x:c r="Y205" s="8" t="n">
        <x:f>IFERROR(T205/O205,0)</x:f>
        <x:v>0.1591057056102399</x:v>
      </x:c>
    </x:row>
    <x:row r="206">
      <x:c r="A206" t="str">
        <x:v>2025-06-01</x:v>
      </x:c>
      <x:c r="B206" t="n">
        <x:v>2025</x:v>
      </x:c>
      <x:c r="C206" t="str">
        <x:v>Q2</x:v>
      </x:c>
      <x:c r="D206" t="str">
        <x:v>Enterprise</x:v>
      </x:c>
      <x:c r="E206" t="str">
        <x:v>East</x:v>
      </x:c>
      <x:c r="F206" s="6" t="n">
        <x:v>1815411.88</x:v>
      </x:c>
      <x:c r="G206" s="6" t="n">
        <x:v>1807438</x:v>
      </x:c>
      <x:c r="H206" s="6" t="n">
        <x:v>1841689.06</x:v>
      </x:c>
      <x:c r="I206" s="6" t="n">
        <x:v>885479.5</x:v>
      </x:c>
      <x:c r="J206" s="6" t="n">
        <x:v>867570.24</x:v>
      </x:c>
      <x:c r="K206" s="6" t="n">
        <x:v>887694.13</x:v>
      </x:c>
      <x:c r="L206" s="6" t="n">
        <x:v>492824.7</x:v>
      </x:c>
      <x:c r="M206" s="6" t="n">
        <x:v>488008.26</x:v>
      </x:c>
      <x:c r="N206" s="6" t="n">
        <x:v>504622.8</x:v>
      </x:c>
      <x:c r="O206" s="6" t="n">
        <x:v>3812364.95</x:v>
      </x:c>
      <x:c r="P206" s="6" t="n">
        <x:v>395508.51</x:v>
      </x:c>
      <x:c r="Q206" s="6" t="n">
        <x:v>113</x:v>
      </x:c>
      <x:c r="R206" s="6" t="n">
        <x:f>F206-I206</x:f>
        <x:v>929932.3799999999</x:v>
      </x:c>
      <x:c r="S206" s="6" t="n">
        <x:f>G206-J206</x:f>
        <x:v>939867.76</x:v>
      </x:c>
      <x:c r="T206" s="6" t="n">
        <x:f>R206-L206</x:f>
        <x:v>437107.6799999999</x:v>
      </x:c>
      <x:c r="U206" s="6" t="n">
        <x:f>S206-M206</x:f>
        <x:v>451859.5</x:v>
      </x:c>
      <x:c r="V206" s="6" t="n">
        <x:f>F206-G206</x:f>
        <x:v>7973.879999999888</x:v>
      </x:c>
      <x:c r="W206" s="8" t="n">
        <x:f>IFERROR(V206/G206,0)</x:f>
        <x:v>0.00441170319535159</x:v>
      </x:c>
      <x:c r="X206" s="8" t="n">
        <x:f>IFERROR(T206/F206,0)</x:f>
        <x:v>0.2407760381076717</x:v>
      </x:c>
      <x:c r="Y206" s="8" t="n">
        <x:f>IFERROR(T206/O206,0)</x:f>
        <x:v>0.11465525618159926</x:v>
      </x:c>
    </x:row>
    <x:row r="207">
      <x:c r="A207" t="str">
        <x:v>2025-06-01</x:v>
      </x:c>
      <x:c r="B207" t="n">
        <x:v>2025</x:v>
      </x:c>
      <x:c r="C207" t="str">
        <x:v>Q2</x:v>
      </x:c>
      <x:c r="D207" t="str">
        <x:v>Enterprise</x:v>
      </x:c>
      <x:c r="E207" t="str">
        <x:v>Central</x:v>
      </x:c>
      <x:c r="F207" s="6" t="n">
        <x:v>1637852.3</x:v>
      </x:c>
      <x:c r="G207" s="6" t="n">
        <x:v>1608055.31</x:v>
      </x:c>
      <x:c r="H207" s="6" t="n">
        <x:v>1629126.43</x:v>
      </x:c>
      <x:c r="I207" s="6" t="n">
        <x:v>803318.1</x:v>
      </x:c>
      <x:c r="J207" s="6" t="n">
        <x:v>771866.55</x:v>
      </x:c>
      <x:c r="K207" s="6" t="n">
        <x:v>785238.94</x:v>
      </x:c>
      <x:c r="L207" s="6" t="n">
        <x:v>453384.58</x:v>
      </x:c>
      <x:c r="M207" s="6" t="n">
        <x:v>434174.93</x:v>
      </x:c>
      <x:c r="N207" s="6" t="n">
        <x:v>446380.64</x:v>
      </x:c>
      <x:c r="O207" s="6" t="n">
        <x:v>3439489.84</x:v>
      </x:c>
      <x:c r="P207" s="6" t="n">
        <x:v>285935.2</x:v>
      </x:c>
      <x:c r="Q207" s="6" t="n">
        <x:v>101</x:v>
      </x:c>
      <x:c r="R207" s="6" t="n">
        <x:f>F207-I207</x:f>
        <x:v>834534.2000000001</x:v>
      </x:c>
      <x:c r="S207" s="6" t="n">
        <x:f>G207-J207</x:f>
        <x:v>836188.76</x:v>
      </x:c>
      <x:c r="T207" s="6" t="n">
        <x:f>R207-L207</x:f>
        <x:v>381149.62000000005</x:v>
      </x:c>
      <x:c r="U207" s="6" t="n">
        <x:f>S207-M207</x:f>
        <x:v>402013.83</x:v>
      </x:c>
      <x:c r="V207" s="6" t="n">
        <x:f>F207-G207</x:f>
        <x:v>29796.98999999999</x:v>
      </x:c>
      <x:c r="W207" s="8" t="n">
        <x:f>IFERROR(V207/G207,0)</x:f>
        <x:v>0.018529829051713395</x:v>
      </x:c>
      <x:c r="X207" s="8" t="n">
        <x:f>IFERROR(T207/F207,0)</x:f>
        <x:v>0.2327130596574551</x:v>
      </x:c>
      <x:c r="Y207" s="8" t="n">
        <x:f>IFERROR(T207/O207,0)</x:f>
        <x:v>0.11081574237183968</x:v>
      </x:c>
    </x:row>
    <x:row r="208">
      <x:c r="A208" t="str">
        <x:v>2025-06-01</x:v>
      </x:c>
      <x:c r="B208" t="n">
        <x:v>2025</x:v>
      </x:c>
      <x:c r="C208" t="str">
        <x:v>Q2</x:v>
      </x:c>
      <x:c r="D208" t="str">
        <x:v>Enterprise</x:v>
      </x:c>
      <x:c r="E208" t="str">
        <x:v>West</x:v>
      </x:c>
      <x:c r="F208" s="6" t="n">
        <x:v>1700807.1</x:v>
      </x:c>
      <x:c r="G208" s="6" t="n">
        <x:v>1702133.4</x:v>
      </x:c>
      <x:c r="H208" s="6" t="n">
        <x:v>1699796.23</x:v>
      </x:c>
      <x:c r="I208" s="6" t="n">
        <x:v>808124.06</x:v>
      </x:c>
      <x:c r="J208" s="6" t="n">
        <x:v>817024.03</x:v>
      </x:c>
      <x:c r="K208" s="6" t="n">
        <x:v>819301.78</x:v>
      </x:c>
      <x:c r="L208" s="6" t="n">
        <x:v>441674.37</x:v>
      </x:c>
      <x:c r="M208" s="6" t="n">
        <x:v>459576.02</x:v>
      </x:c>
      <x:c r="N208" s="6" t="n">
        <x:v>465744.17</x:v>
      </x:c>
      <x:c r="O208" s="6" t="n">
        <x:v>3571694.92</x:v>
      </x:c>
      <x:c r="P208" s="6" t="n">
        <x:v>370488.91</x:v>
      </x:c>
      <x:c r="Q208" s="6" t="n">
        <x:v>108</x:v>
      </x:c>
      <x:c r="R208" s="6" t="n">
        <x:f>F208-I208</x:f>
        <x:v>892683.04</x:v>
      </x:c>
      <x:c r="S208" s="6" t="n">
        <x:f>G208-J208</x:f>
        <x:v>885109.3699999999</x:v>
      </x:c>
      <x:c r="T208" s="6" t="n">
        <x:f>R208-L208</x:f>
        <x:v>451008.67000000004</x:v>
      </x:c>
      <x:c r="U208" s="6" t="n">
        <x:f>S208-M208</x:f>
        <x:v>425533.34999999986</x:v>
      </x:c>
      <x:c r="V208" s="6" t="n">
        <x:f>F208-G208</x:f>
        <x:v>-1326.2999999998137</x:v>
      </x:c>
      <x:c r="W208" s="8" t="n">
        <x:f>IFERROR(V208/G208,0)</x:f>
        <x:v>-0.0007791986221525374</x:v>
      </x:c>
      <x:c r="X208" s="8" t="n">
        <x:f>IFERROR(T208/F208,0)</x:f>
        <x:v>0.2651733227124934</x:v>
      </x:c>
      <x:c r="Y208" s="8" t="n">
        <x:f>IFERROR(T208/O208,0)</x:f>
        <x:v>0.12627301046193498</x:v>
      </x:c>
    </x:row>
    <x:row r="209">
      <x:c r="A209" t="str">
        <x:v>2025-06-01</x:v>
      </x:c>
      <x:c r="B209" t="n">
        <x:v>2025</x:v>
      </x:c>
      <x:c r="C209" t="str">
        <x:v>Q2</x:v>
      </x:c>
      <x:c r="D209" t="str">
        <x:v>SMB</x:v>
      </x:c>
      <x:c r="E209" t="str">
        <x:v>East</x:v>
      </x:c>
      <x:c r="F209" s="6" t="n">
        <x:v>1030124.5</x:v>
      </x:c>
      <x:c r="G209" s="6" t="n">
        <x:v>1029927.38</x:v>
      </x:c>
      <x:c r="H209" s="6" t="n">
        <x:v>1017115.14</x:v>
      </x:c>
      <x:c r="I209" s="6" t="n">
        <x:v>566181.26</x:v>
      </x:c>
      <x:c r="J209" s="6" t="n">
        <x:v>556160.79</x:v>
      </x:c>
      <x:c r="K209" s="6" t="n">
        <x:v>551276.41</x:v>
      </x:c>
      <x:c r="L209" s="6" t="n">
        <x:v>288745.88</x:v>
      </x:c>
      <x:c r="M209" s="6" t="n">
        <x:v>298678.94</x:v>
      </x:c>
      <x:c r="N209" s="6" t="n">
        <x:v>299031.85</x:v>
      </x:c>
      <x:c r="O209" s="6" t="n">
        <x:v>1751211.64</x:v>
      </x:c>
      <x:c r="P209" s="6" t="n">
        <x:v>156424.95</x:v>
      </x:c>
      <x:c r="Q209" s="6" t="n">
        <x:v>80</x:v>
      </x:c>
      <x:c r="R209" s="6" t="n">
        <x:f>F209-I209</x:f>
        <x:v>463943.24</x:v>
      </x:c>
      <x:c r="S209" s="6" t="n">
        <x:f>G209-J209</x:f>
        <x:v>473766.58999999997</x:v>
      </x:c>
      <x:c r="T209" s="6" t="n">
        <x:f>R209-L209</x:f>
        <x:v>175197.36</x:v>
      </x:c>
      <x:c r="U209" s="6" t="n">
        <x:f>S209-M209</x:f>
        <x:v>175087.64999999997</x:v>
      </x:c>
      <x:c r="V209" s="6" t="n">
        <x:f>F209-G209</x:f>
        <x:v>197.11999999999534</x:v>
      </x:c>
      <x:c r="W209" s="8" t="n">
        <x:f>IFERROR(V209/G209,0)</x:f>
        <x:v>0.00019139213485128956</x:v>
      </x:c>
      <x:c r="X209" s="8" t="n">
        <x:f>IFERROR(T209/F209,0)</x:f>
        <x:v>0.17007396678750966</x:v>
      </x:c>
      <x:c r="Y209" s="8" t="n">
        <x:f>IFERROR(T209/O209,0)</x:f>
        <x:v>0.10004351044628734</x:v>
      </x:c>
    </x:row>
    <x:row r="210">
      <x:c r="A210" t="str">
        <x:v>2025-06-01</x:v>
      </x:c>
      <x:c r="B210" t="n">
        <x:v>2025</x:v>
      </x:c>
      <x:c r="C210" t="str">
        <x:v>Q2</x:v>
      </x:c>
      <x:c r="D210" t="str">
        <x:v>SMB</x:v>
      </x:c>
      <x:c r="E210" t="str">
        <x:v>Central</x:v>
      </x:c>
      <x:c r="F210" s="6" t="n">
        <x:v>952652.87</x:v>
      </x:c>
      <x:c r="G210" s="6" t="n">
        <x:v>937188.47</x:v>
      </x:c>
      <x:c r="H210" s="6" t="n">
        <x:v>944515.46</x:v>
      </x:c>
      <x:c r="I210" s="6" t="n">
        <x:v>514461.61</x:v>
      </x:c>
      <x:c r="J210" s="6" t="n">
        <x:v>506081.77</x:v>
      </x:c>
      <x:c r="K210" s="6" t="n">
        <x:v>511927.38</x:v>
      </x:c>
      <x:c r="L210" s="6" t="n">
        <x:v>280679.63</x:v>
      </x:c>
      <x:c r="M210" s="6" t="n">
        <x:v>271784.66</x:v>
      </x:c>
      <x:c r="N210" s="6" t="n">
        <x:v>277687.54</x:v>
      </x:c>
      <x:c r="O210" s="6" t="n">
        <x:v>1619509.87</x:v>
      </x:c>
      <x:c r="P210" s="6" t="n">
        <x:v>138352.48</x:v>
      </x:c>
      <x:c r="Q210" s="6" t="n">
        <x:v>71</x:v>
      </x:c>
      <x:c r="R210" s="6" t="n">
        <x:f>F210-I210</x:f>
        <x:v>438191.26</x:v>
      </x:c>
      <x:c r="S210" s="6" t="n">
        <x:f>G210-J210</x:f>
        <x:v>431106.69999999995</x:v>
      </x:c>
      <x:c r="T210" s="6" t="n">
        <x:f>R210-L210</x:f>
        <x:v>157511.63</x:v>
      </x:c>
      <x:c r="U210" s="6" t="n">
        <x:f>S210-M210</x:f>
        <x:v>159322.03999999998</x:v>
      </x:c>
      <x:c r="V210" s="6" t="n">
        <x:f>F210-G210</x:f>
        <x:v>15464.400000000023</x:v>
      </x:c>
      <x:c r="W210" s="8" t="n">
        <x:f>IFERROR(V210/G210,0)</x:f>
        <x:v>0.016500843208196985</x:v>
      </x:c>
      <x:c r="X210" s="8" t="n">
        <x:f>IFERROR(T210/F210,0)</x:f>
        <x:v>0.16534000469656907</x:v>
      </x:c>
      <x:c r="Y210" s="8" t="n">
        <x:f>IFERROR(T210/O210,0)</x:f>
        <x:v>0.09725882683258978</x:v>
      </x:c>
    </x:row>
    <x:row r="211">
      <x:c r="A211" t="str">
        <x:v>2025-06-01</x:v>
      </x:c>
      <x:c r="B211" t="n">
        <x:v>2025</x:v>
      </x:c>
      <x:c r="C211" t="str">
        <x:v>Q2</x:v>
      </x:c>
      <x:c r="D211" t="str">
        <x:v>SMB</x:v>
      </x:c>
      <x:c r="E211" t="str">
        <x:v>West</x:v>
      </x:c>
      <x:c r="F211" s="6" t="n">
        <x:v>1008165.32</x:v>
      </x:c>
      <x:c r="G211" s="6" t="n">
        <x:v>1008192.17</x:v>
      </x:c>
      <x:c r="H211" s="6" t="n">
        <x:v>1029809.54</x:v>
      </x:c>
      <x:c r="I211" s="6" t="n">
        <x:v>549397.45</x:v>
      </x:c>
      <x:c r="J211" s="6" t="n">
        <x:v>544423.77</x:v>
      </x:c>
      <x:c r="K211" s="6" t="n">
        <x:v>558156.77</x:v>
      </x:c>
      <x:c r="L211" s="6" t="n">
        <x:v>289994.52</x:v>
      </x:c>
      <x:c r="M211" s="6" t="n">
        <x:v>292375.73</x:v>
      </x:c>
      <x:c r="N211" s="6" t="n">
        <x:v>302764.01</x:v>
      </x:c>
      <x:c r="O211" s="6" t="n">
        <x:v>1713881.05</x:v>
      </x:c>
      <x:c r="P211" s="6" t="n">
        <x:v>137571.51</x:v>
      </x:c>
      <x:c r="Q211" s="6" t="n">
        <x:v>77</x:v>
      </x:c>
      <x:c r="R211" s="6" t="n">
        <x:f>F211-I211</x:f>
        <x:v>458767.87</x:v>
      </x:c>
      <x:c r="S211" s="6" t="n">
        <x:f>G211-J211</x:f>
        <x:v>463768.4</x:v>
      </x:c>
      <x:c r="T211" s="6" t="n">
        <x:f>R211-L211</x:f>
        <x:v>168773.34999999998</x:v>
      </x:c>
      <x:c r="U211" s="6" t="n">
        <x:f>S211-M211</x:f>
        <x:v>171392.67000000004</x:v>
      </x:c>
      <x:c r="V211" s="6" t="n">
        <x:f>F211-G211</x:f>
        <x:v>-26.850000000093132</x:v>
      </x:c>
      <x:c r="W211" s="8" t="n">
        <x:f>IFERROR(V211/G211,0)</x:f>
        <x:v>-0.000026631827541462784</x:v>
      </x:c>
      <x:c r="X211" s="8" t="n">
        <x:f>IFERROR(T211/F211,0)</x:f>
        <x:v>0.1674064229862618</x:v>
      </x:c>
      <x:c r="Y211" s="8" t="n">
        <x:f>IFERROR(T211/O211,0)</x:f>
        <x:v>0.09847436611776528</x:v>
      </x:c>
    </x:row>
    <x:row r="212">
      <x:c r="A212" t="str">
        <x:v>2025-06-01</x:v>
      </x:c>
      <x:c r="B212" t="n">
        <x:v>2025</x:v>
      </x:c>
      <x:c r="C212" t="str">
        <x:v>Q2</x:v>
      </x:c>
      <x:c r="D212" t="str">
        <x:v>Digital</x:v>
      </x:c>
      <x:c r="E212" t="str">
        <x:v>East</x:v>
      </x:c>
      <x:c r="F212" s="6" t="n">
        <x:v>719944.91</x:v>
      </x:c>
      <x:c r="G212" s="6" t="n">
        <x:v>749016.2</x:v>
      </x:c>
      <x:c r="H212" s="6" t="n">
        <x:v>741269.56</x:v>
      </x:c>
      <x:c r="I212" s="6" t="n">
        <x:v>267371.2</x:v>
      </x:c>
      <x:c r="J212" s="6" t="n">
        <x:v>269645.83</x:v>
      </x:c>
      <x:c r="K212" s="6" t="n">
        <x:v>268339.58</x:v>
      </x:c>
      <x:c r="L212" s="6" t="n">
        <x:v>243559.62</x:v>
      </x:c>
      <x:c r="M212" s="6" t="n">
        <x:v>254665.51</x:v>
      </x:c>
      <x:c r="N212" s="6" t="n">
        <x:v>254996.73</x:v>
      </x:c>
      <x:c r="O212" s="6" t="n">
        <x:v>1007922.87</x:v>
      </x:c>
      <x:c r="P212" s="6" t="n">
        <x:v>180350.55</x:v>
      </x:c>
      <x:c r="Q212" s="6" t="n">
        <x:v>58</x:v>
      </x:c>
      <x:c r="R212" s="6" t="n">
        <x:f>F212-I212</x:f>
        <x:v>452573.71</x:v>
      </x:c>
      <x:c r="S212" s="6" t="n">
        <x:f>G212-J212</x:f>
        <x:v>479370.36999999994</x:v>
      </x:c>
      <x:c r="T212" s="6" t="n">
        <x:f>R212-L212</x:f>
        <x:v>209014.09000000003</x:v>
      </x:c>
      <x:c r="U212" s="6" t="n">
        <x:f>S212-M212</x:f>
        <x:v>224704.85999999993</x:v>
      </x:c>
      <x:c r="V212" s="6" t="n">
        <x:f>F212-G212</x:f>
        <x:v>-29071.28999999992</x:v>
      </x:c>
      <x:c r="W212" s="8" t="n">
        <x:f>IFERROR(V212/G212,0)</x:f>
        <x:v>-0.03881263182291641</x:v>
      </x:c>
      <x:c r="X212" s="8" t="n">
        <x:f>IFERROR(T212/F212,0)</x:f>
        <x:v>0.290319560700832</x:v>
      </x:c>
      <x:c r="Y212" s="8" t="n">
        <x:f>IFERROR(T212/O212,0)</x:f>
        <x:v>0.2073711156092728</x:v>
      </x:c>
    </x:row>
    <x:row r="213">
      <x:c r="A213" t="str">
        <x:v>2025-06-01</x:v>
      </x:c>
      <x:c r="B213" t="n">
        <x:v>2025</x:v>
      </x:c>
      <x:c r="C213" t="str">
        <x:v>Q2</x:v>
      </x:c>
      <x:c r="D213" t="str">
        <x:v>Digital</x:v>
      </x:c>
      <x:c r="E213" t="str">
        <x:v>Central</x:v>
      </x:c>
      <x:c r="F213" s="6" t="n">
        <x:v>658934.85</x:v>
      </x:c>
      <x:c r="G213" s="6" t="n">
        <x:v>677738.09</x:v>
      </x:c>
      <x:c r="H213" s="6" t="n">
        <x:v>675127.76</x:v>
      </x:c>
      <x:c r="I213" s="6" t="n">
        <x:v>236809.14</x:v>
      </x:c>
      <x:c r="J213" s="6" t="n">
        <x:v>243985.71</x:v>
      </x:c>
      <x:c r="K213" s="6" t="n">
        <x:v>244396.25</x:v>
      </x:c>
      <x:c r="L213" s="6" t="n">
        <x:v>224817.14</x:v>
      </x:c>
      <x:c r="M213" s="6" t="n">
        <x:v>230430.95</x:v>
      </x:c>
      <x:c r="N213" s="6" t="n">
        <x:v>232243.95</x:v>
      </x:c>
      <x:c r="O213" s="6" t="n">
        <x:v>922508.79</x:v>
      </x:c>
      <x:c r="P213" s="6" t="n">
        <x:v>162690.71</x:v>
      </x:c>
      <x:c r="Q213" s="6" t="n">
        <x:v>52</x:v>
      </x:c>
      <x:c r="R213" s="6" t="n">
        <x:f>F213-I213</x:f>
        <x:v>422125.70999999996</x:v>
      </x:c>
      <x:c r="S213" s="6" t="n">
        <x:f>G213-J213</x:f>
        <x:v>433752.38</x:v>
      </x:c>
      <x:c r="T213" s="6" t="n">
        <x:f>R213-L213</x:f>
        <x:v>197308.56999999995</x:v>
      </x:c>
      <x:c r="U213" s="6" t="n">
        <x:f>S213-M213</x:f>
        <x:v>203321.43</x:v>
      </x:c>
      <x:c r="V213" s="6" t="n">
        <x:f>F213-G213</x:f>
        <x:v>-18803.23999999999</x:v>
      </x:c>
      <x:c r="W213" s="8" t="n">
        <x:f>IFERROR(V213/G213,0)</x:f>
        <x:v>-0.027744109822719264</x:v>
      </x:c>
      <x:c r="X213" s="8" t="n">
        <x:f>IFERROR(T213/F213,0)</x:f>
        <x:v>0.29943562705781906</x:v>
      </x:c>
      <x:c r="Y213" s="8" t="n">
        <x:f>IFERROR(T213/O213,0)</x:f>
        <x:v>0.21388259075558505</x:v>
      </x:c>
    </x:row>
    <x:row r="214">
      <x:c r="A214" t="str">
        <x:v>2025-06-01</x:v>
      </x:c>
      <x:c r="B214" t="n">
        <x:v>2025</x:v>
      </x:c>
      <x:c r="C214" t="str">
        <x:v>Q2</x:v>
      </x:c>
      <x:c r="D214" t="str">
        <x:v>Digital</x:v>
      </x:c>
      <x:c r="E214" t="str">
        <x:v>West</x:v>
      </x:c>
      <x:c r="F214" s="6" t="n">
        <x:v>715094.78</x:v>
      </x:c>
      <x:c r="G214" s="6" t="n">
        <x:v>720654.48</x:v>
      </x:c>
      <x:c r="H214" s="6" t="n">
        <x:v>719018.75</x:v>
      </x:c>
      <x:c r="I214" s="6" t="n">
        <x:v>256453.01</x:v>
      </x:c>
      <x:c r="J214" s="6" t="n">
        <x:v>259435.61</x:v>
      </x:c>
      <x:c r="K214" s="6" t="n">
        <x:v>260284.79</x:v>
      </x:c>
      <x:c r="L214" s="6" t="n">
        <x:v>241810.02</x:v>
      </x:c>
      <x:c r="M214" s="6" t="n">
        <x:v>245022.52</x:v>
      </x:c>
      <x:c r="N214" s="6" t="n">
        <x:v>247342.45</x:v>
      </x:c>
      <x:c r="O214" s="6" t="n">
        <x:v>1001132.69</x:v>
      </x:c>
      <x:c r="P214" s="6" t="n">
        <x:v>182046.98</x:v>
      </x:c>
      <x:c r="Q214" s="6" t="n">
        <x:v>56</x:v>
      </x:c>
      <x:c r="R214" s="6" t="n">
        <x:f>F214-I214</x:f>
        <x:v>458641.77</x:v>
      </x:c>
      <x:c r="S214" s="6" t="n">
        <x:f>G214-J214</x:f>
        <x:v>461218.87</x:v>
      </x:c>
      <x:c r="T214" s="6" t="n">
        <x:f>R214-L214</x:f>
        <x:v>216831.75000000003</x:v>
      </x:c>
      <x:c r="U214" s="6" t="n">
        <x:f>S214-M214</x:f>
        <x:v>216196.35</x:v>
      </x:c>
      <x:c r="V214" s="6" t="n">
        <x:f>F214-G214</x:f>
        <x:v>-5559.699999999953</x:v>
      </x:c>
      <x:c r="W214" s="8" t="n">
        <x:f>IFERROR(V214/G214,0)</x:f>
        <x:v>-0.007714792808892208</x:v>
      </x:c>
      <x:c r="X214" s="8" t="n">
        <x:f>IFERROR(T214/F214,0)</x:f>
        <x:v>0.30322099400585756</x:v>
      </x:c>
      <x:c r="Y214" s="8" t="n">
        <x:f>IFERROR(T214/O214,0)</x:f>
        <x:v>0.21658642472258102</x:v>
      </x:c>
    </x:row>
    <x:row r="215">
      <x:c r="A215" t="str">
        <x:v>2025-06-01</x:v>
      </x:c>
      <x:c r="B215" t="n">
        <x:v>2025</x:v>
      </x:c>
      <x:c r="C215" t="str">
        <x:v>Q2</x:v>
      </x:c>
      <x:c r="D215" t="str">
        <x:v>Services</x:v>
      </x:c>
      <x:c r="E215" t="str">
        <x:v>East</x:v>
      </x:c>
      <x:c r="F215" s="6" t="n">
        <x:v>573688.27</x:v>
      </x:c>
      <x:c r="G215" s="6" t="n">
        <x:v>562588.1</x:v>
      </x:c>
      <x:c r="H215" s="6" t="n">
        <x:v>555817.94</x:v>
      </x:c>
      <x:c r="I215" s="6" t="n">
        <x:v>235474.45</x:v>
      </x:c>
      <x:c r="J215" s="6" t="n">
        <x:v>236287</x:v>
      </x:c>
      <x:c r="K215" s="6" t="n">
        <x:v>234555.17</x:v>
      </x:c>
      <x:c r="L215" s="6" t="n">
        <x:v>182634.45</x:v>
      </x:c>
      <x:c r="M215" s="6" t="n">
        <x:v>174402.31</x:v>
      </x:c>
      <x:c r="N215" s="6" t="n">
        <x:v>174526.83</x:v>
      </x:c>
      <x:c r="O215" s="6" t="n">
        <x:v>917901.23</x:v>
      </x:c>
      <x:c r="P215" s="6" t="n">
        <x:v>120858.62</x:v>
      </x:c>
      <x:c r="Q215" s="6" t="n">
        <x:v>52</x:v>
      </x:c>
      <x:c r="R215" s="6" t="n">
        <x:f>F215-I215</x:f>
        <x:v>338213.82</x:v>
      </x:c>
      <x:c r="S215" s="6" t="n">
        <x:f>G215-J215</x:f>
        <x:v>326301.1</x:v>
      </x:c>
      <x:c r="T215" s="6" t="n">
        <x:f>R215-L215</x:f>
        <x:v>155579.37</x:v>
      </x:c>
      <x:c r="U215" s="6" t="n">
        <x:f>S215-M215</x:f>
        <x:v>151898.78999999998</x:v>
      </x:c>
      <x:c r="V215" s="6" t="n">
        <x:f>F215-G215</x:f>
        <x:v>11100.170000000042</x:v>
      </x:c>
      <x:c r="W215" s="8" t="n">
        <x:f>IFERROR(V215/G215,0)</x:f>
        <x:v>0.019730545313702944</x:v>
      </x:c>
      <x:c r="X215" s="8" t="n">
        <x:f>IFERROR(T215/F215,0)</x:f>
        <x:v>0.27119147825699835</x:v>
      </x:c>
      <x:c r="Y215" s="8" t="n">
        <x:f>IFERROR(T215/O215,0)</x:f>
        <x:v>0.16949467427993314</x:v>
      </x:c>
    </x:row>
    <x:row r="216">
      <x:c r="A216" t="str">
        <x:v>2025-06-01</x:v>
      </x:c>
      <x:c r="B216" t="n">
        <x:v>2025</x:v>
      </x:c>
      <x:c r="C216" t="str">
        <x:v>Q2</x:v>
      </x:c>
      <x:c r="D216" t="str">
        <x:v>Services</x:v>
      </x:c>
      <x:c r="E216" t="str">
        <x:v>Central</x:v>
      </x:c>
      <x:c r="F216" s="6" t="n">
        <x:v>513052.58</x:v>
      </x:c>
      <x:c r="G216" s="6" t="n">
        <x:v>502669.24</x:v>
      </x:c>
      <x:c r="H216" s="6" t="n">
        <x:v>515630.78</x:v>
      </x:c>
      <x:c r="I216" s="6" t="n">
        <x:v>220974.45</x:v>
      </x:c>
      <x:c r="J216" s="6" t="n">
        <x:v>211121.08</x:v>
      </x:c>
      <x:c r="K216" s="6" t="n">
        <x:v>217596.19</x:v>
      </x:c>
      <x:c r="L216" s="6" t="n">
        <x:v>158020.64</x:v>
      </x:c>
      <x:c r="M216" s="6" t="n">
        <x:v>155827.47</x:v>
      </x:c>
      <x:c r="N216" s="6" t="n">
        <x:v>161908.07</x:v>
      </x:c>
      <x:c r="O216" s="6" t="n">
        <x:v>820884.13</x:v>
      </x:c>
      <x:c r="P216" s="6" t="n">
        <x:v>112145.52</x:v>
      </x:c>
      <x:c r="Q216" s="6" t="n">
        <x:v>47</x:v>
      </x:c>
      <x:c r="R216" s="6" t="n">
        <x:f>F216-I216</x:f>
        <x:v>292078.13</x:v>
      </x:c>
      <x:c r="S216" s="6" t="n">
        <x:f>G216-J216</x:f>
        <x:v>291548.16000000003</x:v>
      </x:c>
      <x:c r="T216" s="6" t="n">
        <x:f>R216-L216</x:f>
        <x:v>134057.49</x:v>
      </x:c>
      <x:c r="U216" s="6" t="n">
        <x:f>S216-M216</x:f>
        <x:v>135720.69000000003</x:v>
      </x:c>
      <x:c r="V216" s="6" t="n">
        <x:f>F216-G216</x:f>
        <x:v>10383.340000000026</x:v>
      </x:c>
      <x:c r="W216" s="8" t="n">
        <x:f>IFERROR(V216/G216,0)</x:f>
        <x:v>0.020656406188689854</x:v>
      </x:c>
      <x:c r="X216" s="8" t="n">
        <x:f>IFERROR(T216/F216,0)</x:f>
        <x:v>0.26129386192736814</x:v>
      </x:c>
      <x:c r="Y216" s="8" t="n">
        <x:f>IFERROR(T216/O216,0)</x:f>
        <x:v>0.16330866330672028</x:v>
      </x:c>
    </x:row>
    <x:row r="217">
      <x:c r="A217" t="str">
        <x:v>2025-06-01</x:v>
      </x:c>
      <x:c r="B217" t="n">
        <x:v>2025</x:v>
      </x:c>
      <x:c r="C217" t="str">
        <x:v>Q2</x:v>
      </x:c>
      <x:c r="D217" t="str">
        <x:v>Services</x:v>
      </x:c>
      <x:c r="E217" t="str">
        <x:v>West</x:v>
      </x:c>
      <x:c r="F217" s="6" t="n">
        <x:v>525413.03</x:v>
      </x:c>
      <x:c r="G217" s="6" t="n">
        <x:v>530729.84</x:v>
      </x:c>
      <x:c r="H217" s="6" t="n">
        <x:v>545880.23</x:v>
      </x:c>
      <x:c r="I217" s="6" t="n">
        <x:v>223910.27</x:v>
      </x:c>
      <x:c r="J217" s="6" t="n">
        <x:v>222906.53</x:v>
      </x:c>
      <x:c r="K217" s="6" t="n">
        <x:v>230361.46</x:v>
      </x:c>
      <x:c r="L217" s="6" t="n">
        <x:v>162751.28</x:v>
      </x:c>
      <x:c r="M217" s="6" t="n">
        <x:v>164526.25</x:v>
      </x:c>
      <x:c r="N217" s="6" t="n">
        <x:v>171406.39</x:v>
      </x:c>
      <x:c r="O217" s="6" t="n">
        <x:v>840660.84</x:v>
      </x:c>
      <x:c r="P217" s="6" t="n">
        <x:v>116413.64</x:v>
      </x:c>
      <x:c r="Q217" s="6" t="n">
        <x:v>50</x:v>
      </x:c>
      <x:c r="R217" s="6" t="n">
        <x:f>F217-I217</x:f>
        <x:v>301502.76</x:v>
      </x:c>
      <x:c r="S217" s="6" t="n">
        <x:f>G217-J217</x:f>
        <x:v>307823.30999999994</x:v>
      </x:c>
      <x:c r="T217" s="6" t="n">
        <x:f>R217-L217</x:f>
        <x:v>138751.48</x:v>
      </x:c>
      <x:c r="U217" s="6" t="n">
        <x:f>S217-M217</x:f>
        <x:v>143297.05999999994</x:v>
      </x:c>
      <x:c r="V217" s="6" t="n">
        <x:f>F217-G217</x:f>
        <x:v>-5316.8099999999395</x:v>
      </x:c>
      <x:c r="W217" s="8" t="n">
        <x:f>IFERROR(V217/G217,0)</x:f>
        <x:v>-0.010017921735849523</x:v>
      </x:c>
      <x:c r="X217" s="8" t="n">
        <x:f>IFERROR(T217/F217,0)</x:f>
        <x:v>0.26408077470023916</x:v>
      </x:c>
      <x:c r="Y217" s="8" t="n">
        <x:f>IFERROR(T217/O217,0)</x:f>
        <x:v>0.1650504857583232</x:v>
      </x:c>
    </x:row>
    <x:row r="218">
      <x:c r="A218" t="str">
        <x:v>2025-07-01</x:v>
      </x:c>
      <x:c r="B218" t="n">
        <x:v>2025</x:v>
      </x:c>
      <x:c r="C218" t="str">
        <x:v>Q3</x:v>
      </x:c>
      <x:c r="D218" t="str">
        <x:v>Enterprise</x:v>
      </x:c>
      <x:c r="E218" t="str">
        <x:v>East</x:v>
      </x:c>
      <x:c r="F218" s="6" t="n">
        <x:v>1757363.98</x:v>
      </x:c>
      <x:c r="G218" s="6" t="n">
        <x:v>1782391.99</x:v>
      </x:c>
      <x:c r="H218" s="6" t="n">
        <x:v>1785868.67</x:v>
      </x:c>
      <x:c r="I218" s="6" t="n">
        <x:v>858618.53</x:v>
      </x:c>
      <x:c r="J218" s="6" t="n">
        <x:v>855548.16</x:v>
      </x:c>
      <x:c r="K218" s="6" t="n">
        <x:v>860788.7</x:v>
      </x:c>
      <x:c r="L218" s="6" t="n">
        <x:v>496271.76</x:v>
      </x:c>
      <x:c r="M218" s="6" t="n">
        <x:v>481245.84</x:v>
      </x:c>
      <x:c r="N218" s="6" t="n">
        <x:v>489328.01</x:v>
      </x:c>
      <x:c r="O218" s="6" t="n">
        <x:v>3690464.35</x:v>
      </x:c>
      <x:c r="P218" s="6" t="n">
        <x:v>343721.9</x:v>
      </x:c>
      <x:c r="Q218" s="6" t="n">
        <x:v>113</x:v>
      </x:c>
      <x:c r="R218" s="6" t="n">
        <x:f>F218-I218</x:f>
        <x:v>898745.45</x:v>
      </x:c>
      <x:c r="S218" s="6" t="n">
        <x:f>G218-J218</x:f>
        <x:v>926843.83</x:v>
      </x:c>
      <x:c r="T218" s="6" t="n">
        <x:f>R218-L218</x:f>
        <x:v>402473.68999999994</x:v>
      </x:c>
      <x:c r="U218" s="6" t="n">
        <x:f>S218-M218</x:f>
        <x:v>445597.98999999993</x:v>
      </x:c>
      <x:c r="V218" s="6" t="n">
        <x:f>F218-G218</x:f>
        <x:v>-25028.01000000001</x:v>
      </x:c>
      <x:c r="W218" s="8" t="n">
        <x:f>IFERROR(V218/G218,0)</x:f>
        <x:v>-0.014041810185648337</x:v>
      </x:c>
      <x:c r="X218" s="8" t="n">
        <x:f>IFERROR(T218/F218,0)</x:f>
        <x:v>0.2290212469246126</x:v>
      </x:c>
      <x:c r="Y218" s="8" t="n">
        <x:f>IFERROR(T218/O218,0)</x:f>
        <x:v>0.10905773686717768</x:v>
      </x:c>
    </x:row>
    <x:row r="219">
      <x:c r="A219" t="str">
        <x:v>2025-07-01</x:v>
      </x:c>
      <x:c r="B219" t="n">
        <x:v>2025</x:v>
      </x:c>
      <x:c r="C219" t="str">
        <x:v>Q3</x:v>
      </x:c>
      <x:c r="D219" t="str">
        <x:v>Enterprise</x:v>
      </x:c>
      <x:c r="E219" t="str">
        <x:v>Central</x:v>
      </x:c>
      <x:c r="F219" s="6" t="n">
        <x:v>1636443</x:v>
      </x:c>
      <x:c r="G219" s="6" t="n">
        <x:v>1590513.02</x:v>
      </x:c>
      <x:c r="H219" s="6" t="n">
        <x:v>1615712.55</x:v>
      </x:c>
      <x:c r="I219" s="6" t="n">
        <x:v>788252.06</x:v>
      </x:c>
      <x:c r="J219" s="6" t="n">
        <x:v>763446.25</x:v>
      </x:c>
      <x:c r="K219" s="6" t="n">
        <x:v>778773.45</x:v>
      </x:c>
      <x:c r="L219" s="6" t="n">
        <x:v>453917.78</x:v>
      </x:c>
      <x:c r="M219" s="6" t="n">
        <x:v>429438.51</x:v>
      </x:c>
      <x:c r="N219" s="6" t="n">
        <x:v>442705.24</x:v>
      </x:c>
      <x:c r="O219" s="6" t="n">
        <x:v>3436530.31</x:v>
      </x:c>
      <x:c r="P219" s="6" t="n">
        <x:v>317264.24</x:v>
      </x:c>
      <x:c r="Q219" s="6" t="n">
        <x:v>101</x:v>
      </x:c>
      <x:c r="R219" s="6" t="n">
        <x:f>F219-I219</x:f>
        <x:v>848190.94</x:v>
      </x:c>
      <x:c r="S219" s="6" t="n">
        <x:f>G219-J219</x:f>
        <x:v>827066.77</x:v>
      </x:c>
      <x:c r="T219" s="6" t="n">
        <x:f>R219-L219</x:f>
        <x:v>394273.1599999999</x:v>
      </x:c>
      <x:c r="U219" s="6" t="n">
        <x:f>S219-M219</x:f>
        <x:v>397628.26</x:v>
      </x:c>
      <x:c r="V219" s="6" t="n">
        <x:f>F219-G219</x:f>
        <x:v>45929.97999999998</x:v>
      </x:c>
      <x:c r="W219" s="8" t="n">
        <x:f>IFERROR(V219/G219,0)</x:f>
        <x:v>0.028877462442904102</x:v>
      </x:c>
      <x:c r="X219" s="8" t="n">
        <x:f>IFERROR(T219/F219,0)</x:f>
        <x:v>0.24093302363724242</x:v>
      </x:c>
      <x:c r="Y219" s="8" t="n">
        <x:f>IFERROR(T219/O219,0)</x:f>
        <x:v>0.11473001092197552</x:v>
      </x:c>
    </x:row>
    <x:row r="220">
      <x:c r="A220" t="str">
        <x:v>2025-07-01</x:v>
      </x:c>
      <x:c r="B220" t="n">
        <x:v>2025</x:v>
      </x:c>
      <x:c r="C220" t="str">
        <x:v>Q3</x:v>
      </x:c>
      <x:c r="D220" t="str">
        <x:v>Enterprise</x:v>
      </x:c>
      <x:c r="E220" t="str">
        <x:v>West</x:v>
      </x:c>
      <x:c r="F220" s="6" t="n">
        <x:v>1670510.94</x:v>
      </x:c>
      <x:c r="G220" s="6" t="n">
        <x:v>1685240.34</x:v>
      </x:c>
      <x:c r="H220" s="6" t="n">
        <x:v>1673632.12</x:v>
      </x:c>
      <x:c r="I220" s="6" t="n">
        <x:v>791102.21</x:v>
      </x:c>
      <x:c r="J220" s="6" t="n">
        <x:v>808915.36</x:v>
      </x:c>
      <x:c r="K220" s="6" t="n">
        <x:v>806690.68</x:v>
      </x:c>
      <x:c r="L220" s="6" t="n">
        <x:v>478484.53</x:v>
      </x:c>
      <x:c r="M220" s="6" t="n">
        <x:v>455014.89</x:v>
      </x:c>
      <x:c r="N220" s="6" t="n">
        <x:v>458575.2</x:v>
      </x:c>
      <x:c r="O220" s="6" t="n">
        <x:v>3508072.98</x:v>
      </x:c>
      <x:c r="P220" s="6" t="n">
        <x:v>327656.98</x:v>
      </x:c>
      <x:c r="Q220" s="6" t="n">
        <x:v>109</x:v>
      </x:c>
      <x:c r="R220" s="6" t="n">
        <x:f>F220-I220</x:f>
        <x:v>879408.73</x:v>
      </x:c>
      <x:c r="S220" s="6" t="n">
        <x:f>G220-J220</x:f>
        <x:v>876324.9800000001</x:v>
      </x:c>
      <x:c r="T220" s="6" t="n">
        <x:f>R220-L220</x:f>
        <x:v>400924.19999999995</x:v>
      </x:c>
      <x:c r="U220" s="6" t="n">
        <x:f>S220-M220</x:f>
        <x:v>421310.0900000001</x:v>
      </x:c>
      <x:c r="V220" s="6" t="n">
        <x:f>F220-G220</x:f>
        <x:v>-14729.40000000014</x:v>
      </x:c>
      <x:c r="W220" s="8" t="n">
        <x:f>IFERROR(V220/G220,0)</x:f>
        <x:v>-0.008740237015688894</x:v>
      </x:c>
      <x:c r="X220" s="8" t="n">
        <x:f>IFERROR(T220/F220,0)</x:f>
        <x:v>0.2400009424661415</x:v>
      </x:c>
      <x:c r="Y220" s="8" t="n">
        <x:f>IFERROR(T220/O220,0)</x:f>
        <x:v>0.11428616288364672</x:v>
      </x:c>
    </x:row>
    <x:row r="221">
      <x:c r="A221" t="str">
        <x:v>2025-07-01</x:v>
      </x:c>
      <x:c r="B221" t="n">
        <x:v>2025</x:v>
      </x:c>
      <x:c r="C221" t="str">
        <x:v>Q3</x:v>
      </x:c>
      <x:c r="D221" t="str">
        <x:v>SMB</x:v>
      </x:c>
      <x:c r="E221" t="str">
        <x:v>East</x:v>
      </x:c>
      <x:c r="F221" s="6" t="n">
        <x:v>976633.67</x:v>
      </x:c>
      <x:c r="G221" s="6" t="n">
        <x:v>1008131.18</x:v>
      </x:c>
      <x:c r="H221" s="6" t="n">
        <x:v>996509.87</x:v>
      </x:c>
      <x:c r="I221" s="6" t="n">
        <x:v>537104.7</x:v>
      </x:c>
      <x:c r="J221" s="6" t="n">
        <x:v>544390.84</x:v>
      </x:c>
      <x:c r="K221" s="6" t="n">
        <x:v>540108.35</x:v>
      </x:c>
      <x:c r="L221" s="6" t="n">
        <x:v>274467.48</x:v>
      </x:c>
      <x:c r="M221" s="6" t="n">
        <x:v>292358.04</x:v>
      </x:c>
      <x:c r="N221" s="6" t="n">
        <x:v>292973.9</x:v>
      </x:c>
      <x:c r="O221" s="6" t="n">
        <x:v>1660277.23</x:v>
      </x:c>
      <x:c r="P221" s="6" t="n">
        <x:v>144292.61</x:v>
      </x:c>
      <x:c r="Q221" s="6" t="n">
        <x:v>80</x:v>
      </x:c>
      <x:c r="R221" s="6" t="n">
        <x:f>F221-I221</x:f>
        <x:v>439528.9700000001</x:v>
      </x:c>
      <x:c r="S221" s="6" t="n">
        <x:f>G221-J221</x:f>
        <x:v>463740.3400000001</x:v>
      </x:c>
      <x:c r="T221" s="6" t="n">
        <x:f>R221-L221</x:f>
        <x:v>165061.4900000001</x:v>
      </x:c>
      <x:c r="U221" s="6" t="n">
        <x:f>S221-M221</x:f>
        <x:v>171382.3000000001</x:v>
      </x:c>
      <x:c r="V221" s="6" t="n">
        <x:f>F221-G221</x:f>
        <x:v>-31497.51000000001</x:v>
      </x:c>
      <x:c r="W221" s="8" t="n">
        <x:f>IFERROR(V221/G221,0)</x:f>
        <x:v>-0.03124346377224441</x:v>
      </x:c>
      <x:c r="X221" s="8" t="n">
        <x:f>IFERROR(T221/F221,0)</x:f>
        <x:v>0.16901064858843143</x:v>
      </x:c>
      <x:c r="Y221" s="8" t="n">
        <x:f>IFERROR(T221/O221,0)</x:f>
        <x:v>0.09941802912035366</x:v>
      </x:c>
    </x:row>
    <x:row r="222">
      <x:c r="A222" t="str">
        <x:v>2025-07-01</x:v>
      </x:c>
      <x:c r="B222" t="n">
        <x:v>2025</x:v>
      </x:c>
      <x:c r="C222" t="str">
        <x:v>Q3</x:v>
      </x:c>
      <x:c r="D222" t="str">
        <x:v>SMB</x:v>
      </x:c>
      <x:c r="E222" t="str">
        <x:v>Central</x:v>
      </x:c>
      <x:c r="F222" s="6" t="n">
        <x:v>958992.35</x:v>
      </x:c>
      <x:c r="G222" s="6" t="n">
        <x:v>919131.26</x:v>
      </x:c>
      <x:c r="H222" s="6" t="n">
        <x:v>906905.57</x:v>
      </x:c>
      <x:c r="I222" s="6" t="n">
        <x:v>514744.78</x:v>
      </x:c>
      <x:c r="J222" s="6" t="n">
        <x:v>496330.88</x:v>
      </x:c>
      <x:c r="K222" s="6" t="n">
        <x:v>491542.82</x:v>
      </x:c>
      <x:c r="L222" s="6" t="n">
        <x:v>288646.37</x:v>
      </x:c>
      <x:c r="M222" s="6" t="n">
        <x:v>266548.07</x:v>
      </x:c>
      <x:c r="N222" s="6" t="n">
        <x:v>266630.24</x:v>
      </x:c>
      <x:c r="O222" s="6" t="n">
        <x:v>1630286.99</x:v>
      </x:c>
      <x:c r="P222" s="6" t="n">
        <x:v>116111.15</x:v>
      </x:c>
      <x:c r="Q222" s="6" t="n">
        <x:v>72</x:v>
      </x:c>
      <x:c r="R222" s="6" t="n">
        <x:f>F222-I222</x:f>
        <x:v>444247.56999999995</x:v>
      </x:c>
      <x:c r="S222" s="6" t="n">
        <x:f>G222-J222</x:f>
        <x:v>422800.38</x:v>
      </x:c>
      <x:c r="T222" s="6" t="n">
        <x:f>R222-L222</x:f>
        <x:v>155601.19999999995</x:v>
      </x:c>
      <x:c r="U222" s="6" t="n">
        <x:f>S222-M222</x:f>
        <x:v>156252.31</x:v>
      </x:c>
      <x:c r="V222" s="6" t="n">
        <x:f>F222-G222</x:f>
        <x:v>39861.08999999997</x:v>
      </x:c>
      <x:c r="W222" s="8" t="n">
        <x:f>IFERROR(V222/G222,0)</x:f>
        <x:v>0.04336822359844444</x:v>
      </x:c>
      <x:c r="X222" s="8" t="n">
        <x:f>IFERROR(T222/F222,0)</x:f>
        <x:v>0.162254891814309</x:v>
      </x:c>
      <x:c r="Y222" s="8" t="n">
        <x:f>IFERROR(T222/O222,0)</x:f>
        <x:v>0.0954440543011387</x:v>
      </x:c>
    </x:row>
    <x:row r="223">
      <x:c r="A223" t="str">
        <x:v>2025-07-01</x:v>
      </x:c>
      <x:c r="B223" t="n">
        <x:v>2025</x:v>
      </x:c>
      <x:c r="C223" t="str">
        <x:v>Q3</x:v>
      </x:c>
      <x:c r="D223" t="str">
        <x:v>SMB</x:v>
      </x:c>
      <x:c r="E223" t="str">
        <x:v>West</x:v>
      </x:c>
      <x:c r="F223" s="6" t="n">
        <x:v>946100.33</x:v>
      </x:c>
      <x:c r="G223" s="6" t="n">
        <x:v>974131.23</x:v>
      </x:c>
      <x:c r="H223" s="6" t="n">
        <x:v>995962.02</x:v>
      </x:c>
      <x:c r="I223" s="6" t="n">
        <x:v>518508.91</x:v>
      </x:c>
      <x:c r="J223" s="6" t="n">
        <x:v>526030.86</x:v>
      </x:c>
      <x:c r="K223" s="6" t="n">
        <x:v>539811.42</x:v>
      </x:c>
      <x:c r="L223" s="6" t="n">
        <x:v>285978.99</x:v>
      </x:c>
      <x:c r="M223" s="6" t="n">
        <x:v>282498.06</x:v>
      </x:c>
      <x:c r="N223" s="6" t="n">
        <x:v>292812.83</x:v>
      </x:c>
      <x:c r="O223" s="6" t="n">
        <x:v>1608370.56</x:v>
      </x:c>
      <x:c r="P223" s="6" t="n">
        <x:v>106649.43</x:v>
      </x:c>
      <x:c r="Q223" s="6" t="n">
        <x:v>77</x:v>
      </x:c>
      <x:c r="R223" s="6" t="n">
        <x:f>F223-I223</x:f>
        <x:v>427591.42</x:v>
      </x:c>
      <x:c r="S223" s="6" t="n">
        <x:f>G223-J223</x:f>
        <x:v>448100.37</x:v>
      </x:c>
      <x:c r="T223" s="6" t="n">
        <x:f>R223-L223</x:f>
        <x:v>141612.43</x:v>
      </x:c>
      <x:c r="U223" s="6" t="n">
        <x:f>S223-M223</x:f>
        <x:v>165602.31</x:v>
      </x:c>
      <x:c r="V223" s="6" t="n">
        <x:f>F223-G223</x:f>
        <x:v>-28030.900000000023</x:v>
      </x:c>
      <x:c r="W223" s="8" t="n">
        <x:f>IFERROR(V223/G223,0)</x:f>
        <x:v>-0.02877528112921708</x:v>
      </x:c>
      <x:c r="X223" s="8" t="n">
        <x:f>IFERROR(T223/F223,0)</x:f>
        <x:v>0.14968014016018788</x:v>
      </x:c>
      <x:c r="Y223" s="8" t="n">
        <x:f>IFERROR(T223/O223,0)</x:f>
        <x:v>0.08804714132544181</x:v>
      </x:c>
    </x:row>
    <x:row r="224">
      <x:c r="A224" t="str">
        <x:v>2025-07-01</x:v>
      </x:c>
      <x:c r="B224" t="n">
        <x:v>2025</x:v>
      </x:c>
      <x:c r="C224" t="str">
        <x:v>Q3</x:v>
      </x:c>
      <x:c r="D224" t="str">
        <x:v>Digital</x:v>
      </x:c>
      <x:c r="E224" t="str">
        <x:v>East</x:v>
      </x:c>
      <x:c r="F224" s="6" t="n">
        <x:v>738514.1</x:v>
      </x:c>
      <x:c r="G224" s="6" t="n">
        <x:v>741416.1</x:v>
      </x:c>
      <x:c r="H224" s="6" t="n">
        <x:v>752860.85</x:v>
      </x:c>
      <x:c r="I224" s="6" t="n">
        <x:v>261563.81</x:v>
      </x:c>
      <x:c r="J224" s="6" t="n">
        <x:v>266909.8</x:v>
      </x:c>
      <x:c r="K224" s="6" t="n">
        <x:v>272535.63</x:v>
      </x:c>
      <x:c r="L224" s="6" t="n">
        <x:v>252074.03</x:v>
      </x:c>
      <x:c r="M224" s="6" t="n">
        <x:v>252081.48</x:v>
      </x:c>
      <x:c r="N224" s="6" t="n">
        <x:v>258984.13</x:v>
      </x:c>
      <x:c r="O224" s="6" t="n">
        <x:v>1033919.74</x:v>
      </x:c>
      <x:c r="P224" s="6" t="n">
        <x:v>174725.61</x:v>
      </x:c>
      <x:c r="Q224" s="6" t="n">
        <x:v>58</x:v>
      </x:c>
      <x:c r="R224" s="6" t="n">
        <x:f>F224-I224</x:f>
        <x:v>476950.29</x:v>
      </x:c>
      <x:c r="S224" s="6" t="n">
        <x:f>G224-J224</x:f>
        <x:v>474506.3</x:v>
      </x:c>
      <x:c r="T224" s="6" t="n">
        <x:f>R224-L224</x:f>
        <x:v>224876.25999999998</x:v>
      </x:c>
      <x:c r="U224" s="6" t="n">
        <x:f>S224-M224</x:f>
        <x:v>222424.81999999998</x:v>
      </x:c>
      <x:c r="V224" s="6" t="n">
        <x:f>F224-G224</x:f>
        <x:v>-2902</x:v>
      </x:c>
      <x:c r="W224" s="8" t="n">
        <x:f>IFERROR(V224/G224,0)</x:f>
        <x:v>-0.003914131349454106</x:v>
      </x:c>
      <x:c r="X224" s="8" t="n">
        <x:f>IFERROR(T224/F224,0)</x:f>
        <x:v>0.30449826211848896</x:v>
      </x:c>
      <x:c r="Y224" s="8" t="n">
        <x:f>IFERROR(T224/O224,0)</x:f>
        <x:v>0.21749875865606355</x:v>
      </x:c>
    </x:row>
    <x:row r="225">
      <x:c r="A225" t="str">
        <x:v>2025-07-01</x:v>
      </x:c>
      <x:c r="B225" t="n">
        <x:v>2025</x:v>
      </x:c>
      <x:c r="C225" t="str">
        <x:v>Q3</x:v>
      </x:c>
      <x:c r="D225" t="str">
        <x:v>Digital</x:v>
      </x:c>
      <x:c r="E225" t="str">
        <x:v>Central</x:v>
      </x:c>
      <x:c r="F225" s="6" t="n">
        <x:v>669873.72</x:v>
      </x:c>
      <x:c r="G225" s="6" t="n">
        <x:v>669945.54</x:v>
      </x:c>
      <x:c r="H225" s="6" t="n">
        <x:v>675995.49</x:v>
      </x:c>
      <x:c r="I225" s="6" t="n">
        <x:v>238505.97</x:v>
      </x:c>
      <x:c r="J225" s="6" t="n">
        <x:v>241180.4</x:v>
      </x:c>
      <x:c r="K225" s="6" t="n">
        <x:v>244710.37</x:v>
      </x:c>
      <x:c r="L225" s="6" t="n">
        <x:v>235968.86</x:v>
      </x:c>
      <x:c r="M225" s="6" t="n">
        <x:v>227781.48</x:v>
      </x:c>
      <x:c r="N225" s="6" t="n">
        <x:v>232542.45</x:v>
      </x:c>
      <x:c r="O225" s="6" t="n">
        <x:v>937823.21</x:v>
      </x:c>
      <x:c r="P225" s="6" t="n">
        <x:v>159016.23</x:v>
      </x:c>
      <x:c r="Q225" s="6" t="n">
        <x:v>52</x:v>
      </x:c>
      <x:c r="R225" s="6" t="n">
        <x:f>F225-I225</x:f>
        <x:v>431367.75</x:v>
      </x:c>
      <x:c r="S225" s="6" t="n">
        <x:f>G225-J225</x:f>
        <x:v>428765.14</x:v>
      </x:c>
      <x:c r="T225" s="6" t="n">
        <x:f>R225-L225</x:f>
        <x:v>195398.89</x:v>
      </x:c>
      <x:c r="U225" s="6" t="n">
        <x:f>S225-M225</x:f>
        <x:v>200983.66</x:v>
      </x:c>
      <x:c r="V225" s="6" t="n">
        <x:f>F225-G225</x:f>
        <x:v>-71.82000000006519</x:v>
      </x:c>
      <x:c r="W225" s="8" t="n">
        <x:f>IFERROR(V225/G225,0)</x:f>
        <x:v>-0.00010720274367385921</x:v>
      </x:c>
      <x:c r="X225" s="8" t="n">
        <x:f>IFERROR(T225/F225,0)</x:f>
        <x:v>0.2916951123265442</x:v>
      </x:c>
      <x:c r="Y225" s="8" t="n">
        <x:f>IFERROR(T225/O225,0)</x:f>
        <x:v>0.2083536512174827</x:v>
      </x:c>
    </x:row>
    <x:row r="226">
      <x:c r="A226" t="str">
        <x:v>2025-07-01</x:v>
      </x:c>
      <x:c r="B226" t="n">
        <x:v>2025</x:v>
      </x:c>
      <x:c r="C226" t="str">
        <x:v>Q3</x:v>
      </x:c>
      <x:c r="D226" t="str">
        <x:v>Digital</x:v>
      </x:c>
      <x:c r="E226" t="str">
        <x:v>West</x:v>
      </x:c>
      <x:c r="F226" s="6" t="n">
        <x:v>715761.56</x:v>
      </x:c>
      <x:c r="G226" s="6" t="n">
        <x:v>721690.9</x:v>
      </x:c>
      <x:c r="H226" s="6" t="n">
        <x:v>741624.62</x:v>
      </x:c>
      <x:c r="I226" s="6" t="n">
        <x:v>267405.25</x:v>
      </x:c>
      <x:c r="J226" s="6" t="n">
        <x:v>259808.72</x:v>
      </x:c>
      <x:c r="K226" s="6" t="n">
        <x:v>268468.11</x:v>
      </x:c>
      <x:c r="L226" s="6" t="n">
        <x:v>244683.37</x:v>
      </x:c>
      <x:c r="M226" s="6" t="n">
        <x:v>245374.91</x:v>
      </x:c>
      <x:c r="N226" s="6" t="n">
        <x:v>255118.87</x:v>
      </x:c>
      <x:c r="O226" s="6" t="n">
        <x:v>1002066.18</x:v>
      </x:c>
      <x:c r="P226" s="6" t="n">
        <x:v>158122.37</x:v>
      </x:c>
      <x:c r="Q226" s="6" t="n">
        <x:v>56</x:v>
      </x:c>
      <x:c r="R226" s="6" t="n">
        <x:f>F226-I226</x:f>
        <x:v>448356.31000000006</x:v>
      </x:c>
      <x:c r="S226" s="6" t="n">
        <x:f>G226-J226</x:f>
        <x:v>461882.18000000005</x:v>
      </x:c>
      <x:c r="T226" s="6" t="n">
        <x:f>R226-L226</x:f>
        <x:v>203672.94000000006</x:v>
      </x:c>
      <x:c r="U226" s="6" t="n">
        <x:f>S226-M226</x:f>
        <x:v>216507.27000000005</x:v>
      </x:c>
      <x:c r="V226" s="6" t="n">
        <x:f>F226-G226</x:f>
        <x:v>-5929.339999999967</x:v>
      </x:c>
      <x:c r="W226" s="8" t="n">
        <x:f>IFERROR(V226/G226,0)</x:f>
        <x:v>-0.008215899632377194</x:v>
      </x:c>
      <x:c r="X226" s="8" t="n">
        <x:f>IFERROR(T226/F226,0)</x:f>
        <x:v>0.28455417471706645</x:v>
      </x:c>
      <x:c r="Y226" s="8" t="n">
        <x:f>IFERROR(T226/O226,0)</x:f>
        <x:v>0.20325298275209733</x:v>
      </x:c>
    </x:row>
    <x:row r="227">
      <x:c r="A227" t="str">
        <x:v>2025-07-01</x:v>
      </x:c>
      <x:c r="B227" t="n">
        <x:v>2025</x:v>
      </x:c>
      <x:c r="C227" t="str">
        <x:v>Q3</x:v>
      </x:c>
      <x:c r="D227" t="str">
        <x:v>Services</x:v>
      </x:c>
      <x:c r="E227" t="str">
        <x:v>East</x:v>
      </x:c>
      <x:c r="F227" s="6" t="n">
        <x:v>549614.94</x:v>
      </x:c>
      <x:c r="G227" s="6" t="n">
        <x:v>545390.36</x:v>
      </x:c>
      <x:c r="H227" s="6" t="n">
        <x:v>560924.2</x:v>
      </x:c>
      <x:c r="I227" s="6" t="n">
        <x:v>235916.26</x:v>
      </x:c>
      <x:c r="J227" s="6" t="n">
        <x:v>229063.95</x:v>
      </x:c>
      <x:c r="K227" s="6" t="n">
        <x:v>236710.01</x:v>
      </x:c>
      <x:c r="L227" s="6" t="n">
        <x:v>176996.77</x:v>
      </x:c>
      <x:c r="M227" s="6" t="n">
        <x:v>169071.01</x:v>
      </x:c>
      <x:c r="N227" s="6" t="n">
        <x:v>176130.2</x:v>
      </x:c>
      <x:c r="O227" s="6" t="n">
        <x:v>879383.9</x:v>
      </x:c>
      <x:c r="P227" s="6" t="n">
        <x:v>102209.24</x:v>
      </x:c>
      <x:c r="Q227" s="6" t="n">
        <x:v>53</x:v>
      </x:c>
      <x:c r="R227" s="6" t="n">
        <x:f>F227-I227</x:f>
        <x:v>313698.67999999993</x:v>
      </x:c>
      <x:c r="S227" s="6" t="n">
        <x:f>G227-J227</x:f>
        <x:v>316326.41</x:v>
      </x:c>
      <x:c r="T227" s="6" t="n">
        <x:f>R227-L227</x:f>
        <x:v>136701.90999999995</x:v>
      </x:c>
      <x:c r="U227" s="6" t="n">
        <x:f>S227-M227</x:f>
        <x:v>147255.39999999997</x:v>
      </x:c>
      <x:c r="V227" s="6" t="n">
        <x:f>F227-G227</x:f>
        <x:v>4224.579999999958</x:v>
      </x:c>
      <x:c r="W227" s="8" t="n">
        <x:f>IFERROR(V227/G227,0)</x:f>
        <x:v>0.007745974828011185</x:v>
      </x:c>
      <x:c r="X227" s="8" t="n">
        <x:f>IFERROR(T227/F227,0)</x:f>
        <x:v>0.24872306054853596</x:v>
      </x:c>
      <x:c r="Y227" s="8" t="n">
        <x:f>IFERROR(T227/O227,0)</x:f>
        <x:v>0.1554519135499296</x:v>
      </x:c>
    </x:row>
    <x:row r="228">
      <x:c r="A228" t="str">
        <x:v>2025-07-01</x:v>
      </x:c>
      <x:c r="B228" t="n">
        <x:v>2025</x:v>
      </x:c>
      <x:c r="C228" t="str">
        <x:v>Q3</x:v>
      </x:c>
      <x:c r="D228" t="str">
        <x:v>Services</x:v>
      </x:c>
      <x:c r="E228" t="str">
        <x:v>Central</x:v>
      </x:c>
      <x:c r="F228" s="6" t="n">
        <x:v>495613.12</x:v>
      </x:c>
      <x:c r="G228" s="6" t="n">
        <x:v>486315.78</x:v>
      </x:c>
      <x:c r="H228" s="6" t="n">
        <x:v>498150.41</x:v>
      </x:c>
      <x:c r="I228" s="6" t="n">
        <x:v>209355.93</x:v>
      </x:c>
      <x:c r="J228" s="6" t="n">
        <x:v>204252.63</x:v>
      </x:c>
      <x:c r="K228" s="6" t="n">
        <x:v>210219.47</x:v>
      </x:c>
      <x:c r="L228" s="6" t="n">
        <x:v>149218.05</x:v>
      </x:c>
      <x:c r="M228" s="6" t="n">
        <x:v>150757.89</x:v>
      </x:c>
      <x:c r="N228" s="6" t="n">
        <x:v>156419.23</x:v>
      </x:c>
      <x:c r="O228" s="6" t="n">
        <x:v>792981</x:v>
      </x:c>
      <x:c r="P228" s="6" t="n">
        <x:v>121852.25</x:v>
      </x:c>
      <x:c r="Q228" s="6" t="n">
        <x:v>47</x:v>
      </x:c>
      <x:c r="R228" s="6" t="n">
        <x:f>F228-I228</x:f>
        <x:v>286257.19</x:v>
      </x:c>
      <x:c r="S228" s="6" t="n">
        <x:f>G228-J228</x:f>
        <x:v>282063.15</x:v>
      </x:c>
      <x:c r="T228" s="6" t="n">
        <x:f>R228-L228</x:f>
        <x:v>137039.14</x:v>
      </x:c>
      <x:c r="U228" s="6" t="n">
        <x:f>S228-M228</x:f>
        <x:v>131305.26</x:v>
      </x:c>
      <x:c r="V228" s="6" t="n">
        <x:f>F228-G228</x:f>
        <x:v>9297.339999999967</x:v>
      </x:c>
      <x:c r="W228" s="8" t="n">
        <x:f>IFERROR(V228/G228,0)</x:f>
        <x:v>0.019117907298833624</x:v>
      </x:c>
      <x:c r="X228" s="8" t="n">
        <x:f>IFERROR(T228/F228,0)</x:f>
        <x:v>0.27650426203406403</x:v>
      </x:c>
      <x:c r="Y228" s="8" t="n">
        <x:f>IFERROR(T228/O228,0)</x:f>
        <x:v>0.1728151620278418</x:v>
      </x:c>
    </x:row>
    <x:row r="229">
      <x:c r="A229" t="str">
        <x:v>2025-07-01</x:v>
      </x:c>
      <x:c r="B229" t="n">
        <x:v>2025</x:v>
      </x:c>
      <x:c r="C229" t="str">
        <x:v>Q3</x:v>
      </x:c>
      <x:c r="D229" t="str">
        <x:v>Services</x:v>
      </x:c>
      <x:c r="E229" t="str">
        <x:v>West</x:v>
      </x:c>
      <x:c r="F229" s="6" t="n">
        <x:v>523250.71</x:v>
      </x:c>
      <x:c r="G229" s="6" t="n">
        <x:v>532025.78</x:v>
      </x:c>
      <x:c r="H229" s="6" t="n">
        <x:v>542315.3</x:v>
      </x:c>
      <x:c r="I229" s="6" t="n">
        <x:v>217197.48</x:v>
      </x:c>
      <x:c r="J229" s="6" t="n">
        <x:v>223450.83</x:v>
      </x:c>
      <x:c r="K229" s="6" t="n">
        <x:v>228857.06</x:v>
      </x:c>
      <x:c r="L229" s="6" t="n">
        <x:v>170139.78</x:v>
      </x:c>
      <x:c r="M229" s="6" t="n">
        <x:v>164927.99</x:v>
      </x:c>
      <x:c r="N229" s="6" t="n">
        <x:v>170287</x:v>
      </x:c>
      <x:c r="O229" s="6" t="n">
        <x:v>837201.14</x:v>
      </x:c>
      <x:c r="P229" s="6" t="n">
        <x:v>101863.02</x:v>
      </x:c>
      <x:c r="Q229" s="6" t="n">
        <x:v>51</x:v>
      </x:c>
      <x:c r="R229" s="6" t="n">
        <x:f>F229-I229</x:f>
        <x:v>306053.23</x:v>
      </x:c>
      <x:c r="S229" s="6" t="n">
        <x:f>G229-J229</x:f>
        <x:v>308574.95000000007</x:v>
      </x:c>
      <x:c r="T229" s="6" t="n">
        <x:f>R229-L229</x:f>
        <x:v>135913.44999999998</x:v>
      </x:c>
      <x:c r="U229" s="6" t="n">
        <x:f>S229-M229</x:f>
        <x:v>143646.96000000008</x:v>
      </x:c>
      <x:c r="V229" s="6" t="n">
        <x:f>F229-G229</x:f>
        <x:v>-8775.070000000007</x:v>
      </x:c>
      <x:c r="W229" s="8" t="n">
        <x:f>IFERROR(V229/G229,0)</x:f>
        <x:v>-0.016493693219151912</x:v>
      </x:c>
      <x:c r="X229" s="8" t="n">
        <x:f>IFERROR(T229/F229,0)</x:f>
        <x:v>0.2597482380864805</x:v>
      </x:c>
      <x:c r="Y229" s="8" t="n">
        <x:f>IFERROR(T229/O229,0)</x:f>
        <x:v>0.16234264802840567</x:v>
      </x:c>
    </x:row>
    <x:row r="230">
      <x:c r="A230" t="str">
        <x:v>2025-08-01</x:v>
      </x:c>
      <x:c r="B230" t="n">
        <x:v>2025</x:v>
      </x:c>
      <x:c r="C230" t="str">
        <x:v>Q3</x:v>
      </x:c>
      <x:c r="D230" t="str">
        <x:v>Enterprise</x:v>
      </x:c>
      <x:c r="E230" t="str">
        <x:v>East</x:v>
      </x:c>
      <x:c r="F230" s="6" t="n">
        <x:v>1807522.65</x:v>
      </x:c>
      <x:c r="G230" s="6" t="n">
        <x:v>1722038.38</x:v>
      </x:c>
      <x:c r="H230" s="6" t="n">
        <x:v>1713413.91</x:v>
      </x:c>
      <x:c r="I230" s="6" t="n">
        <x:v>867121.62</x:v>
      </x:c>
      <x:c r="J230" s="6" t="n">
        <x:v>826578.42</x:v>
      </x:c>
      <x:c r="K230" s="6" t="n">
        <x:v>825865.5</x:v>
      </x:c>
      <x:c r="L230" s="6" t="n">
        <x:v>485297.33</x:v>
      </x:c>
      <x:c r="M230" s="6" t="n">
        <x:v>464950.36</x:v>
      </x:c>
      <x:c r="N230" s="6" t="n">
        <x:v>469475.41</x:v>
      </x:c>
      <x:c r="O230" s="6" t="n">
        <x:v>3795797.56</x:v>
      </x:c>
      <x:c r="P230" s="6" t="n">
        <x:v>330102.2</x:v>
      </x:c>
      <x:c r="Q230" s="6" t="n">
        <x:v>113</x:v>
      </x:c>
      <x:c r="R230" s="6" t="n">
        <x:f>F230-I230</x:f>
        <x:v>940401.0299999999</x:v>
      </x:c>
      <x:c r="S230" s="6" t="n">
        <x:f>G230-J230</x:f>
        <x:v>895459.9599999998</x:v>
      </x:c>
      <x:c r="T230" s="6" t="n">
        <x:f>R230-L230</x:f>
        <x:v>455103.6999999999</x:v>
      </x:c>
      <x:c r="U230" s="6" t="n">
        <x:f>S230-M230</x:f>
        <x:v>430509.59999999986</x:v>
      </x:c>
      <x:c r="V230" s="6" t="n">
        <x:f>F230-G230</x:f>
        <x:v>85484.27000000002</x:v>
      </x:c>
      <x:c r="W230" s="8" t="n">
        <x:f>IFERROR(V230/G230,0)</x:f>
        <x:v>0.04964132680945243</x:v>
      </x:c>
      <x:c r="X230" s="8" t="n">
        <x:f>IFERROR(T230/F230,0)</x:f>
        <x:v>0.25178312426679683</x:v>
      </x:c>
      <x:c r="Y230" s="8" t="n">
        <x:f>IFERROR(T230/O230,0)</x:f>
        <x:v>0.11989672599926533</x:v>
      </x:c>
    </x:row>
    <x:row r="231">
      <x:c r="A231" t="str">
        <x:v>2025-08-01</x:v>
      </x:c>
      <x:c r="B231" t="n">
        <x:v>2025</x:v>
      </x:c>
      <x:c r="C231" t="str">
        <x:v>Q3</x:v>
      </x:c>
      <x:c r="D231" t="str">
        <x:v>Enterprise</x:v>
      </x:c>
      <x:c r="E231" t="str">
        <x:v>Central</x:v>
      </x:c>
      <x:c r="F231" s="6" t="n">
        <x:v>1531756.37</x:v>
      </x:c>
      <x:c r="G231" s="6" t="n">
        <x:v>1523831.36</x:v>
      </x:c>
      <x:c r="H231" s="6" t="n">
        <x:v>1517141.76</x:v>
      </x:c>
      <x:c r="I231" s="6" t="n">
        <x:v>756469.61</x:v>
      </x:c>
      <x:c r="J231" s="6" t="n">
        <x:v>731439.05</x:v>
      </x:c>
      <x:c r="K231" s="6" t="n">
        <x:v>731262.33</x:v>
      </x:c>
      <x:c r="L231" s="6" t="n">
        <x:v>412421.39</x:v>
      </x:c>
      <x:c r="M231" s="6" t="n">
        <x:v>411434.47</x:v>
      </x:c>
      <x:c r="N231" s="6" t="n">
        <x:v>415696.84</x:v>
      </x:c>
      <x:c r="O231" s="6" t="n">
        <x:v>3216688.37</x:v>
      </x:c>
      <x:c r="P231" s="6" t="n">
        <x:v>263308.72</x:v>
      </x:c>
      <x:c r="Q231" s="6" t="n">
        <x:v>101</x:v>
      </x:c>
      <x:c r="R231" s="6" t="n">
        <x:f>F231-I231</x:f>
        <x:v>775286.7600000001</x:v>
      </x:c>
      <x:c r="S231" s="6" t="n">
        <x:f>G231-J231</x:f>
        <x:v>792392.31</x:v>
      </x:c>
      <x:c r="T231" s="6" t="n">
        <x:f>R231-L231</x:f>
        <x:v>362865.3700000001</x:v>
      </x:c>
      <x:c r="U231" s="6" t="n">
        <x:f>S231-M231</x:f>
        <x:v>380957.8400000001</x:v>
      </x:c>
      <x:c r="V231" s="6" t="n">
        <x:f>F231-G231</x:f>
        <x:v>7925.010000000009</x:v>
      </x:c>
      <x:c r="W231" s="8" t="n">
        <x:f>IFERROR(V231/G231,0)</x:f>
        <x:v>0.005200713286278614</x:v>
      </x:c>
      <x:c r="X231" s="8" t="n">
        <x:f>IFERROR(T231/F231,0)</x:f>
        <x:v>0.23689496391648765</x:v>
      </x:c>
      <x:c r="Y231" s="8" t="n">
        <x:f>IFERROR(T231/O231,0)</x:f>
        <x:v>0.11280712592000328</x:v>
      </x:c>
    </x:row>
    <x:row r="232">
      <x:c r="A232" t="str">
        <x:v>2025-08-01</x:v>
      </x:c>
      <x:c r="B232" t="n">
        <x:v>2025</x:v>
      </x:c>
      <x:c r="C232" t="str">
        <x:v>Q3</x:v>
      </x:c>
      <x:c r="D232" t="str">
        <x:v>Enterprise</x:v>
      </x:c>
      <x:c r="E232" t="str">
        <x:v>West</x:v>
      </x:c>
      <x:c r="F232" s="6" t="n">
        <x:v>1746419.76</x:v>
      </x:c>
      <x:c r="G232" s="6" t="n">
        <x:v>1680999.25</x:v>
      </x:c>
      <x:c r="H232" s="6" t="n">
        <x:v>1704950.52</x:v>
      </x:c>
      <x:c r="I232" s="6" t="n">
        <x:v>853258.6</x:v>
      </x:c>
      <x:c r="J232" s="6" t="n">
        <x:v>806879.64</x:v>
      </x:c>
      <x:c r="K232" s="6" t="n">
        <x:v>821786.15</x:v>
      </x:c>
      <x:c r="L232" s="6" t="n">
        <x:v>457785.5</x:v>
      </x:c>
      <x:c r="M232" s="6" t="n">
        <x:v>453869.8</x:v>
      </x:c>
      <x:c r="N232" s="6" t="n">
        <x:v>467156.44</x:v>
      </x:c>
      <x:c r="O232" s="6" t="n">
        <x:v>3667481.49</x:v>
      </x:c>
      <x:c r="P232" s="6" t="n">
        <x:v>338450.54</x:v>
      </x:c>
      <x:c r="Q232" s="6" t="n">
        <x:v>109</x:v>
      </x:c>
      <x:c r="R232" s="6" t="n">
        <x:f>F232-I232</x:f>
        <x:v>893161.16</x:v>
      </x:c>
      <x:c r="S232" s="6" t="n">
        <x:f>G232-J232</x:f>
        <x:v>874119.61</x:v>
      </x:c>
      <x:c r="T232" s="6" t="n">
        <x:f>R232-L232</x:f>
        <x:v>435375.66000000003</x:v>
      </x:c>
      <x:c r="U232" s="6" t="n">
        <x:f>S232-M232</x:f>
        <x:v>420249.81</x:v>
      </x:c>
      <x:c r="V232" s="6" t="n">
        <x:f>F232-G232</x:f>
        <x:v>65420.51000000001</x:v>
      </x:c>
      <x:c r="W232" s="8" t="n">
        <x:f>IFERROR(V232/G232,0)</x:f>
        <x:v>0.03891763187877687</x:v>
      </x:c>
      <x:c r="X232" s="8" t="n">
        <x:f>IFERROR(T232/F232,0)</x:f>
        <x:v>0.2492961142400267</x:v>
      </x:c>
      <x:c r="Y232" s="8" t="n">
        <x:f>IFERROR(T232/O232,0)</x:f>
        <x:v>0.11871243554660722</x:v>
      </x:c>
    </x:row>
    <x:row r="233">
      <x:c r="A233" t="str">
        <x:v>2025-08-01</x:v>
      </x:c>
      <x:c r="B233" t="n">
        <x:v>2025</x:v>
      </x:c>
      <x:c r="C233" t="str">
        <x:v>Q3</x:v>
      </x:c>
      <x:c r="D233" t="str">
        <x:v>SMB</x:v>
      </x:c>
      <x:c r="E233" t="str">
        <x:v>East</x:v>
      </x:c>
      <x:c r="F233" s="6" t="n">
        <x:v>1031458.56</x:v>
      </x:c>
      <x:c r="G233" s="6" t="n">
        <x:v>1006686.82</x:v>
      </x:c>
      <x:c r="H233" s="6" t="n">
        <x:v>997873.95</x:v>
      </x:c>
      <x:c r="I233" s="6" t="n">
        <x:v>563531.13</x:v>
      </x:c>
      <x:c r="J233" s="6" t="n">
        <x:v>543610.88</x:v>
      </x:c>
      <x:c r="K233" s="6" t="n">
        <x:v>540847.68</x:v>
      </x:c>
      <x:c r="L233" s="6" t="n">
        <x:v>300626.89</x:v>
      </x:c>
      <x:c r="M233" s="6" t="n">
        <x:v>291939.18</x:v>
      </x:c>
      <x:c r="N233" s="6" t="n">
        <x:v>293374.94</x:v>
      </x:c>
      <x:c r="O233" s="6" t="n">
        <x:v>1753479.55</x:v>
      </x:c>
      <x:c r="P233" s="6" t="n">
        <x:v>120632.09</x:v>
      </x:c>
      <x:c r="Q233" s="6" t="n">
        <x:v>80</x:v>
      </x:c>
      <x:c r="R233" s="6" t="n">
        <x:f>F233-I233</x:f>
        <x:v>467927.43000000005</x:v>
      </x:c>
      <x:c r="S233" s="6" t="n">
        <x:f>G233-J233</x:f>
        <x:v>463075.93999999994</x:v>
      </x:c>
      <x:c r="T233" s="6" t="n">
        <x:f>R233-L233</x:f>
        <x:v>167300.54000000004</x:v>
      </x:c>
      <x:c r="U233" s="6" t="n">
        <x:f>S233-M233</x:f>
        <x:v>171136.75999999995</x:v>
      </x:c>
      <x:c r="V233" s="6" t="n">
        <x:f>F233-G233</x:f>
        <x:v>24771.740000000107</x:v>
      </x:c>
      <x:c r="W233" s="8" t="n">
        <x:f>IFERROR(V233/G233,0)</x:f>
        <x:v>0.024607196108915094</x:v>
      </x:c>
      <x:c r="X233" s="8" t="n">
        <x:f>IFERROR(T233/F233,0)</x:f>
        <x:v>0.16219802373834585</x:v>
      </x:c>
      <x:c r="Y233" s="8" t="n">
        <x:f>IFERROR(T233/O233,0)</x:f>
        <x:v>0.09541060230785128</x:v>
      </x:c>
    </x:row>
    <x:row r="234">
      <x:c r="A234" t="str">
        <x:v>2025-08-01</x:v>
      </x:c>
      <x:c r="B234" t="n">
        <x:v>2025</x:v>
      </x:c>
      <x:c r="C234" t="str">
        <x:v>Q3</x:v>
      </x:c>
      <x:c r="D234" t="str">
        <x:v>SMB</x:v>
      </x:c>
      <x:c r="E234" t="str">
        <x:v>Central</x:v>
      </x:c>
      <x:c r="F234" s="6" t="n">
        <x:v>864030.49</x:v>
      </x:c>
      <x:c r="G234" s="6" t="n">
        <x:v>881131.13</x:v>
      </x:c>
      <x:c r="H234" s="6" t="n">
        <x:v>901021.2</x:v>
      </x:c>
      <x:c r="I234" s="6" t="n">
        <x:v>468536.87</x:v>
      </x:c>
      <x:c r="J234" s="6" t="n">
        <x:v>475810.81</x:v>
      </x:c>
      <x:c r="K234" s="6" t="n">
        <x:v>488353.49</x:v>
      </x:c>
      <x:c r="L234" s="6" t="n">
        <x:v>259051.07</x:v>
      </x:c>
      <x:c r="M234" s="6" t="n">
        <x:v>255528.03</x:v>
      </x:c>
      <x:c r="N234" s="6" t="n">
        <x:v>264900.23</x:v>
      </x:c>
      <x:c r="O234" s="6" t="n">
        <x:v>1468851.83</x:v>
      </x:c>
      <x:c r="P234" s="6" t="n">
        <x:v>112640.73</x:v>
      </x:c>
      <x:c r="Q234" s="6" t="n">
        <x:v>72</x:v>
      </x:c>
      <x:c r="R234" s="6" t="n">
        <x:f>F234-I234</x:f>
        <x:v>395493.62</x:v>
      </x:c>
      <x:c r="S234" s="6" t="n">
        <x:f>G234-J234</x:f>
        <x:v>405320.32</x:v>
      </x:c>
      <x:c r="T234" s="6" t="n">
        <x:f>R234-L234</x:f>
        <x:v>136442.55</x:v>
      </x:c>
      <x:c r="U234" s="6" t="n">
        <x:f>S234-M234</x:f>
        <x:v>149792.29</x:v>
      </x:c>
      <x:c r="V234" s="6" t="n">
        <x:f>F234-G234</x:f>
        <x:v>-17100.640000000014</x:v>
      </x:c>
      <x:c r="W234" s="8" t="n">
        <x:f>IFERROR(V234/G234,0)</x:f>
        <x:v>-0.019407599411451974</x:v>
      </x:c>
      <x:c r="X234" s="8" t="n">
        <x:f>IFERROR(T234/F234,0)</x:f>
        <x:v>0.1579140453712461</x:v>
      </x:c>
      <x:c r="Y234" s="8" t="n">
        <x:f>IFERROR(T234/O234,0)</x:f>
        <x:v>0.09289061511398326</x:v>
      </x:c>
    </x:row>
    <x:row r="235">
      <x:c r="A235" t="str">
        <x:v>2025-08-01</x:v>
      </x:c>
      <x:c r="B235" t="n">
        <x:v>2025</x:v>
      </x:c>
      <x:c r="C235" t="str">
        <x:v>Q3</x:v>
      </x:c>
      <x:c r="D235" t="str">
        <x:v>SMB</x:v>
      </x:c>
      <x:c r="E235" t="str">
        <x:v>West</x:v>
      </x:c>
      <x:c r="F235" s="6" t="n">
        <x:v>932324.08</x:v>
      </x:c>
      <x:c r="G235" s="6" t="n">
        <x:v>947666.66</x:v>
      </x:c>
      <x:c r="H235" s="6" t="n">
        <x:v>946294.25</x:v>
      </x:c>
      <x:c r="I235" s="6" t="n">
        <x:v>493424.58</x:v>
      </x:c>
      <x:c r="J235" s="6" t="n">
        <x:v>511740</x:v>
      </x:c>
      <x:c r="K235" s="6" t="n">
        <x:v>512891.48</x:v>
      </x:c>
      <x:c r="L235" s="6" t="n">
        <x:v>270928.5</x:v>
      </x:c>
      <x:c r="M235" s="6" t="n">
        <x:v>274823.33</x:v>
      </x:c>
      <x:c r="N235" s="6" t="n">
        <x:v>278210.51</x:v>
      </x:c>
      <x:c r="O235" s="6" t="n">
        <x:v>1584950.94</x:v>
      </x:c>
      <x:c r="P235" s="6" t="n">
        <x:v>147609.53</x:v>
      </x:c>
      <x:c r="Q235" s="6" t="n">
        <x:v>77</x:v>
      </x:c>
      <x:c r="R235" s="6" t="n">
        <x:f>F235-I235</x:f>
        <x:v>438899.49999999994</x:v>
      </x:c>
      <x:c r="S235" s="6" t="n">
        <x:f>G235-J235</x:f>
        <x:v>435926.66000000003</x:v>
      </x:c>
      <x:c r="T235" s="6" t="n">
        <x:f>R235-L235</x:f>
        <x:v>167970.99999999994</x:v>
      </x:c>
      <x:c r="U235" s="6" t="n">
        <x:f>S235-M235</x:f>
        <x:v>161103.33000000002</x:v>
      </x:c>
      <x:c r="V235" s="6" t="n">
        <x:f>F235-G235</x:f>
        <x:v>-15342.580000000075</x:v>
      </x:c>
      <x:c r="W235" s="8" t="n">
        <x:f>IFERROR(V235/G235,0)</x:f>
        <x:v>-0.01618984886521182</x:v>
      </x:c>
      <x:c r="X235" s="8" t="n">
        <x:f>IFERROR(T235/F235,0)</x:f>
        <x:v>0.18016374735274449</x:v>
      </x:c>
      <x:c r="Y235" s="8" t="n">
        <x:f>IFERROR(T235/O235,0)</x:f>
        <x:v>0.10597867464591677</x:v>
      </x:c>
    </x:row>
    <x:row r="236">
      <x:c r="A236" t="str">
        <x:v>2025-08-01</x:v>
      </x:c>
      <x:c r="B236" t="n">
        <x:v>2025</x:v>
      </x:c>
      <x:c r="C236" t="str">
        <x:v>Q3</x:v>
      </x:c>
      <x:c r="D236" t="str">
        <x:v>Digital</x:v>
      </x:c>
      <x:c r="E236" t="str">
        <x:v>East</x:v>
      </x:c>
      <x:c r="F236" s="6" t="n">
        <x:v>702839.1</x:v>
      </x:c>
      <x:c r="G236" s="6" t="n">
        <x:v>727512.1</x:v>
      </x:c>
      <x:c r="H236" s="6" t="n">
        <x:v>746232.15</x:v>
      </x:c>
      <x:c r="I236" s="6" t="n">
        <x:v>255492.71</x:v>
      </x:c>
      <x:c r="J236" s="6" t="n">
        <x:v>261904.35</x:v>
      </x:c>
      <x:c r="K236" s="6" t="n">
        <x:v>270136.04</x:v>
      </x:c>
      <x:c r="L236" s="6" t="n">
        <x:v>230877.77</x:v>
      </x:c>
      <x:c r="M236" s="6" t="n">
        <x:v>247354.11</x:v>
      </x:c>
      <x:c r="N236" s="6" t="n">
        <x:v>256703.86</x:v>
      </x:c>
      <x:c r="O236" s="6" t="n">
        <x:v>983974.74</x:v>
      </x:c>
      <x:c r="P236" s="6" t="n">
        <x:v>178169.95</x:v>
      </x:c>
      <x:c r="Q236" s="6" t="n">
        <x:v>58</x:v>
      </x:c>
      <x:c r="R236" s="6" t="n">
        <x:f>F236-I236</x:f>
        <x:v>447346.39</x:v>
      </x:c>
      <x:c r="S236" s="6" t="n">
        <x:f>G236-J236</x:f>
        <x:v>465607.75</x:v>
      </x:c>
      <x:c r="T236" s="6" t="n">
        <x:f>R236-L236</x:f>
        <x:v>216468.62000000002</x:v>
      </x:c>
      <x:c r="U236" s="6" t="n">
        <x:f>S236-M236</x:f>
        <x:v>218253.64</x:v>
      </x:c>
      <x:c r="V236" s="6" t="n">
        <x:f>F236-G236</x:f>
        <x:v>-24673</x:v>
      </x:c>
      <x:c r="W236" s="8" t="n">
        <x:f>IFERROR(V236/G236,0)</x:f>
        <x:v>-0.03391421256086325</x:v>
      </x:c>
      <x:c r="X236" s="8" t="n">
        <x:f>IFERROR(T236/F236,0)</x:f>
        <x:v>0.3079917153157814</x:v>
      </x:c>
      <x:c r="Y236" s="8" t="n">
        <x:f>IFERROR(T236/O236,0)</x:f>
        <x:v>0.2199940823684153</x:v>
      </x:c>
    </x:row>
    <x:row r="237">
      <x:c r="A237" t="str">
        <x:v>2025-08-01</x:v>
      </x:c>
      <x:c r="B237" t="n">
        <x:v>2025</x:v>
      </x:c>
      <x:c r="C237" t="str">
        <x:v>Q3</x:v>
      </x:c>
      <x:c r="D237" t="str">
        <x:v>Digital</x:v>
      </x:c>
      <x:c r="E237" t="str">
        <x:v>Central</x:v>
      </x:c>
      <x:c r="F237" s="6" t="n">
        <x:v>627258.6</x:v>
      </x:c>
      <x:c r="G237" s="6" t="n">
        <x:v>647086.84</x:v>
      </x:c>
      <x:c r="H237" s="6" t="n">
        <x:v>649879.5</x:v>
      </x:c>
      <x:c r="I237" s="6" t="n">
        <x:v>228312.75</x:v>
      </x:c>
      <x:c r="J237" s="6" t="n">
        <x:v>232951.26</x:v>
      </x:c>
      <x:c r="K237" s="6" t="n">
        <x:v>235256.38</x:v>
      </x:c>
      <x:c r="L237" s="6" t="n">
        <x:v>210267.7</x:v>
      </x:c>
      <x:c r="M237" s="6" t="n">
        <x:v>220009.52</x:v>
      </x:c>
      <x:c r="N237" s="6" t="n">
        <x:v>223558.55</x:v>
      </x:c>
      <x:c r="O237" s="6" t="n">
        <x:v>878162.03</x:v>
      </x:c>
      <x:c r="P237" s="6" t="n">
        <x:v>151567.71</x:v>
      </x:c>
      <x:c r="Q237" s="6" t="n">
        <x:v>52</x:v>
      </x:c>
      <x:c r="R237" s="6" t="n">
        <x:f>F237-I237</x:f>
        <x:v>398945.85</x:v>
      </x:c>
      <x:c r="S237" s="6" t="n">
        <x:f>G237-J237</x:f>
        <x:v>414135.57999999996</x:v>
      </x:c>
      <x:c r="T237" s="6" t="n">
        <x:f>R237-L237</x:f>
        <x:v>188678.14999999997</x:v>
      </x:c>
      <x:c r="U237" s="6" t="n">
        <x:f>S237-M237</x:f>
        <x:v>194126.05999999997</x:v>
      </x:c>
      <x:c r="V237" s="6" t="n">
        <x:f>F237-G237</x:f>
        <x:v>-19828.23999999999</x:v>
      </x:c>
      <x:c r="W237" s="8" t="n">
        <x:f>IFERROR(V237/G237,0)</x:f>
        <x:v>-0.030642316879756035</x:v>
      </x:c>
      <x:c r="X237" s="8" t="n">
        <x:f>IFERROR(T237/F237,0)</x:f>
        <x:v>0.30079802811790857</x:v>
      </x:c>
      <x:c r="Y237" s="8" t="n">
        <x:f>IFERROR(T237/O237,0)</x:f>
        <x:v>0.2148557368165872</x:v>
      </x:c>
    </x:row>
    <x:row r="238">
      <x:c r="A238" t="str">
        <x:v>2025-08-01</x:v>
      </x:c>
      <x:c r="B238" t="n">
        <x:v>2025</x:v>
      </x:c>
      <x:c r="C238" t="str">
        <x:v>Q3</x:v>
      </x:c>
      <x:c r="D238" t="str">
        <x:v>Digital</x:v>
      </x:c>
      <x:c r="E238" t="str">
        <x:v>West</x:v>
      </x:c>
      <x:c r="F238" s="6" t="n">
        <x:v>678495.71</x:v>
      </x:c>
      <x:c r="G238" s="6" t="n">
        <x:v>704154.11</x:v>
      </x:c>
      <x:c r="H238" s="6" t="n">
        <x:v>724475.61</x:v>
      </x:c>
      <x:c r="I238" s="6" t="n">
        <x:v>237310.43</x:v>
      </x:c>
      <x:c r="J238" s="6" t="n">
        <x:v>253495.48</x:v>
      </x:c>
      <x:c r="K238" s="6" t="n">
        <x:v>262260.17</x:v>
      </x:c>
      <x:c r="L238" s="6" t="n">
        <x:v>233254.47</x:v>
      </x:c>
      <x:c r="M238" s="6" t="n">
        <x:v>239412.4</x:v>
      </x:c>
      <x:c r="N238" s="6" t="n">
        <x:v>249219.61</x:v>
      </x:c>
      <x:c r="O238" s="6" t="n">
        <x:v>949894</x:v>
      </x:c>
      <x:c r="P238" s="6" t="n">
        <x:v>170808</x:v>
      </x:c>
      <x:c r="Q238" s="6" t="n">
        <x:v>56</x:v>
      </x:c>
      <x:c r="R238" s="6" t="n">
        <x:f>F238-I238</x:f>
        <x:v>441185.27999999997</x:v>
      </x:c>
      <x:c r="S238" s="6" t="n">
        <x:f>G238-J238</x:f>
        <x:v>450658.63</x:v>
      </x:c>
      <x:c r="T238" s="6" t="n">
        <x:f>R238-L238</x:f>
        <x:v>207930.80999999997</x:v>
      </x:c>
      <x:c r="U238" s="6" t="n">
        <x:f>S238-M238</x:f>
        <x:v>211246.23</x:v>
      </x:c>
      <x:c r="V238" s="6" t="n">
        <x:f>F238-G238</x:f>
        <x:v>-25658.400000000023</x:v>
      </x:c>
      <x:c r="W238" s="8" t="n">
        <x:f>IFERROR(V238/G238,0)</x:f>
        <x:v>-0.036438614268686186</x:v>
      </x:c>
      <x:c r="X238" s="8" t="n">
        <x:f>IFERROR(T238/F238,0)</x:f>
        <x:v>0.30645854783665466</x:v>
      </x:c>
      <x:c r="Y238" s="8" t="n">
        <x:f>IFERROR(T238/O238,0)</x:f>
        <x:v>0.21889896135779358</x:v>
      </x:c>
    </x:row>
    <x:row r="239">
      <x:c r="A239" t="str">
        <x:v>2025-08-01</x:v>
      </x:c>
      <x:c r="B239" t="n">
        <x:v>2025</x:v>
      </x:c>
      <x:c r="C239" t="str">
        <x:v>Q3</x:v>
      </x:c>
      <x:c r="D239" t="str">
        <x:v>Services</x:v>
      </x:c>
      <x:c r="E239" t="str">
        <x:v>East</x:v>
      </x:c>
      <x:c r="F239" s="6" t="n">
        <x:v>550287.79</x:v>
      </x:c>
      <x:c r="G239" s="6" t="n">
        <x:v>544615.51</x:v>
      </x:c>
      <x:c r="H239" s="6" t="n">
        <x:v>546015.4</x:v>
      </x:c>
      <x:c r="I239" s="6" t="n">
        <x:v>231243.87</x:v>
      </x:c>
      <x:c r="J239" s="6" t="n">
        <x:v>228738.52</x:v>
      </x:c>
      <x:c r="K239" s="6" t="n">
        <x:v>230418.5</x:v>
      </x:c>
      <x:c r="L239" s="6" t="n">
        <x:v>174479.82</x:v>
      </x:c>
      <x:c r="M239" s="6" t="n">
        <x:v>168830.81</x:v>
      </x:c>
      <x:c r="N239" s="6" t="n">
        <x:v>171448.84</x:v>
      </x:c>
      <x:c r="O239" s="6" t="n">
        <x:v>880460.47</x:v>
      </x:c>
      <x:c r="P239" s="6" t="n">
        <x:v>132450.77</x:v>
      </x:c>
      <x:c r="Q239" s="6" t="n">
        <x:v>53</x:v>
      </x:c>
      <x:c r="R239" s="6" t="n">
        <x:f>F239-I239</x:f>
        <x:v>319043.92000000004</x:v>
      </x:c>
      <x:c r="S239" s="6" t="n">
        <x:f>G239-J239</x:f>
        <x:v>315876.99</x:v>
      </x:c>
      <x:c r="T239" s="6" t="n">
        <x:f>R239-L239</x:f>
        <x:v>144564.10000000003</x:v>
      </x:c>
      <x:c r="U239" s="6" t="n">
        <x:f>S239-M239</x:f>
        <x:v>147046.18</x:v>
      </x:c>
      <x:c r="V239" s="6" t="n">
        <x:f>F239-G239</x:f>
        <x:v>5672.280000000028</x:v>
      </x:c>
      <x:c r="W239" s="8" t="n">
        <x:f>IFERROR(V239/G239,0)</x:f>
        <x:v>0.010415200991980613</x:v>
      </x:c>
      <x:c r="X239" s="8" t="n">
        <x:f>IFERROR(T239/F239,0)</x:f>
        <x:v>0.26270635588698055</x:v>
      </x:c>
      <x:c r="Y239" s="8" t="n">
        <x:f>IFERROR(T239/O239,0)</x:f>
        <x:v>0.16419147131046102</x:v>
      </x:c>
    </x:row>
    <x:row r="240">
      <x:c r="A240" t="str">
        <x:v>2025-08-01</x:v>
      </x:c>
      <x:c r="B240" t="n">
        <x:v>2025</x:v>
      </x:c>
      <x:c r="C240" t="str">
        <x:v>Q3</x:v>
      </x:c>
      <x:c r="D240" t="str">
        <x:v>Services</x:v>
      </x:c>
      <x:c r="E240" t="str">
        <x:v>Central</x:v>
      </x:c>
      <x:c r="F240" s="6" t="n">
        <x:v>456280.73</x:v>
      </x:c>
      <x:c r="G240" s="6" t="n">
        <x:v>476969.66</x:v>
      </x:c>
      <x:c r="H240" s="6" t="n">
        <x:v>486739.62</x:v>
      </x:c>
      <x:c r="I240" s="6" t="n">
        <x:v>190253.03</x:v>
      </x:c>
      <x:c r="J240" s="6" t="n">
        <x:v>200327.26</x:v>
      </x:c>
      <x:c r="K240" s="6" t="n">
        <x:v>205404.12</x:v>
      </x:c>
      <x:c r="L240" s="6" t="n">
        <x:v>146004.46</x:v>
      </x:c>
      <x:c r="M240" s="6" t="n">
        <x:v>147860.6</x:v>
      </x:c>
      <x:c r="N240" s="6" t="n">
        <x:v>152836.24</x:v>
      </x:c>
      <x:c r="O240" s="6" t="n">
        <x:v>730049.17</x:v>
      </x:c>
      <x:c r="P240" s="6" t="n">
        <x:v>101497.82</x:v>
      </x:c>
      <x:c r="Q240" s="6" t="n">
        <x:v>47</x:v>
      </x:c>
      <x:c r="R240" s="6" t="n">
        <x:f>F240-I240</x:f>
        <x:v>266027.69999999995</x:v>
      </x:c>
      <x:c r="S240" s="6" t="n">
        <x:f>G240-J240</x:f>
        <x:v>276642.39999999997</x:v>
      </x:c>
      <x:c r="T240" s="6" t="n">
        <x:f>R240-L240</x:f>
        <x:v>120023.23999999996</x:v>
      </x:c>
      <x:c r="U240" s="6" t="n">
        <x:f>S240-M240</x:f>
        <x:v>128781.79999999996</x:v>
      </x:c>
      <x:c r="V240" s="6" t="n">
        <x:f>F240-G240</x:f>
        <x:v>-20688.929999999993</x:v>
      </x:c>
      <x:c r="W240" s="8" t="n">
        <x:f>IFERROR(V240/G240,0)</x:f>
        <x:v>-0.04337577782201072</x:v>
      </x:c>
      <x:c r="X240" s="8" t="n">
        <x:f>IFERROR(T240/F240,0)</x:f>
        <x:v>0.26304691850563133</x:v>
      </x:c>
      <x:c r="Y240" s="8" t="n">
        <x:f>IFERROR(T240/O240,0)</x:f>
        <x:v>0.1644043236156271</x:v>
      </x:c>
    </x:row>
    <x:row r="241">
      <x:c r="A241" t="str">
        <x:v>2025-08-01</x:v>
      </x:c>
      <x:c r="B241" t="n">
        <x:v>2025</x:v>
      </x:c>
      <x:c r="C241" t="str">
        <x:v>Q3</x:v>
      </x:c>
      <x:c r="D241" t="str">
        <x:v>Services</x:v>
      </x:c>
      <x:c r="E241" t="str">
        <x:v>West</x:v>
      </x:c>
      <x:c r="F241" s="6" t="n">
        <x:v>535354.01</x:v>
      </x:c>
      <x:c r="G241" s="6" t="n">
        <x:v>520509.75</x:v>
      </x:c>
      <x:c r="H241" s="6" t="n">
        <x:v>520490.66</x:v>
      </x:c>
      <x:c r="I241" s="6" t="n">
        <x:v>219041.55</x:v>
      </x:c>
      <x:c r="J241" s="6" t="n">
        <x:v>218614.09</x:v>
      </x:c>
      <x:c r="K241" s="6" t="n">
        <x:v>219647.06</x:v>
      </x:c>
      <x:c r="L241" s="6" t="n">
        <x:v>168304.81</x:v>
      </x:c>
      <x:c r="M241" s="6" t="n">
        <x:v>161358.02</x:v>
      </x:c>
      <x:c r="N241" s="6" t="n">
        <x:v>163434.07</x:v>
      </x:c>
      <x:c r="O241" s="6" t="n">
        <x:v>856566.41</x:v>
      </x:c>
      <x:c r="P241" s="6" t="n">
        <x:v>130646.61</x:v>
      </x:c>
      <x:c r="Q241" s="6" t="n">
        <x:v>51</x:v>
      </x:c>
      <x:c r="R241" s="6" t="n">
        <x:f>F241-I241</x:f>
        <x:v>316312.46</x:v>
      </x:c>
      <x:c r="S241" s="6" t="n">
        <x:f>G241-J241</x:f>
        <x:v>301895.66000000003</x:v>
      </x:c>
      <x:c r="T241" s="6" t="n">
        <x:f>R241-L241</x:f>
        <x:v>148007.65000000002</x:v>
      </x:c>
      <x:c r="U241" s="6" t="n">
        <x:f>S241-M241</x:f>
        <x:v>140537.64000000004</x:v>
      </x:c>
      <x:c r="V241" s="6" t="n">
        <x:f>F241-G241</x:f>
        <x:v>14844.26000000001</x:v>
      </x:c>
      <x:c r="W241" s="8" t="n">
        <x:f>IFERROR(V241/G241,0)</x:f>
        <x:v>0.028518697296256237</x:v>
      </x:c>
      <x:c r="X241" s="8" t="n">
        <x:f>IFERROR(T241/F241,0)</x:f>
        <x:v>0.2764668746947464</x:v>
      </x:c>
      <x:c r="Y241" s="8" t="n">
        <x:f>IFERROR(T241/O241,0)</x:f>
        <x:v>0.17279179789457308</x:v>
      </x:c>
    </x:row>
    <x:row r="242">
      <x:c r="A242" t="str">
        <x:v>2025-09-01</x:v>
      </x:c>
      <x:c r="B242" t="n">
        <x:v>2025</x:v>
      </x:c>
      <x:c r="C242" t="str">
        <x:v>Q3</x:v>
      </x:c>
      <x:c r="D242" t="str">
        <x:v>Enterprise</x:v>
      </x:c>
      <x:c r="E242" t="str">
        <x:v>East</x:v>
      </x:c>
      <x:c r="F242" s="6" t="n">
        <x:v>1741584.28</x:v>
      </x:c>
      <x:c r="G242" s="6" t="n">
        <x:v>1686087.94</x:v>
      </x:c>
      <x:c r="H242" s="6" t="n">
        <x:v>1696049.4</x:v>
      </x:c>
      <x:c r="I242" s="6" t="n">
        <x:v>846549.5</x:v>
      </x:c>
      <x:c r="J242" s="6" t="n">
        <x:v>809322.21</x:v>
      </x:c>
      <x:c r="K242" s="6" t="n">
        <x:v>817495.81</x:v>
      </x:c>
      <x:c r="L242" s="6" t="n">
        <x:v>482335.38</x:v>
      </x:c>
      <x:c r="M242" s="6" t="n">
        <x:v>455243.74</x:v>
      </x:c>
      <x:c r="N242" s="6" t="n">
        <x:v>464717.54</x:v>
      </x:c>
      <x:c r="O242" s="6" t="n">
        <x:v>3657326.98</x:v>
      </x:c>
      <x:c r="P242" s="6" t="n">
        <x:v>364124.49</x:v>
      </x:c>
      <x:c r="Q242" s="6" t="n">
        <x:v>113</x:v>
      </x:c>
      <x:c r="R242" s="6" t="n">
        <x:f>F242-I242</x:f>
        <x:v>895034.78</x:v>
      </x:c>
      <x:c r="S242" s="6" t="n">
        <x:f>G242-J242</x:f>
        <x:v>876765.73</x:v>
      </x:c>
      <x:c r="T242" s="6" t="n">
        <x:f>R242-L242</x:f>
        <x:v>412699.4</x:v>
      </x:c>
      <x:c r="U242" s="6" t="n">
        <x:f>S242-M242</x:f>
        <x:v>421521.99</x:v>
      </x:c>
      <x:c r="V242" s="6" t="n">
        <x:f>F242-G242</x:f>
        <x:v>55496.340000000084</x:v>
      </x:c>
      <x:c r="W242" s="8" t="n">
        <x:f>IFERROR(V242/G242,0)</x:f>
        <x:v>0.03291426187414642</x:v>
      </x:c>
      <x:c r="X242" s="8" t="n">
        <x:f>IFERROR(T242/F242,0)</x:f>
        <x:v>0.23696780267217388</x:v>
      </x:c>
      <x:c r="Y242" s="8" t="n">
        <x:f>IFERROR(T242/O242,0)</x:f>
        <x:v>0.11284181104310231</x:v>
      </x:c>
    </x:row>
    <x:row r="243">
      <x:c r="A243" t="str">
        <x:v>2025-09-01</x:v>
      </x:c>
      <x:c r="B243" t="n">
        <x:v>2025</x:v>
      </x:c>
      <x:c r="C243" t="str">
        <x:v>Q3</x:v>
      </x:c>
      <x:c r="D243" t="str">
        <x:v>Enterprise</x:v>
      </x:c>
      <x:c r="E243" t="str">
        <x:v>Central</x:v>
      </x:c>
      <x:c r="F243" s="6" t="n">
        <x:v>1553398.77</x:v>
      </x:c>
      <x:c r="G243" s="6" t="n">
        <x:v>1504329</x:v>
      </x:c>
      <x:c r="H243" s="6" t="n">
        <x:v>1512746.6</x:v>
      </x:c>
      <x:c r="I243" s="6" t="n">
        <x:v>738842.29</x:v>
      </x:c>
      <x:c r="J243" s="6" t="n">
        <x:v>722077.92</x:v>
      </x:c>
      <x:c r="K243" s="6" t="n">
        <x:v>729143.86</x:v>
      </x:c>
      <x:c r="L243" s="6" t="n">
        <x:v>402818.34</x:v>
      </x:c>
      <x:c r="M243" s="6" t="n">
        <x:v>406168.83</x:v>
      </x:c>
      <x:c r="N243" s="6" t="n">
        <x:v>414492.57</x:v>
      </x:c>
      <x:c r="O243" s="6" t="n">
        <x:v>3262137.42</x:v>
      </x:c>
      <x:c r="P243" s="6" t="n">
        <x:v>312877.33</x:v>
      </x:c>
      <x:c r="Q243" s="6" t="n">
        <x:v>101</x:v>
      </x:c>
      <x:c r="R243" s="6" t="n">
        <x:f>F243-I243</x:f>
        <x:v>814556.48</x:v>
      </x:c>
      <x:c r="S243" s="6" t="n">
        <x:f>G243-J243</x:f>
        <x:v>782251.08</x:v>
      </x:c>
      <x:c r="T243" s="6" t="n">
        <x:f>R243-L243</x:f>
        <x:v>411738.13999999996</x:v>
      </x:c>
      <x:c r="U243" s="6" t="n">
        <x:f>S243-M243</x:f>
        <x:v>376082.24999999994</x:v>
      </x:c>
      <x:c r="V243" s="6" t="n">
        <x:f>F243-G243</x:f>
        <x:v>49069.77000000002</x:v>
      </x:c>
      <x:c r="W243" s="8" t="n">
        <x:f>IFERROR(V243/G243,0)</x:f>
        <x:v>0.03261904144638574</x:v>
      </x:c>
      <x:c r="X243" s="8" t="n">
        <x:f>IFERROR(T243/F243,0)</x:f>
        <x:v>0.2650563061795137</x:v>
      </x:c>
      <x:c r="Y243" s="8" t="n">
        <x:f>IFERROR(T243/O243,0)</x:f>
        <x:v>0.1262172885408365</x:v>
      </x:c>
    </x:row>
    <x:row r="244">
      <x:c r="A244" t="str">
        <x:v>2025-09-01</x:v>
      </x:c>
      <x:c r="B244" t="n">
        <x:v>2025</x:v>
      </x:c>
      <x:c r="C244" t="str">
        <x:v>Q3</x:v>
      </x:c>
      <x:c r="D244" t="str">
        <x:v>Enterprise</x:v>
      </x:c>
      <x:c r="E244" t="str">
        <x:v>West</x:v>
      </x:c>
      <x:c r="F244" s="6" t="n">
        <x:v>1693391.62</x:v>
      </x:c>
      <x:c r="G244" s="6" t="n">
        <x:v>1615312.12</x:v>
      </x:c>
      <x:c r="H244" s="6" t="n">
        <x:v>1628545.18</x:v>
      </x:c>
      <x:c r="I244" s="6" t="n">
        <x:v>836056.55</x:v>
      </x:c>
      <x:c r="J244" s="6" t="n">
        <x:v>775349.82</x:v>
      </x:c>
      <x:c r="K244" s="6" t="n">
        <x:v>784958.77</x:v>
      </x:c>
      <x:c r="L244" s="6" t="n">
        <x:v>464481.95</x:v>
      </x:c>
      <x:c r="M244" s="6" t="n">
        <x:v>436134.27</x:v>
      </x:c>
      <x:c r="N244" s="6" t="n">
        <x:v>446221.38</x:v>
      </x:c>
      <x:c r="O244" s="6" t="n">
        <x:v>3556122.4</x:v>
      </x:c>
      <x:c r="P244" s="6" t="n">
        <x:v>302757.27</x:v>
      </x:c>
      <x:c r="Q244" s="6" t="n">
        <x:v>109</x:v>
      </x:c>
      <x:c r="R244" s="6" t="n">
        <x:f>F244-I244</x:f>
        <x:v>857335.0700000001</x:v>
      </x:c>
      <x:c r="S244" s="6" t="n">
        <x:f>G244-J244</x:f>
        <x:v>839962.3000000002</x:v>
      </x:c>
      <x:c r="T244" s="6" t="n">
        <x:f>R244-L244</x:f>
        <x:v>392853.12000000005</x:v>
      </x:c>
      <x:c r="U244" s="6" t="n">
        <x:f>S244-M244</x:f>
        <x:v>403828.03000000014</x:v>
      </x:c>
      <x:c r="V244" s="6" t="n">
        <x:f>F244-G244</x:f>
        <x:v>78079.5</x:v>
      </x:c>
      <x:c r="W244" s="8" t="n">
        <x:f>IFERROR(V244/G244,0)</x:f>
        <x:v>0.048337097848309335</x:v>
      </x:c>
      <x:c r="X244" s="8" t="n">
        <x:f>IFERROR(T244/F244,0)</x:f>
        <x:v>0.23199188856267047</x:v>
      </x:c>
      <x:c r="Y244" s="8" t="n">
        <x:f>IFERROR(T244/O244,0)</x:f>
        <x:v>0.11047232794911672</x:v>
      </x:c>
    </x:row>
    <x:row r="245">
      <x:c r="A245" t="str">
        <x:v>2025-09-01</x:v>
      </x:c>
      <x:c r="B245" t="n">
        <x:v>2025</x:v>
      </x:c>
      <x:c r="C245" t="str">
        <x:v>Q3</x:v>
      </x:c>
      <x:c r="D245" t="str">
        <x:v>SMB</x:v>
      </x:c>
      <x:c r="E245" t="str">
        <x:v>East</x:v>
      </x:c>
      <x:c r="F245" s="6" t="n">
        <x:v>965585.64</x:v>
      </x:c>
      <x:c r="G245" s="6" t="n">
        <x:v>991248.73</x:v>
      </x:c>
      <x:c r="H245" s="6" t="n">
        <x:v>992303.26</x:v>
      </x:c>
      <x:c r="I245" s="6" t="n">
        <x:v>529432.42</x:v>
      </x:c>
      <x:c r="J245" s="6" t="n">
        <x:v>535274.31</x:v>
      </x:c>
      <x:c r="K245" s="6" t="n">
        <x:v>537828.37</x:v>
      </x:c>
      <x:c r="L245" s="6" t="n">
        <x:v>293512.88</x:v>
      </x:c>
      <x:c r="M245" s="6" t="n">
        <x:v>287462.13</x:v>
      </x:c>
      <x:c r="N245" s="6" t="n">
        <x:v>291737.16</x:v>
      </x:c>
      <x:c r="O245" s="6" t="n">
        <x:v>1641495.59</x:v>
      </x:c>
      <x:c r="P245" s="6" t="n">
        <x:v>112170.21</x:v>
      </x:c>
      <x:c r="Q245" s="6" t="n">
        <x:v>80</x:v>
      </x:c>
      <x:c r="R245" s="6" t="n">
        <x:f>F245-I245</x:f>
        <x:v>436153.22</x:v>
      </x:c>
      <x:c r="S245" s="6" t="n">
        <x:f>G245-J245</x:f>
        <x:v>455974.4199999999</x:v>
      </x:c>
      <x:c r="T245" s="6" t="n">
        <x:f>R245-L245</x:f>
        <x:v>142640.33999999997</x:v>
      </x:c>
      <x:c r="U245" s="6" t="n">
        <x:f>S245-M245</x:f>
        <x:v>168512.28999999992</x:v>
      </x:c>
      <x:c r="V245" s="6" t="n">
        <x:f>F245-G245</x:f>
        <x:v>-25663.089999999967</x:v>
      </x:c>
      <x:c r="W245" s="8" t="n">
        <x:f>IFERROR(V245/G245,0)</x:f>
        <x:v>-0.025889657381956966</x:v>
      </x:c>
      <x:c r="X245" s="8" t="n">
        <x:f>IFERROR(T245/F245,0)</x:f>
        <x:v>0.14772417286570247</x:v>
      </x:c>
      <x:c r="Y245" s="8" t="n">
        <x:f>IFERROR(T245/O245,0)</x:f>
        <x:v>0.08689657216806776</x:v>
      </x:c>
    </x:row>
    <x:row r="246">
      <x:c r="A246" t="str">
        <x:v>2025-09-01</x:v>
      </x:c>
      <x:c r="B246" t="n">
        <x:v>2025</x:v>
      </x:c>
      <x:c r="C246" t="str">
        <x:v>Q3</x:v>
      </x:c>
      <x:c r="D246" t="str">
        <x:v>SMB</x:v>
      </x:c>
      <x:c r="E246" t="str">
        <x:v>Central</x:v>
      </x:c>
      <x:c r="F246" s="6" t="n">
        <x:v>863650.66</x:v>
      </x:c>
      <x:c r="G246" s="6" t="n">
        <x:v>870789.47</x:v>
      </x:c>
      <x:c r="H246" s="6" t="n">
        <x:v>892582.62</x:v>
      </x:c>
      <x:c r="I246" s="6" t="n">
        <x:v>472698.46</x:v>
      </x:c>
      <x:c r="J246" s="6" t="n">
        <x:v>470226.31</x:v>
      </x:c>
      <x:c r="K246" s="6" t="n">
        <x:v>483779.78</x:v>
      </x:c>
      <x:c r="L246" s="6" t="n">
        <x:v>263274.51</x:v>
      </x:c>
      <x:c r="M246" s="6" t="n">
        <x:v>252528.94</x:v>
      </x:c>
      <x:c r="N246" s="6" t="n">
        <x:v>262419.29</x:v>
      </x:c>
      <x:c r="O246" s="6" t="n">
        <x:v>1468206.12</x:v>
      </x:c>
      <x:c r="P246" s="6" t="n">
        <x:v>101801.12</x:v>
      </x:c>
      <x:c r="Q246" s="6" t="n">
        <x:v>72</x:v>
      </x:c>
      <x:c r="R246" s="6" t="n">
        <x:f>F246-I246</x:f>
        <x:v>390952.2</x:v>
      </x:c>
      <x:c r="S246" s="6" t="n">
        <x:f>G246-J246</x:f>
        <x:v>400563.16</x:v>
      </x:c>
      <x:c r="T246" s="6" t="n">
        <x:f>R246-L246</x:f>
        <x:v>127677.69</x:v>
      </x:c>
      <x:c r="U246" s="6" t="n">
        <x:f>S246-M246</x:f>
        <x:v>148034.21999999997</x:v>
      </x:c>
      <x:c r="V246" s="6" t="n">
        <x:f>F246-G246</x:f>
        <x:v>-7138.8099999999395</x:v>
      </x:c>
      <x:c r="W246" s="8" t="n">
        <x:f>IFERROR(V246/G246,0)</x:f>
        <x:v>-0.008198089487692059</x:v>
      </x:c>
      <x:c r="X246" s="8" t="n">
        <x:f>IFERROR(T246/F246,0)</x:f>
        <x:v>0.14783487805127132</x:v>
      </x:c>
      <x:c r="Y246" s="8" t="n">
        <x:f>IFERROR(T246/O246,0)</x:f>
        <x:v>0.08696169308979586</x:v>
      </x:c>
    </x:row>
    <x:row r="247">
      <x:c r="A247" t="str">
        <x:v>2025-09-01</x:v>
      </x:c>
      <x:c r="B247" t="n">
        <x:v>2025</x:v>
      </x:c>
      <x:c r="C247" t="str">
        <x:v>Q3</x:v>
      </x:c>
      <x:c r="D247" t="str">
        <x:v>SMB</x:v>
      </x:c>
      <x:c r="E247" t="str">
        <x:v>West</x:v>
      </x:c>
      <x:c r="F247" s="6" t="n">
        <x:v>964179.04</x:v>
      </x:c>
      <x:c r="G247" s="6" t="n">
        <x:v>959744.71</x:v>
      </x:c>
      <x:c r="H247" s="6" t="n">
        <x:v>966835.84</x:v>
      </x:c>
      <x:c r="I247" s="6" t="n">
        <x:v>532257.75</x:v>
      </x:c>
      <x:c r="J247" s="6" t="n">
        <x:v>518262.14</x:v>
      </x:c>
      <x:c r="K247" s="6" t="n">
        <x:v>524025.02</x:v>
      </x:c>
      <x:c r="L247" s="6" t="n">
        <x:v>283062.02</x:v>
      </x:c>
      <x:c r="M247" s="6" t="n">
        <x:v>278325.97</x:v>
      </x:c>
      <x:c r="N247" s="6" t="n">
        <x:v>284249.74</x:v>
      </x:c>
      <x:c r="O247" s="6" t="n">
        <x:v>1639104.37</x:v>
      </x:c>
      <x:c r="P247" s="6" t="n">
        <x:v>131030.34</x:v>
      </x:c>
      <x:c r="Q247" s="6" t="n">
        <x:v>77</x:v>
      </x:c>
      <x:c r="R247" s="6" t="n">
        <x:f>F247-I247</x:f>
        <x:v>431921.29000000004</x:v>
      </x:c>
      <x:c r="S247" s="6" t="n">
        <x:f>G247-J247</x:f>
        <x:v>441482.56999999995</x:v>
      </x:c>
      <x:c r="T247" s="6" t="n">
        <x:f>R247-L247</x:f>
        <x:v>148859.27000000002</x:v>
      </x:c>
      <x:c r="U247" s="6" t="n">
        <x:f>S247-M247</x:f>
        <x:v>163156.59999999998</x:v>
      </x:c>
      <x:c r="V247" s="6" t="n">
        <x:f>F247-G247</x:f>
        <x:v>4434.3300000000745</x:v>
      </x:c>
      <x:c r="W247" s="8" t="n">
        <x:f>IFERROR(V247/G247,0)</x:f>
        <x:v>0.004620322418864987</x:v>
      </x:c>
      <x:c r="X247" s="8" t="n">
        <x:f>IFERROR(T247/F247,0)</x:f>
        <x:v>0.15438965568054663</x:v>
      </x:c>
      <x:c r="Y247" s="8" t="n">
        <x:f>IFERROR(T247/O247,0)</x:f>
        <x:v>0.09081744440715511</x:v>
      </x:c>
    </x:row>
    <x:row r="248">
      <x:c r="A248" t="str">
        <x:v>2025-09-01</x:v>
      </x:c>
      <x:c r="B248" t="n">
        <x:v>2025</x:v>
      </x:c>
      <x:c r="C248" t="str">
        <x:v>Q3</x:v>
      </x:c>
      <x:c r="D248" t="str">
        <x:v>Digital</x:v>
      </x:c>
      <x:c r="E248" t="str">
        <x:v>East</x:v>
      </x:c>
      <x:c r="F248" s="6" t="n">
        <x:v>696950.21</x:v>
      </x:c>
      <x:c r="G248" s="6" t="n">
        <x:v>723808.8</x:v>
      </x:c>
      <x:c r="H248" s="6" t="n">
        <x:v>732574.41</x:v>
      </x:c>
      <x:c r="I248" s="6" t="n">
        <x:v>257440.08</x:v>
      </x:c>
      <x:c r="J248" s="6" t="n">
        <x:v>260571.17</x:v>
      </x:c>
      <x:c r="K248" s="6" t="n">
        <x:v>265191.94</x:v>
      </x:c>
      <x:c r="L248" s="6" t="n">
        <x:v>240004.72</x:v>
      </x:c>
      <x:c r="M248" s="6" t="n">
        <x:v>246094.99</x:v>
      </x:c>
      <x:c r="N248" s="6" t="n">
        <x:v>252005.6</x:v>
      </x:c>
      <x:c r="O248" s="6" t="n">
        <x:v>975730.29</x:v>
      </x:c>
      <x:c r="P248" s="6" t="n">
        <x:v>156460.58</x:v>
      </x:c>
      <x:c r="Q248" s="6" t="n">
        <x:v>58</x:v>
      </x:c>
      <x:c r="R248" s="6" t="n">
        <x:f>F248-I248</x:f>
        <x:v>439510.13</x:v>
      </x:c>
      <x:c r="S248" s="6" t="n">
        <x:f>G248-J248</x:f>
        <x:v>463237.63</x:v>
      </x:c>
      <x:c r="T248" s="6" t="n">
        <x:f>R248-L248</x:f>
        <x:v>199505.41</x:v>
      </x:c>
      <x:c r="U248" s="6" t="n">
        <x:f>S248-M248</x:f>
        <x:v>217142.64</x:v>
      </x:c>
      <x:c r="V248" s="6" t="n">
        <x:f>F248-G248</x:f>
        <x:v>-26858.590000000084</x:v>
      </x:c>
      <x:c r="W248" s="8" t="n">
        <x:f>IFERROR(V248/G248,0)</x:f>
        <x:v>-0.03710729960729972</x:v>
      </x:c>
      <x:c r="X248" s="8" t="n">
        <x:f>IFERROR(T248/F248,0)</x:f>
        <x:v>0.286254896171134</x:v>
      </x:c>
      <x:c r="Y248" s="8" t="n">
        <x:f>IFERROR(T248/O248,0)</x:f>
        <x:v>0.20446778381759573</x:v>
      </x:c>
    </x:row>
    <x:row r="249">
      <x:c r="A249" t="str">
        <x:v>2025-09-01</x:v>
      </x:c>
      <x:c r="B249" t="n">
        <x:v>2025</x:v>
      </x:c>
      <x:c r="C249" t="str">
        <x:v>Q3</x:v>
      </x:c>
      <x:c r="D249" t="str">
        <x:v>Digital</x:v>
      </x:c>
      <x:c r="E249" t="str">
        <x:v>Central</x:v>
      </x:c>
      <x:c r="F249" s="6" t="n">
        <x:v>648892.44</x:v>
      </x:c>
      <x:c r="G249" s="6" t="n">
        <x:v>635488.76</x:v>
      </x:c>
      <x:c r="H249" s="6" t="n">
        <x:v>634721.29</x:v>
      </x:c>
      <x:c r="I249" s="6" t="n">
        <x:v>235981.52</x:v>
      </x:c>
      <x:c r="J249" s="6" t="n">
        <x:v>228775.95</x:v>
      </x:c>
      <x:c r="K249" s="6" t="n">
        <x:v>229769.11</x:v>
      </x:c>
      <x:c r="L249" s="6" t="n">
        <x:v>221131.82</x:v>
      </x:c>
      <x:c r="M249" s="6" t="n">
        <x:v>216066.18</x:v>
      </x:c>
      <x:c r="N249" s="6" t="n">
        <x:v>218344.12</x:v>
      </x:c>
      <x:c r="O249" s="6" t="n">
        <x:v>908449.41</x:v>
      </x:c>
      <x:c r="P249" s="6" t="n">
        <x:v>164537.44</x:v>
      </x:c>
      <x:c r="Q249" s="6" t="n">
        <x:v>52</x:v>
      </x:c>
      <x:c r="R249" s="6" t="n">
        <x:f>F249-I249</x:f>
        <x:v>412910.9199999999</x:v>
      </x:c>
      <x:c r="S249" s="6" t="n">
        <x:f>G249-J249</x:f>
        <x:v>406712.81</x:v>
      </x:c>
      <x:c r="T249" s="6" t="n">
        <x:f>R249-L249</x:f>
        <x:v>191779.09999999992</x:v>
      </x:c>
      <x:c r="U249" s="6" t="n">
        <x:f>S249-M249</x:f>
        <x:v>190646.63</x:v>
      </x:c>
      <x:c r="V249" s="6" t="n">
        <x:f>F249-G249</x:f>
        <x:v>13403.679999999935</x:v>
      </x:c>
      <x:c r="W249" s="8" t="n">
        <x:f>IFERROR(V249/G249,0)</x:f>
        <x:v>0.02109192301056581</x:v>
      </x:c>
      <x:c r="X249" s="8" t="n">
        <x:f>IFERROR(T249/F249,0)</x:f>
        <x:v>0.2955483654579177</x:v>
      </x:c>
      <x:c r="Y249" s="8" t="n">
        <x:f>IFERROR(T249/O249,0)</x:f>
        <x:v>0.21110597672136736</x:v>
      </x:c>
    </x:row>
    <x:row r="250">
      <x:c r="A250" t="str">
        <x:v>2025-09-01</x:v>
      </x:c>
      <x:c r="B250" t="n">
        <x:v>2025</x:v>
      </x:c>
      <x:c r="C250" t="str">
        <x:v>Q3</x:v>
      </x:c>
      <x:c r="D250" t="str">
        <x:v>Digital</x:v>
      </x:c>
      <x:c r="E250" t="str">
        <x:v>West</x:v>
      </x:c>
      <x:c r="F250" s="6" t="n">
        <x:v>660380.32</x:v>
      </x:c>
      <x:c r="G250" s="6" t="n">
        <x:v>688444.4</x:v>
      </x:c>
      <x:c r="H250" s="6" t="n">
        <x:v>705071.48</x:v>
      </x:c>
      <x:c r="I250" s="6" t="n">
        <x:v>235865.75</x:v>
      </x:c>
      <x:c r="J250" s="6" t="n">
        <x:v>247839.98</x:v>
      </x:c>
      <x:c r="K250" s="6" t="n">
        <x:v>255235.88</x:v>
      </x:c>
      <x:c r="L250" s="6" t="n">
        <x:v>236379.51</x:v>
      </x:c>
      <x:c r="M250" s="6" t="n">
        <x:v>234071.1</x:v>
      </x:c>
      <x:c r="N250" s="6" t="n">
        <x:v>242544.59</x:v>
      </x:c>
      <x:c r="O250" s="6" t="n">
        <x:v>924532.45</x:v>
      </x:c>
      <x:c r="P250" s="6" t="n">
        <x:v>145787.93</x:v>
      </x:c>
      <x:c r="Q250" s="6" t="n">
        <x:v>56</x:v>
      </x:c>
      <x:c r="R250" s="6" t="n">
        <x:f>F250-I250</x:f>
        <x:v>424514.56999999995</x:v>
      </x:c>
      <x:c r="S250" s="6" t="n">
        <x:f>G250-J250</x:f>
        <x:v>440604.42000000004</x:v>
      </x:c>
      <x:c r="T250" s="6" t="n">
        <x:f>R250-L250</x:f>
        <x:v>188135.05999999994</x:v>
      </x:c>
      <x:c r="U250" s="6" t="n">
        <x:f>S250-M250</x:f>
        <x:v>206533.32000000004</x:v>
      </x:c>
      <x:c r="V250" s="6" t="n">
        <x:f>F250-G250</x:f>
        <x:v>-28064.080000000075</x:v>
      </x:c>
      <x:c r="W250" s="8" t="n">
        <x:f>IFERROR(V250/G250,0)</x:f>
        <x:v>-0.04076448294154194</x:v>
      </x:c>
      <x:c r="X250" s="8" t="n">
        <x:f>IFERROR(T250/F250,0)</x:f>
        <x:v>0.2848889561094128</x:v>
      </x:c>
      <x:c r="Y250" s="8" t="n">
        <x:f>IFERROR(T250/O250,0)</x:f>
        <x:v>0.20349211106651793</x:v>
      </x:c>
    </x:row>
    <x:row r="251">
      <x:c r="A251" t="str">
        <x:v>2025-09-01</x:v>
      </x:c>
      <x:c r="B251" t="n">
        <x:v>2025</x:v>
      </x:c>
      <x:c r="C251" t="str">
        <x:v>Q3</x:v>
      </x:c>
      <x:c r="D251" t="str">
        <x:v>Services</x:v>
      </x:c>
      <x:c r="E251" t="str">
        <x:v>East</x:v>
      </x:c>
      <x:c r="F251" s="6" t="n">
        <x:v>564107.57</x:v>
      </x:c>
      <x:c r="G251" s="6" t="n">
        <x:v>537352.55</x:v>
      </x:c>
      <x:c r="H251" s="6" t="n">
        <x:v>531106.82</x:v>
      </x:c>
      <x:c r="I251" s="6" t="n">
        <x:v>239506.15</x:v>
      </x:c>
      <x:c r="J251" s="6" t="n">
        <x:v>225688.07</x:v>
      </x:c>
      <x:c r="K251" s="6" t="n">
        <x:v>224127.08</x:v>
      </x:c>
      <x:c r="L251" s="6" t="n">
        <x:v>174252.45</x:v>
      </x:c>
      <x:c r="M251" s="6" t="n">
        <x:v>166579.29</x:v>
      </x:c>
      <x:c r="N251" s="6" t="n">
        <x:v>166767.54</x:v>
      </x:c>
      <x:c r="O251" s="6" t="n">
        <x:v>902572.11</x:v>
      </x:c>
      <x:c r="P251" s="6" t="n">
        <x:v>132340.04</x:v>
      </x:c>
      <x:c r="Q251" s="6" t="n">
        <x:v>53</x:v>
      </x:c>
      <x:c r="R251" s="6" t="n">
        <x:f>F251-I251</x:f>
        <x:v>324601.4199999999</x:v>
      </x:c>
      <x:c r="S251" s="6" t="n">
        <x:f>G251-J251</x:f>
        <x:v>311664.48000000004</x:v>
      </x:c>
      <x:c r="T251" s="6" t="n">
        <x:f>R251-L251</x:f>
        <x:v>150348.9699999999</x:v>
      </x:c>
      <x:c r="U251" s="6" t="n">
        <x:f>S251-M251</x:f>
        <x:v>145085.19000000003</x:v>
      </x:c>
      <x:c r="V251" s="6" t="n">
        <x:f>F251-G251</x:f>
        <x:v>26755.019999999902</x:v>
      </x:c>
      <x:c r="W251" s="8" t="n">
        <x:f>IFERROR(V251/G251,0)</x:f>
        <x:v>0.04979044018680082</x:v>
      </x:c>
      <x:c r="X251" s="8" t="n">
        <x:f>IFERROR(T251/F251,0)</x:f>
        <x:v>0.2665253543752301</x:v>
      </x:c>
      <x:c r="Y251" s="8" t="n">
        <x:f>IFERROR(T251/O251,0)</x:f>
        <x:v>0.166578346853638</x:v>
      </x:c>
    </x:row>
    <x:row r="252">
      <x:c r="A252" t="str">
        <x:v>2025-09-01</x:v>
      </x:c>
      <x:c r="B252" t="n">
        <x:v>2025</x:v>
      </x:c>
      <x:c r="C252" t="str">
        <x:v>Q3</x:v>
      </x:c>
      <x:c r="D252" t="str">
        <x:v>Services</x:v>
      </x:c>
      <x:c r="E252" t="str">
        <x:v>Central</x:v>
      </x:c>
      <x:c r="F252" s="6" t="n">
        <x:v>500753.71</x:v>
      </x:c>
      <x:c r="G252" s="6" t="n">
        <x:v>476781.63</x:v>
      </x:c>
      <x:c r="H252" s="6" t="n">
        <x:v>472693.27</x:v>
      </x:c>
      <x:c r="I252" s="6" t="n">
        <x:v>212217.87</x:v>
      </x:c>
      <x:c r="J252" s="6" t="n">
        <x:v>200248.29</x:v>
      </x:c>
      <x:c r="K252" s="6" t="n">
        <x:v>199476.56</x:v>
      </x:c>
      <x:c r="L252" s="6" t="n">
        <x:v>160961.95</x:v>
      </x:c>
      <x:c r="M252" s="6" t="n">
        <x:v>147802.31</x:v>
      </x:c>
      <x:c r="N252" s="6" t="n">
        <x:v>148425.69</x:v>
      </x:c>
      <x:c r="O252" s="6" t="n">
        <x:v>801205.94</x:v>
      </x:c>
      <x:c r="P252" s="6" t="n">
        <x:v>92741.09</x:v>
      </x:c>
      <x:c r="Q252" s="6" t="n">
        <x:v>47</x:v>
      </x:c>
      <x:c r="R252" s="6" t="n">
        <x:f>F252-I252</x:f>
        <x:v>288535.84</x:v>
      </x:c>
      <x:c r="S252" s="6" t="n">
        <x:f>G252-J252</x:f>
        <x:v>276533.33999999997</x:v>
      </x:c>
      <x:c r="T252" s="6" t="n">
        <x:f>R252-L252</x:f>
        <x:v>127573.89000000001</x:v>
      </x:c>
      <x:c r="U252" s="6" t="n">
        <x:f>S252-M252</x:f>
        <x:v>128731.02999999997</x:v>
      </x:c>
      <x:c r="V252" s="6" t="n">
        <x:f>F252-G252</x:f>
        <x:v>23972.080000000016</x:v>
      </x:c>
      <x:c r="W252" s="8" t="n">
        <x:f>IFERROR(V252/G252,0)</x:f>
        <x:v>0.05027895055436598</x:v>
      </x:c>
      <x:c r="X252" s="8" t="n">
        <x:f>IFERROR(T252/F252,0)</x:f>
        <x:v>0.25476374403696384</x:v>
      </x:c>
      <x:c r="Y252" s="8" t="n">
        <x:f>IFERROR(T252/O252,0)</x:f>
        <x:v>0.159227339228164</x:v>
      </x:c>
    </x:row>
    <x:row r="253">
      <x:c r="A253" t="str">
        <x:v>2025-09-01</x:v>
      </x:c>
      <x:c r="B253" t="n">
        <x:v>2025</x:v>
      </x:c>
      <x:c r="C253" t="str">
        <x:v>Q3</x:v>
      </x:c>
      <x:c r="D253" t="str">
        <x:v>Services</x:v>
      </x:c>
      <x:c r="E253" t="str">
        <x:v>West</x:v>
      </x:c>
      <x:c r="F253" s="6" t="n">
        <x:v>519450.69</x:v>
      </x:c>
      <x:c r="G253" s="6" t="n">
        <x:v>502928.71</x:v>
      </x:c>
      <x:c r="H253" s="6" t="n">
        <x:v>503675.45</x:v>
      </x:c>
      <x:c r="I253" s="6" t="n">
        <x:v>217106.61</x:v>
      </x:c>
      <x:c r="J253" s="6" t="n">
        <x:v>211230.06</x:v>
      </x:c>
      <x:c r="K253" s="6" t="n">
        <x:v>212551.04</x:v>
      </x:c>
      <x:c r="L253" s="6" t="n">
        <x:v>163635.97</x:v>
      </x:c>
      <x:c r="M253" s="6" t="n">
        <x:v>155907.9</x:v>
      </x:c>
      <x:c r="N253" s="6" t="n">
        <x:v>158154.09</x:v>
      </x:c>
      <x:c r="O253" s="6" t="n">
        <x:v>831121.11</x:v>
      </x:c>
      <x:c r="P253" s="6" t="n">
        <x:v>116656.15</x:v>
      </x:c>
      <x:c r="Q253" s="6" t="n">
        <x:v>51</x:v>
      </x:c>
      <x:c r="R253" s="6" t="n">
        <x:f>F253-I253</x:f>
        <x:v>302344.08</x:v>
      </x:c>
      <x:c r="S253" s="6" t="n">
        <x:f>G253-J253</x:f>
        <x:v>291698.65</x:v>
      </x:c>
      <x:c r="T253" s="6" t="n">
        <x:f>R253-L253</x:f>
        <x:v>138708.11000000002</x:v>
      </x:c>
      <x:c r="U253" s="6" t="n">
        <x:f>S253-M253</x:f>
        <x:v>135790.75000000003</x:v>
      </x:c>
      <x:c r="V253" s="6" t="n">
        <x:f>F253-G253</x:f>
        <x:v>16521.97999999998</x:v>
      </x:c>
      <x:c r="W253" s="8" t="n">
        <x:f>IFERROR(V253/G253,0)</x:f>
        <x:v>0.03285153476324702</x:v>
      </x:c>
      <x:c r="X253" s="8" t="n">
        <x:f>IFERROR(T253/F253,0)</x:f>
        <x:v>0.2670284449906112</x:v>
      </x:c>
      <x:c r="Y253" s="8" t="n">
        <x:f>IFERROR(T253/O253,0)</x:f>
        <x:v>0.16689277691430557</x:v>
      </x:c>
    </x:row>
    <x:row r="254">
      <x:c r="A254" t="str">
        <x:v>2025-10-01</x:v>
      </x:c>
      <x:c r="B254" t="n">
        <x:v>2025</x:v>
      </x:c>
      <x:c r="C254" t="str">
        <x:v>Q4</x:v>
      </x:c>
      <x:c r="D254" t="str">
        <x:v>Enterprise</x:v>
      </x:c>
      <x:c r="E254" t="str">
        <x:v>East</x:v>
      </x:c>
      <x:c r="F254" s="6" t="n">
        <x:v>1794902.93</x:v>
      </x:c>
      <x:c r="G254" s="6" t="n">
        <x:v>1709622.91</x:v>
      </x:c>
      <x:c r="H254" s="6" t="n">
        <x:v>1712598.69</x:v>
      </x:c>
      <x:c r="I254" s="6" t="n">
        <x:v>875625.8</x:v>
      </x:c>
      <x:c r="J254" s="6" t="n">
        <x:v>820619</x:v>
      </x:c>
      <x:c r="K254" s="6" t="n">
        <x:v>825472.57</x:v>
      </x:c>
      <x:c r="L254" s="6" t="n">
        <x:v>493988.97</x:v>
      </x:c>
      <x:c r="M254" s="6" t="n">
        <x:v>461598.19</x:v>
      </x:c>
      <x:c r="N254" s="6" t="n">
        <x:v>469252.04</x:v>
      </x:c>
      <x:c r="O254" s="6" t="n">
        <x:v>3769296.14</x:v>
      </x:c>
      <x:c r="P254" s="6" t="n">
        <x:v>351242.08</x:v>
      </x:c>
      <x:c r="Q254" s="6" t="n">
        <x:v>114</x:v>
      </x:c>
      <x:c r="R254" s="6" t="n">
        <x:f>F254-I254</x:f>
        <x:v>919277.1299999999</x:v>
      </x:c>
      <x:c r="S254" s="6" t="n">
        <x:f>G254-J254</x:f>
        <x:v>889003.9099999999</x:v>
      </x:c>
      <x:c r="T254" s="6" t="n">
        <x:f>R254-L254</x:f>
        <x:v>425288.1599999999</x:v>
      </x:c>
      <x:c r="U254" s="6" t="n">
        <x:f>S254-M254</x:f>
        <x:v>427405.7199999999</x:v>
      </x:c>
      <x:c r="V254" s="6" t="n">
        <x:f>F254-G254</x:f>
        <x:v>85280.02000000002</x:v>
      </x:c>
      <x:c r="W254" s="8" t="n">
        <x:f>IFERROR(V254/G254,0)</x:f>
        <x:v>0.04988235680580581</x:v>
      </x:c>
      <x:c r="X254" s="8" t="n">
        <x:f>IFERROR(T254/F254,0)</x:f>
        <x:v>0.23694215040364325</x:v>
      </x:c>
      <x:c r="Y254" s="8" t="n">
        <x:f>IFERROR(T254/O254,0)</x:f>
        <x:v>0.11282959581944652</x:v>
      </x:c>
    </x:row>
    <x:row r="255">
      <x:c r="A255" t="str">
        <x:v>2025-10-01</x:v>
      </x:c>
      <x:c r="B255" t="n">
        <x:v>2025</x:v>
      </x:c>
      <x:c r="C255" t="str">
        <x:v>Q4</x:v>
      </x:c>
      <x:c r="D255" t="str">
        <x:v>Enterprise</x:v>
      </x:c>
      <x:c r="E255" t="str">
        <x:v>Central</x:v>
      </x:c>
      <x:c r="F255" s="6" t="n">
        <x:v>1547971.97</x:v>
      </x:c>
      <x:c r="G255" s="6" t="n">
        <x:v>1517684.94</x:v>
      </x:c>
      <x:c r="H255" s="6" t="n">
        <x:v>1511967.1</x:v>
      </x:c>
      <x:c r="I255" s="6" t="n">
        <x:v>729016.88</x:v>
      </x:c>
      <x:c r="J255" s="6" t="n">
        <x:v>728488.77</x:v>
      </x:c>
      <x:c r="K255" s="6" t="n">
        <x:v>728768.14</x:v>
      </x:c>
      <x:c r="L255" s="6" t="n">
        <x:v>433540.89</x:v>
      </x:c>
      <x:c r="M255" s="6" t="n">
        <x:v>409774.93</x:v>
      </x:c>
      <x:c r="N255" s="6" t="n">
        <x:v>414278.98</x:v>
      </x:c>
      <x:c r="O255" s="6" t="n">
        <x:v>3250741.14</x:v>
      </x:c>
      <x:c r="P255" s="6" t="n">
        <x:v>315965.95</x:v>
      </x:c>
      <x:c r="Q255" s="6" t="n">
        <x:v>102</x:v>
      </x:c>
      <x:c r="R255" s="6" t="n">
        <x:f>F255-I255</x:f>
        <x:v>818955.09</x:v>
      </x:c>
      <x:c r="S255" s="6" t="n">
        <x:f>G255-J255</x:f>
        <x:v>789196.1699999999</x:v>
      </x:c>
      <x:c r="T255" s="6" t="n">
        <x:f>R255-L255</x:f>
        <x:v>385414.19999999995</x:v>
      </x:c>
      <x:c r="U255" s="6" t="n">
        <x:f>S255-M255</x:f>
        <x:v>379421.23999999993</x:v>
      </x:c>
      <x:c r="V255" s="6" t="n">
        <x:f>F255-G255</x:f>
        <x:v>30287.030000000028</x:v>
      </x:c>
      <x:c r="W255" s="8" t="n">
        <x:f>IFERROR(V255/G255,0)</x:f>
        <x:v>0.01995607204219871</x:v>
      </x:c>
      <x:c r="X255" s="8" t="n">
        <x:f>IFERROR(T255/F255,0)</x:f>
        <x:v>0.24898008973637936</x:v>
      </x:c>
      <x:c r="Y255" s="8" t="n">
        <x:f>IFERROR(T255/O255,0)</x:f>
        <x:v>0.11856194738409713</x:v>
      </x:c>
    </x:row>
    <x:row r="256">
      <x:c r="A256" t="str">
        <x:v>2025-10-01</x:v>
      </x:c>
      <x:c r="B256" t="n">
        <x:v>2025</x:v>
      </x:c>
      <x:c r="C256" t="str">
        <x:v>Q4</x:v>
      </x:c>
      <x:c r="D256" t="str">
        <x:v>Enterprise</x:v>
      </x:c>
      <x:c r="E256" t="str">
        <x:v>West</x:v>
      </x:c>
      <x:c r="F256" s="6" t="n">
        <x:v>1648366.42</x:v>
      </x:c>
      <x:c r="G256" s="6" t="n">
        <x:v>1630161.96</x:v>
      </x:c>
      <x:c r="H256" s="6" t="n">
        <x:v>1624912.75</x:v>
      </x:c>
      <x:c r="I256" s="6" t="n">
        <x:v>782590.86</x:v>
      </x:c>
      <x:c r="J256" s="6" t="n">
        <x:v>782477.74</x:v>
      </x:c>
      <x:c r="K256" s="6" t="n">
        <x:v>783207.95</x:v>
      </x:c>
      <x:c r="L256" s="6" t="n">
        <x:v>447347.18</x:v>
      </x:c>
      <x:c r="M256" s="6" t="n">
        <x:v>440143.73</x:v>
      </x:c>
      <x:c r="N256" s="6" t="n">
        <x:v>445226.09</x:v>
      </x:c>
      <x:c r="O256" s="6" t="n">
        <x:v>3461569.48</x:v>
      </x:c>
      <x:c r="P256" s="6" t="n">
        <x:v>384649.92</x:v>
      </x:c>
      <x:c r="Q256" s="6" t="n">
        <x:v>109</x:v>
      </x:c>
      <x:c r="R256" s="6" t="n">
        <x:f>F256-I256</x:f>
        <x:v>865775.5599999999</x:v>
      </x:c>
      <x:c r="S256" s="6" t="n">
        <x:f>G256-J256</x:f>
        <x:v>847684.22</x:v>
      </x:c>
      <x:c r="T256" s="6" t="n">
        <x:f>R256-L256</x:f>
        <x:v>418428.37999999995</x:v>
      </x:c>
      <x:c r="U256" s="6" t="n">
        <x:f>S256-M256</x:f>
        <x:v>407540.49</x:v>
      </x:c>
      <x:c r="V256" s="6" t="n">
        <x:f>F256-G256</x:f>
        <x:v>18204.459999999963</x:v>
      </x:c>
      <x:c r="W256" s="8" t="n">
        <x:f>IFERROR(V256/G256,0)</x:f>
        <x:v>0.011167270766151335</x:v>
      </x:c>
      <x:c r="X256" s="8" t="n">
        <x:f>IFERROR(T256/F256,0)</x:f>
        <x:v>0.25384427571631796</x:v>
      </x:c>
      <x:c r="Y256" s="8" t="n">
        <x:f>IFERROR(T256/O256,0)</x:f>
        <x:v>0.1208782266014201</x:v>
      </x:c>
    </x:row>
    <x:row r="257">
      <x:c r="A257" t="str">
        <x:v>2025-10-01</x:v>
      </x:c>
      <x:c r="B257" t="n">
        <x:v>2025</x:v>
      </x:c>
      <x:c r="C257" t="str">
        <x:v>Q4</x:v>
      </x:c>
      <x:c r="D257" t="str">
        <x:v>SMB</x:v>
      </x:c>
      <x:c r="E257" t="str">
        <x:v>East</x:v>
      </x:c>
      <x:c r="F257" s="6" t="n">
        <x:v>1021721.03</x:v>
      </x:c>
      <x:c r="G257" s="6" t="n">
        <x:v>976184.1</x:v>
      </x:c>
      <x:c r="H257" s="6" t="n">
        <x:v>983118.92</x:v>
      </x:c>
      <x:c r="I257" s="6" t="n">
        <x:v>542726.54</x:v>
      </x:c>
      <x:c r="J257" s="6" t="n">
        <x:v>527139.41</x:v>
      </x:c>
      <x:c r="K257" s="6" t="n">
        <x:v>532850.46</x:v>
      </x:c>
      <x:c r="L257" s="6" t="n">
        <x:v>310178.96</x:v>
      </x:c>
      <x:c r="M257" s="6" t="n">
        <x:v>283093.39</x:v>
      </x:c>
      <x:c r="N257" s="6" t="n">
        <x:v>289036.96</x:v>
      </x:c>
      <x:c r="O257" s="6" t="n">
        <x:v>1736925.75</x:v>
      </x:c>
      <x:c r="P257" s="6" t="n">
        <x:v>136809.55</x:v>
      </x:c>
      <x:c r="Q257" s="6" t="n">
        <x:v>81</x:v>
      </x:c>
      <x:c r="R257" s="6" t="n">
        <x:f>F257-I257</x:f>
        <x:v>478994.49</x:v>
      </x:c>
      <x:c r="S257" s="6" t="n">
        <x:f>G257-J257</x:f>
        <x:v>449044.68999999994</x:v>
      </x:c>
      <x:c r="T257" s="6" t="n">
        <x:f>R257-L257</x:f>
        <x:v>168815.52999999997</x:v>
      </x:c>
      <x:c r="U257" s="6" t="n">
        <x:f>S257-M257</x:f>
        <x:v>165951.29999999993</x:v>
      </x:c>
      <x:c r="V257" s="6" t="n">
        <x:f>F257-G257</x:f>
        <x:v>45536.93000000005</x:v>
      </x:c>
      <x:c r="W257" s="8" t="n">
        <x:f>IFERROR(V257/G257,0)</x:f>
        <x:v>0.04664789151964271</x:v>
      </x:c>
      <x:c r="X257" s="8" t="n">
        <x:f>IFERROR(T257/F257,0)</x:f>
        <x:v>0.1652266372553768</x:v>
      </x:c>
      <x:c r="Y257" s="8" t="n">
        <x:f>IFERROR(T257/O257,0)</x:f>
        <x:v>0.09719213961794278</x:v>
      </x:c>
    </x:row>
    <x:row r="258">
      <x:c r="A258" t="str">
        <x:v>2025-10-01</x:v>
      </x:c>
      <x:c r="B258" t="n">
        <x:v>2025</x:v>
      </x:c>
      <x:c r="C258" t="str">
        <x:v>Q4</x:v>
      </x:c>
      <x:c r="D258" t="str">
        <x:v>SMB</x:v>
      </x:c>
      <x:c r="E258" t="str">
        <x:v>Central</x:v>
      </x:c>
      <x:c r="F258" s="6" t="n">
        <x:v>889660.13</x:v>
      </x:c>
      <x:c r="G258" s="6" t="n">
        <x:v>890095.28</x:v>
      </x:c>
      <x:c r="H258" s="6" t="n">
        <x:v>880260.25</x:v>
      </x:c>
      <x:c r="I258" s="6" t="n">
        <x:v>485514.37</x:v>
      </x:c>
      <x:c r="J258" s="6" t="n">
        <x:v>480651.45</x:v>
      </x:c>
      <x:c r="K258" s="6" t="n">
        <x:v>477101.05</x:v>
      </x:c>
      <x:c r="L258" s="6" t="n">
        <x:v>269892.31</x:v>
      </x:c>
      <x:c r="M258" s="6" t="n">
        <x:v>258127.63</x:v>
      </x:c>
      <x:c r="N258" s="6" t="n">
        <x:v>258796.51</x:v>
      </x:c>
      <x:c r="O258" s="6" t="n">
        <x:v>1512422.22</x:v>
      </x:c>
      <x:c r="P258" s="6" t="n">
        <x:v>105243.64</x:v>
      </x:c>
      <x:c r="Q258" s="6" t="n">
        <x:v>72</x:v>
      </x:c>
      <x:c r="R258" s="6" t="n">
        <x:f>F258-I258</x:f>
        <x:v>404145.76</x:v>
      </x:c>
      <x:c r="S258" s="6" t="n">
        <x:f>G258-J258</x:f>
        <x:v>409443.83</x:v>
      </x:c>
      <x:c r="T258" s="6" t="n">
        <x:f>R258-L258</x:f>
        <x:v>134253.45</x:v>
      </x:c>
      <x:c r="U258" s="6" t="n">
        <x:f>S258-M258</x:f>
        <x:v>151316.2</x:v>
      </x:c>
      <x:c r="V258" s="6" t="n">
        <x:f>F258-G258</x:f>
        <x:v>-435.1500000000233</x:v>
      </x:c>
      <x:c r="W258" s="8" t="n">
        <x:f>IFERROR(V258/G258,0)</x:f>
        <x:v>-0.0004888802466181185</x:v>
      </x:c>
      <x:c r="X258" s="8" t="n">
        <x:f>IFERROR(T258/F258,0)</x:f>
        <x:v>0.1509041997869456</x:v>
      </x:c>
      <x:c r="Y258" s="8" t="n">
        <x:f>IFERROR(T258/O258,0)</x:f>
        <x:v>0.08876717640395419</x:v>
      </x:c>
    </x:row>
    <x:row r="259">
      <x:c r="A259" t="str">
        <x:v>2025-10-01</x:v>
      </x:c>
      <x:c r="B259" t="n">
        <x:v>2025</x:v>
      </x:c>
      <x:c r="C259" t="str">
        <x:v>Q4</x:v>
      </x:c>
      <x:c r="D259" t="str">
        <x:v>SMB</x:v>
      </x:c>
      <x:c r="E259" t="str">
        <x:v>West</x:v>
      </x:c>
      <x:c r="F259" s="6" t="n">
        <x:v>904525.08</x:v>
      </x:c>
      <x:c r="G259" s="6" t="n">
        <x:v>940749.68</x:v>
      </x:c>
      <x:c r="H259" s="6" t="n">
        <x:v>949590.57</x:v>
      </x:c>
      <x:c r="I259" s="6" t="n">
        <x:v>498551.27</x:v>
      </x:c>
      <x:c r="J259" s="6" t="n">
        <x:v>508004.83</x:v>
      </x:c>
      <x:c r="K259" s="6" t="n">
        <x:v>514678.09</x:v>
      </x:c>
      <x:c r="L259" s="6" t="n">
        <x:v>274560.32</x:v>
      </x:c>
      <x:c r="M259" s="6" t="n">
        <x:v>272817.41</x:v>
      </x:c>
      <x:c r="N259" s="6" t="n">
        <x:v>279179.63</x:v>
      </x:c>
      <x:c r="O259" s="6" t="n">
        <x:v>1537692.64</x:v>
      </x:c>
      <x:c r="P259" s="6" t="n">
        <x:v>113325.97</x:v>
      </x:c>
      <x:c r="Q259" s="6" t="n">
        <x:v>77</x:v>
      </x:c>
      <x:c r="R259" s="6" t="n">
        <x:f>F259-I259</x:f>
        <x:v>405973.80999999994</x:v>
      </x:c>
      <x:c r="S259" s="6" t="n">
        <x:f>G259-J259</x:f>
        <x:v>432744.85000000003</x:v>
      </x:c>
      <x:c r="T259" s="6" t="n">
        <x:f>R259-L259</x:f>
        <x:v>131413.48999999993</x:v>
      </x:c>
      <x:c r="U259" s="6" t="n">
        <x:f>S259-M259</x:f>
        <x:v>159927.44000000006</x:v>
      </x:c>
      <x:c r="V259" s="6" t="n">
        <x:f>F259-G259</x:f>
        <x:v>-36224.60000000009</x:v>
      </x:c>
      <x:c r="W259" s="8" t="n">
        <x:f>IFERROR(V259/G259,0)</x:f>
        <x:v>-0.0385060986680326</x:v>
      </x:c>
      <x:c r="X259" s="8" t="n">
        <x:f>IFERROR(T259/F259,0)</x:f>
        <x:v>0.14528451770513642</x:v>
      </x:c>
      <x:c r="Y259" s="8" t="n">
        <x:f>IFERROR(T259/O259,0)</x:f>
        <x:v>0.08546148078071047</x:v>
      </x:c>
    </x:row>
    <x:row r="260">
      <x:c r="A260" t="str">
        <x:v>2025-10-01</x:v>
      </x:c>
      <x:c r="B260" t="n">
        <x:v>2025</x:v>
      </x:c>
      <x:c r="C260" t="str">
        <x:v>Q4</x:v>
      </x:c>
      <x:c r="D260" t="str">
        <x:v>Digital</x:v>
      </x:c>
      <x:c r="E260" t="str">
        <x:v>East</x:v>
      </x:c>
      <x:c r="F260" s="6" t="n">
        <x:v>740837.56</x:v>
      </x:c>
      <x:c r="G260" s="6" t="n">
        <x:v>727188.24</x:v>
      </x:c>
      <x:c r="H260" s="6" t="n">
        <x:v>742252.91</x:v>
      </x:c>
      <x:c r="I260" s="6" t="n">
        <x:v>267611.01</x:v>
      </x:c>
      <x:c r="J260" s="6" t="n">
        <x:v>261787.77</x:v>
      </x:c>
      <x:c r="K260" s="6" t="n">
        <x:v>268695.55</x:v>
      </x:c>
      <x:c r="L260" s="6" t="n">
        <x:v>245692.02</x:v>
      </x:c>
      <x:c r="M260" s="6" t="n">
        <x:v>247244</x:v>
      </x:c>
      <x:c r="N260" s="6" t="n">
        <x:v>255335</x:v>
      </x:c>
      <x:c r="O260" s="6" t="n">
        <x:v>1037172.59</x:v>
      </x:c>
      <x:c r="P260" s="6" t="n">
        <x:v>172970.86</x:v>
      </x:c>
      <x:c r="Q260" s="6" t="n">
        <x:v>58</x:v>
      </x:c>
      <x:c r="R260" s="6" t="n">
        <x:f>F260-I260</x:f>
        <x:v>473226.55000000005</x:v>
      </x:c>
      <x:c r="S260" s="6" t="n">
        <x:f>G260-J260</x:f>
        <x:v>465400.47</x:v>
      </x:c>
      <x:c r="T260" s="6" t="n">
        <x:f>R260-L260</x:f>
        <x:v>227534.53000000006</x:v>
      </x:c>
      <x:c r="U260" s="6" t="n">
        <x:f>S260-M260</x:f>
        <x:v>218156.46999999997</x:v>
      </x:c>
      <x:c r="V260" s="6" t="n">
        <x:f>F260-G260</x:f>
        <x:v>13649.320000000065</x:v>
      </x:c>
      <x:c r="W260" s="8" t="n">
        <x:f>IFERROR(V260/G260,0)</x:f>
        <x:v>0.018769995510378532</x:v>
      </x:c>
      <x:c r="X260" s="8" t="n">
        <x:f>IFERROR(T260/F260,0)</x:f>
        <x:v>0.3071314715738765</x:v>
      </x:c>
      <x:c r="Y260" s="8" t="n">
        <x:f>IFERROR(T260/O260,0)</x:f>
        <x:v>0.21937962128366703</x:v>
      </x:c>
    </x:row>
    <x:row r="261">
      <x:c r="A261" t="str">
        <x:v>2025-10-01</x:v>
      </x:c>
      <x:c r="B261" t="n">
        <x:v>2025</x:v>
      </x:c>
      <x:c r="C261" t="str">
        <x:v>Q4</x:v>
      </x:c>
      <x:c r="D261" t="str">
        <x:v>Digital</x:v>
      </x:c>
      <x:c r="E261" t="str">
        <x:v>Central</x:v>
      </x:c>
      <x:c r="F261" s="6" t="n">
        <x:v>657444</x:v>
      </x:c>
      <x:c r="G261" s="6" t="n">
        <x:v>635802.98</x:v>
      </x:c>
      <x:c r="H261" s="6" t="n">
        <x:v>627017.95</x:v>
      </x:c>
      <x:c r="I261" s="6" t="n">
        <x:v>238260.7</x:v>
      </x:c>
      <x:c r="J261" s="6" t="n">
        <x:v>228889.07</x:v>
      </x:c>
      <x:c r="K261" s="6" t="n">
        <x:v>226980.5</x:v>
      </x:c>
      <x:c r="L261" s="6" t="n">
        <x:v>222917.79</x:v>
      </x:c>
      <x:c r="M261" s="6" t="n">
        <x:v>216173.01</x:v>
      </x:c>
      <x:c r="N261" s="6" t="n">
        <x:v>215694.18</x:v>
      </x:c>
      <x:c r="O261" s="6" t="n">
        <x:v>920421.6</x:v>
      </x:c>
      <x:c r="P261" s="6" t="n">
        <x:v>172857.39</x:v>
      </x:c>
      <x:c r="Q261" s="6" t="n">
        <x:v>52</x:v>
      </x:c>
      <x:c r="R261" s="6" t="n">
        <x:f>F261-I261</x:f>
        <x:v>419183.3</x:v>
      </x:c>
      <x:c r="S261" s="6" t="n">
        <x:f>G261-J261</x:f>
        <x:v>406913.91</x:v>
      </x:c>
      <x:c r="T261" s="6" t="n">
        <x:f>R261-L261</x:f>
        <x:v>196265.50999999998</x:v>
      </x:c>
      <x:c r="U261" s="6" t="n">
        <x:f>S261-M261</x:f>
        <x:v>190740.89999999997</x:v>
      </x:c>
      <x:c r="V261" s="6" t="n">
        <x:f>F261-G261</x:f>
        <x:v>21641.02000000002</x:v>
      </x:c>
      <x:c r="W261" s="8" t="n">
        <x:f>IFERROR(V261/G261,0)</x:f>
        <x:v>0.034037305078375095</x:v>
      </x:c>
      <x:c r="X261" s="8" t="n">
        <x:f>IFERROR(T261/F261,0)</x:f>
        <x:v>0.29852810277377234</x:v>
      </x:c>
      <x:c r="Y261" s="8" t="n">
        <x:f>IFERROR(T261/O261,0)</x:f>
        <x:v>0.2132343591241231</x:v>
      </x:c>
    </x:row>
    <x:row r="262">
      <x:c r="A262" t="str">
        <x:v>2025-10-01</x:v>
      </x:c>
      <x:c r="B262" t="n">
        <x:v>2025</x:v>
      </x:c>
      <x:c r="C262" t="str">
        <x:v>Q4</x:v>
      </x:c>
      <x:c r="D262" t="str">
        <x:v>Digital</x:v>
      </x:c>
      <x:c r="E262" t="str">
        <x:v>West</x:v>
      </x:c>
      <x:c r="F262" s="6" t="n">
        <x:v>702904.18</x:v>
      </x:c>
      <x:c r="G262" s="6" t="n">
        <x:v>691702.18</x:v>
      </x:c>
      <x:c r="H262" s="6" t="n">
        <x:v>684010.24</x:v>
      </x:c>
      <x:c r="I262" s="6" t="n">
        <x:v>250263.1</x:v>
      </x:c>
      <x:c r="J262" s="6" t="n">
        <x:v>249012.78</x:v>
      </x:c>
      <x:c r="K262" s="6" t="n">
        <x:v>247611.71</x:v>
      </x:c>
      <x:c r="L262" s="6" t="n">
        <x:v>251631.16</x:v>
      </x:c>
      <x:c r="M262" s="6" t="n">
        <x:v>235178.74</x:v>
      </x:c>
      <x:c r="N262" s="6" t="n">
        <x:v>235299.52</x:v>
      </x:c>
      <x:c r="O262" s="6" t="n">
        <x:v>984065.86</x:v>
      </x:c>
      <x:c r="P262" s="6" t="n">
        <x:v>173627.13</x:v>
      </x:c>
      <x:c r="Q262" s="6" t="n">
        <x:v>56</x:v>
      </x:c>
      <x:c r="R262" s="6" t="n">
        <x:f>F262-I262</x:f>
        <x:v>452641.0800000001</x:v>
      </x:c>
      <x:c r="S262" s="6" t="n">
        <x:f>G262-J262</x:f>
        <x:v>442689.4</x:v>
      </x:c>
      <x:c r="T262" s="6" t="n">
        <x:f>R262-L262</x:f>
        <x:v>201009.92000000007</x:v>
      </x:c>
      <x:c r="U262" s="6" t="n">
        <x:f>S262-M262</x:f>
        <x:v>207510.66000000003</x:v>
      </x:c>
      <x:c r="V262" s="6" t="n">
        <x:f>F262-G262</x:f>
        <x:v>11202</x:v>
      </x:c>
      <x:c r="W262" s="8" t="n">
        <x:f>IFERROR(V262/G262,0)</x:f>
        <x:v>0.016194831133826987</x:v>
      </x:c>
      <x:c r="X262" s="8" t="n">
        <x:f>IFERROR(T262/F262,0)</x:f>
        <x:v>0.28597058563515737</x:v>
      </x:c>
      <x:c r="Y262" s="8" t="n">
        <x:f>IFERROR(T262/O262,0)</x:f>
        <x:v>0.2042647023645349</x:v>
      </x:c>
    </x:row>
    <x:row r="263">
      <x:c r="A263" t="str">
        <x:v>2025-10-01</x:v>
      </x:c>
      <x:c r="B263" t="n">
        <x:v>2025</x:v>
      </x:c>
      <x:c r="C263" t="str">
        <x:v>Q4</x:v>
      </x:c>
      <x:c r="D263" t="str">
        <x:v>Services</x:v>
      </x:c>
      <x:c r="E263" t="str">
        <x:v>East</x:v>
      </x:c>
      <x:c r="F263" s="6" t="n">
        <x:v>546346.69</x:v>
      </x:c>
      <x:c r="G263" s="6" t="n">
        <x:v>529448.57</x:v>
      </x:c>
      <x:c r="H263" s="6" t="n">
        <x:v>541123.06</x:v>
      </x:c>
      <x:c r="I263" s="6" t="n">
        <x:v>223957.08</x:v>
      </x:c>
      <x:c r="J263" s="6" t="n">
        <x:v>222368.4</x:v>
      </x:c>
      <x:c r="K263" s="6" t="n">
        <x:v>228353.93</x:v>
      </x:c>
      <x:c r="L263" s="6" t="n">
        <x:v>178749.01</x:v>
      </x:c>
      <x:c r="M263" s="6" t="n">
        <x:v>164129.06</x:v>
      </x:c>
      <x:c r="N263" s="6" t="n">
        <x:v>169912.64</x:v>
      </x:c>
      <x:c r="O263" s="6" t="n">
        <x:v>874154.71</x:v>
      </x:c>
      <x:c r="P263" s="6" t="n">
        <x:v>121874.42</x:v>
      </x:c>
      <x:c r="Q263" s="6" t="n">
        <x:v>53</x:v>
      </x:c>
      <x:c r="R263" s="6" t="n">
        <x:f>F263-I263</x:f>
        <x:v>322389.61</x:v>
      </x:c>
      <x:c r="S263" s="6" t="n">
        <x:f>G263-J263</x:f>
        <x:v>307080.1699999999</x:v>
      </x:c>
      <x:c r="T263" s="6" t="n">
        <x:f>R263-L263</x:f>
        <x:v>143640.59999999998</x:v>
      </x:c>
      <x:c r="U263" s="6" t="n">
        <x:f>S263-M263</x:f>
        <x:v>142951.10999999993</x:v>
      </x:c>
      <x:c r="V263" s="6" t="n">
        <x:f>F263-G263</x:f>
        <x:v>16898.119999999995</x:v>
      </x:c>
      <x:c r="W263" s="8" t="n">
        <x:f>IFERROR(V263/G263,0)</x:f>
        <x:v>0.03191645224388839</x:v>
      </x:c>
      <x:c r="X263" s="8" t="n">
        <x:f>IFERROR(T263/F263,0)</x:f>
        <x:v>0.26291108307071465</x:v>
      </x:c>
      <x:c r="Y263" s="8" t="n">
        <x:f>IFERROR(T263/O263,0)</x:f>
        <x:v>0.1643194257913453</x:v>
      </x:c>
    </x:row>
    <x:row r="264">
      <x:c r="A264" t="str">
        <x:v>2025-10-01</x:v>
      </x:c>
      <x:c r="B264" t="n">
        <x:v>2025</x:v>
      </x:c>
      <x:c r="C264" t="str">
        <x:v>Q4</x:v>
      </x:c>
      <x:c r="D264" t="str">
        <x:v>Services</x:v>
      </x:c>
      <x:c r="E264" t="str">
        <x:v>Central</x:v>
      </x:c>
      <x:c r="F264" s="6" t="n">
        <x:v>483788.65</x:v>
      </x:c>
      <x:c r="G264" s="6" t="n">
        <x:v>472906.64</x:v>
      </x:c>
      <x:c r="H264" s="6" t="n">
        <x:v>473144.59</x:v>
      </x:c>
      <x:c r="I264" s="6" t="n">
        <x:v>208429.2</x:v>
      </x:c>
      <x:c r="J264" s="6" t="n">
        <x:v>198620.79</x:v>
      </x:c>
      <x:c r="K264" s="6" t="n">
        <x:v>199667.02</x:v>
      </x:c>
      <x:c r="L264" s="6" t="n">
        <x:v>155493.49</x:v>
      </x:c>
      <x:c r="M264" s="6" t="n">
        <x:v>146601.06</x:v>
      </x:c>
      <x:c r="N264" s="6" t="n">
        <x:v>148567.4</x:v>
      </x:c>
      <x:c r="O264" s="6" t="n">
        <x:v>774061.84</x:v>
      </x:c>
      <x:c r="P264" s="6" t="n">
        <x:v>101641.4</x:v>
      </x:c>
      <x:c r="Q264" s="6" t="n">
        <x:v>47</x:v>
      </x:c>
      <x:c r="R264" s="6" t="n">
        <x:f>F264-I264</x:f>
        <x:v>275359.45</x:v>
      </x:c>
      <x:c r="S264" s="6" t="n">
        <x:f>G264-J264</x:f>
        <x:v>274285.85</x:v>
      </x:c>
      <x:c r="T264" s="6" t="n">
        <x:f>R264-L264</x:f>
        <x:v>119865.96000000002</x:v>
      </x:c>
      <x:c r="U264" s="6" t="n">
        <x:f>S264-M264</x:f>
        <x:v>127684.78999999998</x:v>
      </x:c>
      <x:c r="V264" s="6" t="n">
        <x:f>F264-G264</x:f>
        <x:v>10882.01000000001</x:v>
      </x:c>
      <x:c r="W264" s="8" t="n">
        <x:f>IFERROR(V264/G264,0)</x:f>
        <x:v>0.023010905492889693</x:v>
      </x:c>
      <x:c r="X264" s="8" t="n">
        <x:f>IFERROR(T264/F264,0)</x:f>
        <x:v>0.24776513463058716</x:v>
      </x:c>
      <x:c r="Y264" s="8" t="n">
        <x:f>IFERROR(T264/O264,0)</x:f>
        <x:v>0.154853209144117</x:v>
      </x:c>
    </x:row>
    <x:row r="265">
      <x:c r="A265" t="str">
        <x:v>2025-10-01</x:v>
      </x:c>
      <x:c r="B265" t="n">
        <x:v>2025</x:v>
      </x:c>
      <x:c r="C265" t="str">
        <x:v>Q4</x:v>
      </x:c>
      <x:c r="D265" t="str">
        <x:v>Services</x:v>
      </x:c>
      <x:c r="E265" t="str">
        <x:v>West</x:v>
      </x:c>
      <x:c r="F265" s="6" t="n">
        <x:v>530052.84</x:v>
      </x:c>
      <x:c r="G265" s="6" t="n">
        <x:v>504031.47</x:v>
      </x:c>
      <x:c r="H265" s="6" t="n">
        <x:v>506283.4</x:v>
      </x:c>
      <x:c r="I265" s="6" t="n">
        <x:v>228812.42</x:v>
      </x:c>
      <x:c r="J265" s="6" t="n">
        <x:v>211693.22</x:v>
      </x:c>
      <x:c r="K265" s="6" t="n">
        <x:v>213651.59</x:v>
      </x:c>
      <x:c r="L265" s="6" t="n">
        <x:v>158836.9</x:v>
      </x:c>
      <x:c r="M265" s="6" t="n">
        <x:v>156249.76</x:v>
      </x:c>
      <x:c r="N265" s="6" t="n">
        <x:v>158972.99</x:v>
      </x:c>
      <x:c r="O265" s="6" t="n">
        <x:v>848084.54</x:v>
      </x:c>
      <x:c r="P265" s="6" t="n">
        <x:v>106066.73</x:v>
      </x:c>
      <x:c r="Q265" s="6" t="n">
        <x:v>51</x:v>
      </x:c>
      <x:c r="R265" s="6" t="n">
        <x:f>F265-I265</x:f>
        <x:v>301240.4199999999</x:v>
      </x:c>
      <x:c r="S265" s="6" t="n">
        <x:f>G265-J265</x:f>
        <x:v>292338.25</x:v>
      </x:c>
      <x:c r="T265" s="6" t="n">
        <x:f>R265-L265</x:f>
        <x:v>142403.51999999993</x:v>
      </x:c>
      <x:c r="U265" s="6" t="n">
        <x:f>S265-M265</x:f>
        <x:v>136088.49</x:v>
      </x:c>
      <x:c r="V265" s="6" t="n">
        <x:f>F265-G265</x:f>
        <x:v>26021.369999999995</x:v>
      </x:c>
      <x:c r="W265" s="8" t="n">
        <x:f>IFERROR(V265/G265,0)</x:f>
        <x:v>0.05162647879903213</x:v>
      </x:c>
      <x:c r="X265" s="8" t="n">
        <x:f>IFERROR(T265/F265,0)</x:f>
        <x:v>0.2686591019868886</x:v>
      </x:c>
      <x:c r="Y265" s="8" t="n">
        <x:f>IFERROR(T265/O265,0)</x:f>
        <x:v>0.16791193953376385</x:v>
      </x:c>
    </x:row>
    <x:row r="266">
      <x:c r="A266" t="str">
        <x:v>2025-11-01</x:v>
      </x:c>
      <x:c r="B266" t="n">
        <x:v>2025</x:v>
      </x:c>
      <x:c r="C266" t="str">
        <x:v>Q4</x:v>
      </x:c>
      <x:c r="D266" t="str">
        <x:v>Enterprise</x:v>
      </x:c>
      <x:c r="E266" t="str">
        <x:v>East</x:v>
      </x:c>
      <x:c r="F266" s="6" t="n">
        <x:v>1655712.63</x:v>
      </x:c>
      <x:c r="G266" s="6" t="n">
        <x:v>1704344.91</x:v>
      </x:c>
      <x:c r="H266" s="6" t="n">
        <x:v>1703526.37</x:v>
      </x:c>
      <x:c r="I266" s="6" t="n">
        <x:v>805409.22</x:v>
      </x:c>
      <x:c r="J266" s="6" t="n">
        <x:v>818085.56</x:v>
      </x:c>
      <x:c r="K266" s="6" t="n">
        <x:v>821099.71</x:v>
      </x:c>
      <x:c r="L266" s="6" t="n">
        <x:v>444361.3</x:v>
      </x:c>
      <x:c r="M266" s="6" t="n">
        <x:v>460173.13</x:v>
      </x:c>
      <x:c r="N266" s="6" t="n">
        <x:v>466766.23</x:v>
      </x:c>
      <x:c r="O266" s="6" t="n">
        <x:v>3476996.53</x:v>
      </x:c>
      <x:c r="P266" s="6" t="n">
        <x:v>368668.84</x:v>
      </x:c>
      <x:c r="Q266" s="6" t="n">
        <x:v>114</x:v>
      </x:c>
      <x:c r="R266" s="6" t="n">
        <x:f>F266-I266</x:f>
        <x:v>850303.4099999999</x:v>
      </x:c>
      <x:c r="S266" s="6" t="n">
        <x:f>G266-J266</x:f>
        <x:v>886259.3499999999</x:v>
      </x:c>
      <x:c r="T266" s="6" t="n">
        <x:f>R266-L266</x:f>
        <x:v>405942.1099999999</x:v>
      </x:c>
      <x:c r="U266" s="6" t="n">
        <x:f>S266-M266</x:f>
        <x:v>426086.21999999986</x:v>
      </x:c>
      <x:c r="V266" s="6" t="n">
        <x:f>F266-G266</x:f>
        <x:v>-48632.28000000003</x:v>
      </x:c>
      <x:c r="W266" s="8" t="n">
        <x:f>IFERROR(V266/G266,0)</x:f>
        <x:v>-0.028534294739672166</x:v>
      </x:c>
      <x:c r="X266" s="8" t="n">
        <x:f>IFERROR(T266/F266,0)</x:f>
        <x:v>0.24517667054336595</x:v>
      </x:c>
      <x:c r="Y266" s="8" t="n">
        <x:f>IFERROR(T266/O266,0)</x:f>
        <x:v>0.11675079526179451</x:v>
      </x:c>
    </x:row>
    <x:row r="267">
      <x:c r="A267" t="str">
        <x:v>2025-11-01</x:v>
      </x:c>
      <x:c r="B267" t="n">
        <x:v>2025</x:v>
      </x:c>
      <x:c r="C267" t="str">
        <x:v>Q4</x:v>
      </x:c>
      <x:c r="D267" t="str">
        <x:v>Enterprise</x:v>
      </x:c>
      <x:c r="E267" t="str">
        <x:v>Central</x:v>
      </x:c>
      <x:c r="F267" s="6" t="n">
        <x:v>1621881.89</x:v>
      </x:c>
      <x:c r="G267" s="6" t="n">
        <x:v>1560111.8</x:v>
      </x:c>
      <x:c r="H267" s="6" t="n">
        <x:v>1554303.88</x:v>
      </x:c>
      <x:c r="I267" s="6" t="n">
        <x:v>785820.4</x:v>
      </x:c>
      <x:c r="J267" s="6" t="n">
        <x:v>748853.67</x:v>
      </x:c>
      <x:c r="K267" s="6" t="n">
        <x:v>749174.47</x:v>
      </x:c>
      <x:c r="L267" s="6" t="n">
        <x:v>445247.52</x:v>
      </x:c>
      <x:c r="M267" s="6" t="n">
        <x:v>421230.19</x:v>
      </x:c>
      <x:c r="N267" s="6" t="n">
        <x:v>425879.26</x:v>
      </x:c>
      <x:c r="O267" s="6" t="n">
        <x:v>3405951.96</x:v>
      </x:c>
      <x:c r="P267" s="6" t="n">
        <x:v>291169.72</x:v>
      </x:c>
      <x:c r="Q267" s="6" t="n">
        <x:v>102</x:v>
      </x:c>
      <x:c r="R267" s="6" t="n">
        <x:f>F267-I267</x:f>
        <x:v>836061.4899999999</x:v>
      </x:c>
      <x:c r="S267" s="6" t="n">
        <x:f>G267-J267</x:f>
        <x:v>811258.13</x:v>
      </x:c>
      <x:c r="T267" s="6" t="n">
        <x:f>R267-L267</x:f>
        <x:v>390813.96999999986</x:v>
      </x:c>
      <x:c r="U267" s="6" t="n">
        <x:f>S267-M267</x:f>
        <x:v>390027.94</x:v>
      </x:c>
      <x:c r="V267" s="6" t="n">
        <x:f>F267-G267</x:f>
        <x:v>61770.08999999985</x:v>
      </x:c>
      <x:c r="W267" s="8" t="n">
        <x:f>IFERROR(V267/G267,0)</x:f>
        <x:v>0.03959337401332382</x:v>
      </x:c>
      <x:c r="X267" s="8" t="n">
        <x:f>IFERROR(T267/F267,0)</x:f>
        <x:v>0.2409632738423387</x:v>
      </x:c>
      <x:c r="Y267" s="8" t="n">
        <x:f>IFERROR(T267/O267,0)</x:f>
        <x:v>0.11474441641860382</x:v>
      </x:c>
    </x:row>
    <x:row r="268">
      <x:c r="A268" t="str">
        <x:v>2025-11-01</x:v>
      </x:c>
      <x:c r="B268" t="n">
        <x:v>2025</x:v>
      </x:c>
      <x:c r="C268" t="str">
        <x:v>Q4</x:v>
      </x:c>
      <x:c r="D268" t="str">
        <x:v>Enterprise</x:v>
      </x:c>
      <x:c r="E268" t="str">
        <x:v>West</x:v>
      </x:c>
      <x:c r="F268" s="6" t="n">
        <x:v>1660610.67</x:v>
      </x:c>
      <x:c r="G268" s="6" t="n">
        <x:v>1646862.98</x:v>
      </x:c>
      <x:c r="H268" s="6" t="n">
        <x:v>1659405.14</x:v>
      </x:c>
      <x:c r="I268" s="6" t="n">
        <x:v>784446.8</x:v>
      </x:c>
      <x:c r="J268" s="6" t="n">
        <x:v>790494.23</x:v>
      </x:c>
      <x:c r="K268" s="6" t="n">
        <x:v>799833.28</x:v>
      </x:c>
      <x:c r="L268" s="6" t="n">
        <x:v>475346.83</x:v>
      </x:c>
      <x:c r="M268" s="6" t="n">
        <x:v>444653</x:v>
      </x:c>
      <x:c r="N268" s="6" t="n">
        <x:v>454677.01</x:v>
      </x:c>
      <x:c r="O268" s="6" t="n">
        <x:v>3487282.4</x:v>
      </x:c>
      <x:c r="P268" s="6" t="n">
        <x:v>300949.01</x:v>
      </x:c>
      <x:c r="Q268" s="6" t="n">
        <x:v>110</x:v>
      </x:c>
      <x:c r="R268" s="6" t="n">
        <x:f>F268-I268</x:f>
        <x:v>876163.8699999999</x:v>
      </x:c>
      <x:c r="S268" s="6" t="n">
        <x:f>G268-J268</x:f>
        <x:v>856368.75</x:v>
      </x:c>
      <x:c r="T268" s="6" t="n">
        <x:f>R268-L268</x:f>
        <x:v>400817.03999999986</x:v>
      </x:c>
      <x:c r="U268" s="6" t="n">
        <x:f>S268-M268</x:f>
        <x:v>411715.75</x:v>
      </x:c>
      <x:c r="V268" s="6" t="n">
        <x:f>F268-G268</x:f>
        <x:v>13747.689999999944</x:v>
      </x:c>
      <x:c r="W268" s="8" t="n">
        <x:f>IFERROR(V268/G268,0)</x:f>
        <x:v>0.008347804381394222</x:v>
      </x:c>
      <x:c r="X268" s="8" t="n">
        <x:f>IFERROR(T268/F268,0)</x:f>
        <x:v>0.24136725557713049</x:v>
      </x:c>
      <x:c r="Y268" s="8" t="n">
        <x:f>IFERROR(T268/O268,0)</x:f>
        <x:v>0.11493678860077403</x:v>
      </x:c>
    </x:row>
    <x:row r="269">
      <x:c r="A269" t="str">
        <x:v>2025-11-01</x:v>
      </x:c>
      <x:c r="B269" t="n">
        <x:v>2025</x:v>
      </x:c>
      <x:c r="C269" t="str">
        <x:v>Q4</x:v>
      </x:c>
      <x:c r="D269" t="str">
        <x:v>SMB</x:v>
      </x:c>
      <x:c r="E269" t="str">
        <x:v>East</x:v>
      </x:c>
      <x:c r="F269" s="6" t="n">
        <x:v>1026888.33</x:v>
      </x:c>
      <x:c r="G269" s="6" t="n">
        <x:v>999829.66</x:v>
      </x:c>
      <x:c r="H269" s="6" t="n">
        <x:v>1012058.83</x:v>
      </x:c>
      <x:c r="I269" s="6" t="n">
        <x:v>564691.83</x:v>
      </x:c>
      <x:c r="J269" s="6" t="n">
        <x:v>539908.02</x:v>
      </x:c>
      <x:c r="K269" s="6" t="n">
        <x:v>548535.88</x:v>
      </x:c>
      <x:c r="L269" s="6" t="n">
        <x:v>302838.14</x:v>
      </x:c>
      <x:c r="M269" s="6" t="n">
        <x:v>289950.6</x:v>
      </x:c>
      <x:c r="N269" s="6" t="n">
        <x:v>297545.3</x:v>
      </x:c>
      <x:c r="O269" s="6" t="n">
        <x:v>1745710.16</x:v>
      </x:c>
      <x:c r="P269" s="6" t="n">
        <x:v>141039.68</x:v>
      </x:c>
      <x:c r="Q269" s="6" t="n">
        <x:v>81</x:v>
      </x:c>
      <x:c r="R269" s="6" t="n">
        <x:f>F269-I269</x:f>
        <x:v>462196.5</x:v>
      </x:c>
      <x:c r="S269" s="6" t="n">
        <x:f>G269-J269</x:f>
        <x:v>459921.64</x:v>
      </x:c>
      <x:c r="T269" s="6" t="n">
        <x:f>R269-L269</x:f>
        <x:v>159358.36</x:v>
      </x:c>
      <x:c r="U269" s="6" t="n">
        <x:f>S269-M269</x:f>
        <x:v>169971.04000000004</x:v>
      </x:c>
      <x:c r="V269" s="6" t="n">
        <x:f>F269-G269</x:f>
        <x:v>27058.669999999925</x:v>
      </x:c>
      <x:c r="W269" s="8" t="n">
        <x:f>IFERROR(V269/G269,0)</x:f>
        <x:v>0.02706327995910816</x:v>
      </x:c>
      <x:c r="X269" s="8" t="n">
        <x:f>IFERROR(T269/F269,0)</x:f>
        <x:v>0.15518567632373423</x:v>
      </x:c>
      <x:c r="Y269" s="8" t="n">
        <x:f>IFERROR(T269/O269,0)</x:f>
        <x:v>0.09128569200742923</x:v>
      </x:c>
    </x:row>
    <x:row r="270">
      <x:c r="A270" t="str">
        <x:v>2025-11-01</x:v>
      </x:c>
      <x:c r="B270" t="n">
        <x:v>2025</x:v>
      </x:c>
      <x:c r="C270" t="str">
        <x:v>Q4</x:v>
      </x:c>
      <x:c r="D270" t="str">
        <x:v>SMB</x:v>
      </x:c>
      <x:c r="E270" t="str">
        <x:v>Central</x:v>
      </x:c>
      <x:c r="F270" s="6" t="n">
        <x:v>842710.93</x:v>
      </x:c>
      <x:c r="G270" s="6" t="n">
        <x:v>878239.05</x:v>
      </x:c>
      <x:c r="H270" s="6" t="n">
        <x:v>890416.21</x:v>
      </x:c>
      <x:c r="I270" s="6" t="n">
        <x:v>457588.71</x:v>
      </x:c>
      <x:c r="J270" s="6" t="n">
        <x:v>474249.09</x:v>
      </x:c>
      <x:c r="K270" s="6" t="n">
        <x:v>482605.58</x:v>
      </x:c>
      <x:c r="L270" s="6" t="n">
        <x:v>250735.07</x:v>
      </x:c>
      <x:c r="M270" s="6" t="n">
        <x:v>254689.33</x:v>
      </x:c>
      <x:c r="N270" s="6" t="n">
        <x:v>261782.36</x:v>
      </x:c>
      <x:c r="O270" s="6" t="n">
        <x:v>1432608.58</x:v>
      </x:c>
      <x:c r="P270" s="6" t="n">
        <x:v>117372.64</x:v>
      </x:c>
      <x:c r="Q270" s="6" t="n">
        <x:v>72</x:v>
      </x:c>
      <x:c r="R270" s="6" t="n">
        <x:f>F270-I270</x:f>
        <x:v>385122.22000000003</x:v>
      </x:c>
      <x:c r="S270" s="6" t="n">
        <x:f>G270-J270</x:f>
        <x:v>403989.96</x:v>
      </x:c>
      <x:c r="T270" s="6" t="n">
        <x:f>R270-L270</x:f>
        <x:v>134387.15000000002</x:v>
      </x:c>
      <x:c r="U270" s="6" t="n">
        <x:f>S270-M270</x:f>
        <x:v>149300.63000000003</x:v>
      </x:c>
      <x:c r="V270" s="6" t="n">
        <x:f>F270-G270</x:f>
        <x:v>-35528.119999999995</x:v>
      </x:c>
      <x:c r="W270" s="8" t="n">
        <x:f>IFERROR(V270/G270,0)</x:f>
        <x:v>-0.04045381493797161</x:v>
      </x:c>
      <x:c r="X270" s="8" t="n">
        <x:f>IFERROR(T270/F270,0)</x:f>
        <x:v>0.15947004508414292</x:v>
      </x:c>
      <x:c r="Y270" s="8" t="n">
        <x:f>IFERROR(T270/O270,0)</x:f>
        <x:v>0.09380590893850435</x:v>
      </x:c>
    </x:row>
    <x:row r="271">
      <x:c r="A271" t="str">
        <x:v>2025-11-01</x:v>
      </x:c>
      <x:c r="B271" t="n">
        <x:v>2025</x:v>
      </x:c>
      <x:c r="C271" t="str">
        <x:v>Q4</x:v>
      </x:c>
      <x:c r="D271" t="str">
        <x:v>SMB</x:v>
      </x:c>
      <x:c r="E271" t="str">
        <x:v>West</x:v>
      </x:c>
      <x:c r="F271" s="6" t="n">
        <x:v>972832.21</x:v>
      </x:c>
      <x:c r="G271" s="6" t="n">
        <x:v>954787.57</x:v>
      </x:c>
      <x:c r="H271" s="6" t="n">
        <x:v>961864.18</x:v>
      </x:c>
      <x:c r="I271" s="6" t="n">
        <x:v>529518.67</x:v>
      </x:c>
      <x:c r="J271" s="6" t="n">
        <x:v>515585.29</x:v>
      </x:c>
      <x:c r="K271" s="6" t="n">
        <x:v>521330.39</x:v>
      </x:c>
      <x:c r="L271" s="6" t="n">
        <x:v>278901.41</x:v>
      </x:c>
      <x:c r="M271" s="6" t="n">
        <x:v>276888.39</x:v>
      </x:c>
      <x:c r="N271" s="6" t="n">
        <x:v>282788.07</x:v>
      </x:c>
      <x:c r="O271" s="6" t="n">
        <x:v>1653814.76</x:v>
      </x:c>
      <x:c r="P271" s="6" t="n">
        <x:v>149833.71</x:v>
      </x:c>
      <x:c r="Q271" s="6" t="n">
        <x:v>78</x:v>
      </x:c>
      <x:c r="R271" s="6" t="n">
        <x:f>F271-I271</x:f>
        <x:v>443313.5399999999</x:v>
      </x:c>
      <x:c r="S271" s="6" t="n">
        <x:f>G271-J271</x:f>
        <x:v>439202.27999999997</x:v>
      </x:c>
      <x:c r="T271" s="6" t="n">
        <x:f>R271-L271</x:f>
        <x:v>164412.12999999995</x:v>
      </x:c>
      <x:c r="U271" s="6" t="n">
        <x:f>S271-M271</x:f>
        <x:v>162313.88999999996</x:v>
      </x:c>
      <x:c r="V271" s="6" t="n">
        <x:f>F271-G271</x:f>
        <x:v>18044.640000000014</x:v>
      </x:c>
      <x:c r="W271" s="8" t="n">
        <x:f>IFERROR(V271/G271,0)</x:f>
        <x:v>0.01889911490992705</x:v>
      </x:c>
      <x:c r="X271" s="8" t="n">
        <x:f>IFERROR(T271/F271,0)</x:f>
        <x:v>0.16900358387599024</x:v>
      </x:c>
      <x:c r="Y271" s="8" t="n">
        <x:f>IFERROR(T271/O271,0)</x:f>
        <x:v>0.09941387268789398</x:v>
      </x:c>
    </x:row>
    <x:row r="272">
      <x:c r="A272" t="str">
        <x:v>2025-11-01</x:v>
      </x:c>
      <x:c r="B272" t="n">
        <x:v>2025</x:v>
      </x:c>
      <x:c r="C272" t="str">
        <x:v>Q4</x:v>
      </x:c>
      <x:c r="D272" t="str">
        <x:v>Digital</x:v>
      </x:c>
      <x:c r="E272" t="str">
        <x:v>East</x:v>
      </x:c>
      <x:c r="F272" s="6" t="n">
        <x:v>752588.94</x:v>
      </x:c>
      <x:c r="G272" s="6" t="n">
        <x:v>726809.85</x:v>
      </x:c>
      <x:c r="H272" s="6" t="n">
        <x:v>738311.32</x:v>
      </x:c>
      <x:c r="I272" s="6" t="n">
        <x:v>267720.93</x:v>
      </x:c>
      <x:c r="J272" s="6" t="n">
        <x:v>261651.55</x:v>
      </x:c>
      <x:c r="K272" s="6" t="n">
        <x:v>267268.7</x:v>
      </x:c>
      <x:c r="L272" s="6" t="n">
        <x:v>248496.73</x:v>
      </x:c>
      <x:c r="M272" s="6" t="n">
        <x:v>247115.35</x:v>
      </x:c>
      <x:c r="N272" s="6" t="n">
        <x:v>253979.09</x:v>
      </x:c>
      <x:c r="O272" s="6" t="n">
        <x:v>1053624.51</x:v>
      </x:c>
      <x:c r="P272" s="6" t="n">
        <x:v>173019.66</x:v>
      </x:c>
      <x:c r="Q272" s="6" t="n">
        <x:v>59</x:v>
      </x:c>
      <x:c r="R272" s="6" t="n">
        <x:f>F272-I272</x:f>
        <x:v>484868.00999999995</x:v>
      </x:c>
      <x:c r="S272" s="6" t="n">
        <x:f>G272-J272</x:f>
        <x:v>465158.3</x:v>
      </x:c>
      <x:c r="T272" s="6" t="n">
        <x:f>R272-L272</x:f>
        <x:v>236371.27999999994</x:v>
      </x:c>
      <x:c r="U272" s="6" t="n">
        <x:f>S272-M272</x:f>
        <x:v>218042.94999999998</x:v>
      </x:c>
      <x:c r="V272" s="6" t="n">
        <x:f>F272-G272</x:f>
        <x:v>25779.089999999967</x:v>
      </x:c>
      <x:c r="W272" s="8" t="n">
        <x:f>IFERROR(V272/G272,0)</x:f>
        <x:v>0.03546882310414473</x:v>
      </x:c>
      <x:c r="X272" s="8" t="n">
        <x:f>IFERROR(T272/F272,0)</x:f>
        <x:v>0.3140775361381207</x:v>
      </x:c>
      <x:c r="Y272" s="8" t="n">
        <x:f>IFERROR(T272/O272,0)</x:f>
        <x:v>0.22434109851905396</x:v>
      </x:c>
    </x:row>
    <x:row r="273">
      <x:c r="A273" t="str">
        <x:v>2025-11-01</x:v>
      </x:c>
      <x:c r="B273" t="n">
        <x:v>2025</x:v>
      </x:c>
      <x:c r="C273" t="str">
        <x:v>Q4</x:v>
      </x:c>
      <x:c r="D273" t="str">
        <x:v>Digital</x:v>
      </x:c>
      <x:c r="E273" t="str">
        <x:v>Central</x:v>
      </x:c>
      <x:c r="F273" s="6" t="n">
        <x:v>652047.16</x:v>
      </x:c>
      <x:c r="G273" s="6" t="n">
        <x:v>649821.45</x:v>
      </x:c>
      <x:c r="H273" s="6" t="n">
        <x:v>646040.16</x:v>
      </x:c>
      <x:c r="I273" s="6" t="n">
        <x:v>237197.26</x:v>
      </x:c>
      <x:c r="J273" s="6" t="n">
        <x:v>233935.72</x:v>
      </x:c>
      <x:c r="K273" s="6" t="n">
        <x:v>233866.54</x:v>
      </x:c>
      <x:c r="L273" s="6" t="n">
        <x:v>219986.03</x:v>
      </x:c>
      <x:c r="M273" s="6" t="n">
        <x:v>220939.29</x:v>
      </x:c>
      <x:c r="N273" s="6" t="n">
        <x:v>222237.82</x:v>
      </x:c>
      <x:c r="O273" s="6" t="n">
        <x:v>912866.03</x:v>
      </x:c>
      <x:c r="P273" s="6" t="n">
        <x:v>168298.59</x:v>
      </x:c>
      <x:c r="Q273" s="6" t="n">
        <x:v>52</x:v>
      </x:c>
      <x:c r="R273" s="6" t="n">
        <x:f>F273-I273</x:f>
        <x:v>414849.9</x:v>
      </x:c>
      <x:c r="S273" s="6" t="n">
        <x:f>G273-J273</x:f>
        <x:v>415885.73</x:v>
      </x:c>
      <x:c r="T273" s="6" t="n">
        <x:f>R273-L273</x:f>
        <x:v>194863.87000000002</x:v>
      </x:c>
      <x:c r="U273" s="6" t="n">
        <x:f>S273-M273</x:f>
        <x:v>194946.43999999997</x:v>
      </x:c>
      <x:c r="V273" s="6" t="n">
        <x:f>F273-G273</x:f>
        <x:v>2225.710000000079</x:v>
      </x:c>
      <x:c r="W273" s="8" t="n">
        <x:f>IFERROR(V273/G273,0)</x:f>
        <x:v>0.003425110082161922</x:v>
      </x:c>
      <x:c r="X273" s="8" t="n">
        <x:f>IFERROR(T273/F273,0)</x:f>
        <x:v>0.2988493500991554</x:v>
      </x:c>
      <x:c r="Y273" s="8" t="n">
        <x:f>IFERROR(T273/O273,0)</x:f>
        <x:v>0.2134638200963618</x:v>
      </x:c>
    </x:row>
    <x:row r="274">
      <x:c r="A274" t="str">
        <x:v>2025-11-01</x:v>
      </x:c>
      <x:c r="B274" t="n">
        <x:v>2025</x:v>
      </x:c>
      <x:c r="C274" t="str">
        <x:v>Q4</x:v>
      </x:c>
      <x:c r="D274" t="str">
        <x:v>Digital</x:v>
      </x:c>
      <x:c r="E274" t="str">
        <x:v>West</x:v>
      </x:c>
      <x:c r="F274" s="6" t="n">
        <x:v>733329.22</x:v>
      </x:c>
      <x:c r="G274" s="6" t="n">
        <x:v>704394.29</x:v>
      </x:c>
      <x:c r="H274" s="6" t="n">
        <x:v>724745.54</x:v>
      </x:c>
      <x:c r="I274" s="6" t="n">
        <x:v>257691.83</x:v>
      </x:c>
      <x:c r="J274" s="6" t="n">
        <x:v>253581.95</x:v>
      </x:c>
      <x:c r="K274" s="6" t="n">
        <x:v>262357.88</x:v>
      </x:c>
      <x:c r="L274" s="6" t="n">
        <x:v>248683.82</x:v>
      </x:c>
      <x:c r="M274" s="6" t="n">
        <x:v>239494.06</x:v>
      </x:c>
      <x:c r="N274" s="6" t="n">
        <x:v>249312.46</x:v>
      </x:c>
      <x:c r="O274" s="6" t="n">
        <x:v>1026660.9</x:v>
      </x:c>
      <x:c r="P274" s="6" t="n">
        <x:v>188900.32</x:v>
      </x:c>
      <x:c r="Q274" s="6" t="n">
        <x:v>56</x:v>
      </x:c>
      <x:c r="R274" s="6" t="n">
        <x:f>F274-I274</x:f>
        <x:v>475637.39</x:v>
      </x:c>
      <x:c r="S274" s="6" t="n">
        <x:f>G274-J274</x:f>
        <x:v>450812.34</x:v>
      </x:c>
      <x:c r="T274" s="6" t="n">
        <x:f>R274-L274</x:f>
        <x:v>226953.57</x:v>
      </x:c>
      <x:c r="U274" s="6" t="n">
        <x:f>S274-M274</x:f>
        <x:v>211318.28000000003</x:v>
      </x:c>
      <x:c r="V274" s="6" t="n">
        <x:f>F274-G274</x:f>
        <x:v>28934.929999999935</x:v>
      </x:c>
      <x:c r="W274" s="8" t="n">
        <x:f>IFERROR(V274/G274,0)</x:f>
        <x:v>0.04107774638547955</x:v>
      </x:c>
      <x:c r="X274" s="8" t="n">
        <x:f>IFERROR(T274/F274,0)</x:f>
        <x:v>0.309483876832291</x:v>
      </x:c>
      <x:c r="Y274" s="8" t="n">
        <x:f>IFERROR(T274/O274,0)</x:f>
        <x:v>0.22105991374561942</x:v>
      </x:c>
    </x:row>
    <x:row r="275">
      <x:c r="A275" t="str">
        <x:v>2025-11-01</x:v>
      </x:c>
      <x:c r="B275" t="n">
        <x:v>2025</x:v>
      </x:c>
      <x:c r="C275" t="str">
        <x:v>Q4</x:v>
      </x:c>
      <x:c r="D275" t="str">
        <x:v>Services</x:v>
      </x:c>
      <x:c r="E275" t="str">
        <x:v>East</x:v>
      </x:c>
      <x:c r="F275" s="6" t="n">
        <x:v>533788.47</x:v>
      </x:c>
      <x:c r="G275" s="6" t="n">
        <x:v>532910.63</x:v>
      </x:c>
      <x:c r="H275" s="6" t="n">
        <x:v>531331.2</x:v>
      </x:c>
      <x:c r="I275" s="6" t="n">
        <x:v>221226.44</x:v>
      </x:c>
      <x:c r="J275" s="6" t="n">
        <x:v>223822.46</x:v>
      </x:c>
      <x:c r="K275" s="6" t="n">
        <x:v>224221.77</x:v>
      </x:c>
      <x:c r="L275" s="6" t="n">
        <x:v>160619.27</x:v>
      </x:c>
      <x:c r="M275" s="6" t="n">
        <x:v>165202.29</x:v>
      </x:c>
      <x:c r="N275" s="6" t="n">
        <x:v>166838</x:v>
      </x:c>
      <x:c r="O275" s="6" t="n">
        <x:v>854061.55</x:v>
      </x:c>
      <x:c r="P275" s="6" t="n">
        <x:v>118217.91</x:v>
      </x:c>
      <x:c r="Q275" s="6" t="n">
        <x:v>53</x:v>
      </x:c>
      <x:c r="R275" s="6" t="n">
        <x:f>F275-I275</x:f>
        <x:v>312562.02999999997</x:v>
      </x:c>
      <x:c r="S275" s="6" t="n">
        <x:f>G275-J275</x:f>
        <x:v>309088.17000000004</x:v>
      </x:c>
      <x:c r="T275" s="6" t="n">
        <x:f>R275-L275</x:f>
        <x:v>151942.75999999998</x:v>
      </x:c>
      <x:c r="U275" s="6" t="n">
        <x:f>S275-M275</x:f>
        <x:v>143885.88000000003</x:v>
      </x:c>
      <x:c r="V275" s="6" t="n">
        <x:f>F275-G275</x:f>
        <x:v>877.8399999999674</x:v>
      </x:c>
      <x:c r="W275" s="8" t="n">
        <x:f>IFERROR(V275/G275,0)</x:f>
        <x:v>0.0016472555632826603</x:v>
      </x:c>
      <x:c r="X275" s="8" t="n">
        <x:f>IFERROR(T275/F275,0)</x:f>
        <x:v>0.28464976023180116</x:v>
      </x:c>
      <x:c r="Y275" s="8" t="n">
        <x:f>IFERROR(T275/O275,0)</x:f>
        <x:v>0.1779061005614876</x:v>
      </x:c>
    </x:row>
    <x:row r="276">
      <x:c r="A276" t="str">
        <x:v>2025-11-01</x:v>
      </x:c>
      <x:c r="B276" t="n">
        <x:v>2025</x:v>
      </x:c>
      <x:c r="C276" t="str">
        <x:v>Q4</x:v>
      </x:c>
      <x:c r="D276" t="str">
        <x:v>Services</x:v>
      </x:c>
      <x:c r="E276" t="str">
        <x:v>Central</x:v>
      </x:c>
      <x:c r="F276" s="6" t="n">
        <x:v>485923.1</x:v>
      </x:c>
      <x:c r="G276" s="6" t="n">
        <x:v>478017.77</x:v>
      </x:c>
      <x:c r="H276" s="6" t="n">
        <x:v>476187.99</x:v>
      </x:c>
      <x:c r="I276" s="6" t="n">
        <x:v>209188.92</x:v>
      </x:c>
      <x:c r="J276" s="6" t="n">
        <x:v>200767.46</x:v>
      </x:c>
      <x:c r="K276" s="6" t="n">
        <x:v>200951.33</x:v>
      </x:c>
      <x:c r="L276" s="6" t="n">
        <x:v>147133.14</x:v>
      </x:c>
      <x:c r="M276" s="6" t="n">
        <x:v>148185.51</x:v>
      </x:c>
      <x:c r="N276" s="6" t="n">
        <x:v>149523.03</x:v>
      </x:c>
      <x:c r="O276" s="6" t="n">
        <x:v>777476.97</x:v>
      </x:c>
      <x:c r="P276" s="6" t="n">
        <x:v>101799.96</x:v>
      </x:c>
      <x:c r="Q276" s="6" t="n">
        <x:v>47</x:v>
      </x:c>
      <x:c r="R276" s="6" t="n">
        <x:f>F276-I276</x:f>
        <x:v>276734.17999999993</x:v>
      </x:c>
      <x:c r="S276" s="6" t="n">
        <x:f>G276-J276</x:f>
        <x:v>277250.31000000006</x:v>
      </x:c>
      <x:c r="T276" s="6" t="n">
        <x:f>R276-L276</x:f>
        <x:v>129601.03999999992</x:v>
      </x:c>
      <x:c r="U276" s="6" t="n">
        <x:f>S276-M276</x:f>
        <x:v>129064.80000000005</x:v>
      </x:c>
      <x:c r="V276" s="6" t="n">
        <x:f>F276-G276</x:f>
        <x:v>7905.329999999958</x:v>
      </x:c>
      <x:c r="W276" s="8" t="n">
        <x:f>IFERROR(V276/G276,0)</x:f>
        <x:v>0.01653773247802055</x:v>
      </x:c>
      <x:c r="X276" s="8" t="n">
        <x:f>IFERROR(T276/F276,0)</x:f>
        <x:v>0.2667110083879526</x:v>
      </x:c>
      <x:c r="Y276" s="8" t="n">
        <x:f>IFERROR(T276/O276,0)</x:f>
        <x:v>0.1666943780984277</x:v>
      </x:c>
    </x:row>
    <x:row r="277">
      <x:c r="A277" t="str">
        <x:v>2025-11-01</x:v>
      </x:c>
      <x:c r="B277" t="n">
        <x:v>2025</x:v>
      </x:c>
      <x:c r="C277" t="str">
        <x:v>Q4</x:v>
      </x:c>
      <x:c r="D277" t="str">
        <x:v>Services</x:v>
      </x:c>
      <x:c r="E277" t="str">
        <x:v>West</x:v>
      </x:c>
      <x:c r="F277" s="6" t="n">
        <x:v>509515.1</x:v>
      </x:c>
      <x:c r="G277" s="6" t="n">
        <x:v>516607.34</x:v>
      </x:c>
      <x:c r="H277" s="6" t="n">
        <x:v>526598.77</x:v>
      </x:c>
      <x:c r="I277" s="6" t="n">
        <x:v>214482.88</x:v>
      </x:c>
      <x:c r="J277" s="6" t="n">
        <x:v>216975.08</x:v>
      </x:c>
      <x:c r="K277" s="6" t="n">
        <x:v>222224.68</x:v>
      </x:c>
      <x:c r="L277" s="6" t="n">
        <x:v>159703.3</x:v>
      </x:c>
      <x:c r="M277" s="6" t="n">
        <x:v>160148.28</x:v>
      </x:c>
      <x:c r="N277" s="6" t="n">
        <x:v>165352.01</x:v>
      </x:c>
      <x:c r="O277" s="6" t="n">
        <x:v>815224.15</x:v>
      </x:c>
      <x:c r="P277" s="6" t="n">
        <x:v>110936.14</x:v>
      </x:c>
      <x:c r="Q277" s="6" t="n">
        <x:v>51</x:v>
      </x:c>
      <x:c r="R277" s="6" t="n">
        <x:f>F277-I277</x:f>
        <x:v>295032.22</x:v>
      </x:c>
      <x:c r="S277" s="6" t="n">
        <x:f>G277-J277</x:f>
        <x:v>299632.26</x:v>
      </x:c>
      <x:c r="T277" s="6" t="n">
        <x:f>R277-L277</x:f>
        <x:v>135328.91999999998</x:v>
      </x:c>
      <x:c r="U277" s="6" t="n">
        <x:f>S277-M277</x:f>
        <x:v>139483.98</x:v>
      </x:c>
      <x:c r="V277" s="6" t="n">
        <x:f>F277-G277</x:f>
        <x:v>-7092.240000000049</x:v>
      </x:c>
      <x:c r="W277" s="8" t="n">
        <x:f>IFERROR(V277/G277,0)</x:f>
        <x:v>-0.013728492514256667</x:v>
      </x:c>
      <x:c r="X277" s="8" t="n">
        <x:f>IFERROR(T277/F277,0)</x:f>
        <x:v>0.26560335503305005</x:v>
      </x:c>
      <x:c r="Y277" s="8" t="n">
        <x:f>IFERROR(T277/O277,0)</x:f>
        <x:v>0.16600209893193177</x:v>
      </x:c>
    </x:row>
    <x:row r="278">
      <x:c r="A278" t="str">
        <x:v>2025-12-01</x:v>
      </x:c>
      <x:c r="B278" t="n">
        <x:v>2025</x:v>
      </x:c>
      <x:c r="C278" t="str">
        <x:v>Q4</x:v>
      </x:c>
      <x:c r="D278" t="str">
        <x:v>Enterprise</x:v>
      </x:c>
      <x:c r="E278" t="str">
        <x:v>East</x:v>
      </x:c>
      <x:c r="F278" s="6" t="n">
        <x:v>1680151.8</x:v>
      </x:c>
      <x:c r="G278" s="6" t="n">
        <x:v>1755062</x:v>
      </x:c>
      <x:c r="H278" s="6" t="n">
        <x:v>1803388.47</x:v>
      </x:c>
      <x:c r="I278" s="6" t="n">
        <x:v>808390.85</x:v>
      </x:c>
      <x:c r="J278" s="6" t="n">
        <x:v>842429.76</x:v>
      </x:c>
      <x:c r="K278" s="6" t="n">
        <x:v>869233.24</x:v>
      </x:c>
      <x:c r="L278" s="6" t="n">
        <x:v>482204.57</x:v>
      </x:c>
      <x:c r="M278" s="6" t="n">
        <x:v>473866.74</x:v>
      </x:c>
      <x:c r="N278" s="6" t="n">
        <x:v>494128.44</x:v>
      </x:c>
      <x:c r="O278" s="6" t="n">
        <x:v>3528318.77</x:v>
      </x:c>
      <x:c r="P278" s="6" t="n">
        <x:v>297242.77</x:v>
      </x:c>
      <x:c r="Q278" s="6" t="n">
        <x:v>114</x:v>
      </x:c>
      <x:c r="R278" s="6" t="n">
        <x:f>F278-I278</x:f>
        <x:v>871760.9500000001</x:v>
      </x:c>
      <x:c r="S278" s="6" t="n">
        <x:f>G278-J278</x:f>
        <x:v>912632.24</x:v>
      </x:c>
      <x:c r="T278" s="6" t="n">
        <x:f>R278-L278</x:f>
        <x:v>389556.38000000006</x:v>
      </x:c>
      <x:c r="U278" s="6" t="n">
        <x:f>S278-M278</x:f>
        <x:v>438765.5</x:v>
      </x:c>
      <x:c r="V278" s="6" t="n">
        <x:f>F278-G278</x:f>
        <x:v>-74910.19999999995</x:v>
      </x:c>
      <x:c r="W278" s="8" t="n">
        <x:f>IFERROR(V278/G278,0)</x:f>
        <x:v>-0.042682366776786204</x:v>
      </x:c>
      <x:c r="X278" s="8" t="n">
        <x:f>IFERROR(T278/F278,0)</x:f>
        <x:v>0.23185784760638892</x:v>
      </x:c>
      <x:c r="Y278" s="8" t="n">
        <x:f>IFERROR(T278/O278,0)</x:f>
        <x:v>0.11040849917310619</x:v>
      </x:c>
    </x:row>
    <x:row r="279">
      <x:c r="A279" t="str">
        <x:v>2025-12-01</x:v>
      </x:c>
      <x:c r="B279" t="n">
        <x:v>2025</x:v>
      </x:c>
      <x:c r="C279" t="str">
        <x:v>Q4</x:v>
      </x:c>
      <x:c r="D279" t="str">
        <x:v>Enterprise</x:v>
      </x:c>
      <x:c r="E279" t="str">
        <x:v>Central</x:v>
      </x:c>
      <x:c r="F279" s="6" t="n">
        <x:v>1510454.11</x:v>
      </x:c>
      <x:c r="G279" s="6" t="n">
        <x:v>1573301.14</x:v>
      </x:c>
      <x:c r="H279" s="6" t="n">
        <x:v>1584739.41</x:v>
      </x:c>
      <x:c r="I279" s="6" t="n">
        <x:v>741543.59</x:v>
      </x:c>
      <x:c r="J279" s="6" t="n">
        <x:v>755184.55</x:v>
      </x:c>
      <x:c r="K279" s="6" t="n">
        <x:v>763844.4</x:v>
      </x:c>
      <x:c r="L279" s="6" t="n">
        <x:v>419344.05</x:v>
      </x:c>
      <x:c r="M279" s="6" t="n">
        <x:v>424791.31</x:v>
      </x:c>
      <x:c r="N279" s="6" t="n">
        <x:v>434218.6</x:v>
      </x:c>
      <x:c r="O279" s="6" t="n">
        <x:v>3171953.64</x:v>
      </x:c>
      <x:c r="P279" s="6" t="n">
        <x:v>284588.13</x:v>
      </x:c>
      <x:c r="Q279" s="6" t="n">
        <x:v>102</x:v>
      </x:c>
      <x:c r="R279" s="6" t="n">
        <x:f>F279-I279</x:f>
        <x:v>768910.5200000001</x:v>
      </x:c>
      <x:c r="S279" s="6" t="n">
        <x:f>G279-J279</x:f>
        <x:v>818116.5899999999</x:v>
      </x:c>
      <x:c r="T279" s="6" t="n">
        <x:f>R279-L279</x:f>
        <x:v>349566.47000000015</x:v>
      </x:c>
      <x:c r="U279" s="6" t="n">
        <x:f>S279-M279</x:f>
        <x:v>393325.27999999985</x:v>
      </x:c>
      <x:c r="V279" s="6" t="n">
        <x:f>F279-G279</x:f>
        <x:v>-62847.029999999795</x:v>
      </x:c>
      <x:c r="W279" s="8" t="n">
        <x:f>IFERROR(V279/G279,0)</x:f>
        <x:v>-0.039945963555330415</x:v>
      </x:c>
      <x:c r="X279" s="8" t="n">
        <x:f>IFERROR(T279/F279,0)</x:f>
        <x:v>0.2314313739726923</x:v>
      </x:c>
      <x:c r="Y279" s="8" t="n">
        <x:f>IFERROR(T279/O279,0)</x:f>
        <x:v>0.1102054158647792</x:v>
      </x:c>
    </x:row>
    <x:row r="280">
      <x:c r="A280" t="str">
        <x:v>2025-12-01</x:v>
      </x:c>
      <x:c r="B280" t="n">
        <x:v>2025</x:v>
      </x:c>
      <x:c r="C280" t="str">
        <x:v>Q4</x:v>
      </x:c>
      <x:c r="D280" t="str">
        <x:v>Enterprise</x:v>
      </x:c>
      <x:c r="E280" t="str">
        <x:v>West</x:v>
      </x:c>
      <x:c r="F280" s="6" t="n">
        <x:v>1767336.48</x:v>
      </x:c>
      <x:c r="G280" s="6" t="n">
        <x:v>1699824.16</x:v>
      </x:c>
      <x:c r="H280" s="6" t="n">
        <x:v>1707289.37</x:v>
      </x:c>
      <x:c r="I280" s="6" t="n">
        <x:v>867662.98</x:v>
      </x:c>
      <x:c r="J280" s="6" t="n">
        <x:v>815915.6</x:v>
      </x:c>
      <x:c r="K280" s="6" t="n">
        <x:v>822913.47</x:v>
      </x:c>
      <x:c r="L280" s="6" t="n">
        <x:v>494545.36</x:v>
      </x:c>
      <x:c r="M280" s="6" t="n">
        <x:v>458952.52</x:v>
      </x:c>
      <x:c r="N280" s="6" t="n">
        <x:v>467797.29</x:v>
      </x:c>
      <x:c r="O280" s="6" t="n">
        <x:v>3711406.62</x:v>
      </x:c>
      <x:c r="P280" s="6" t="n">
        <x:v>353584.24</x:v>
      </x:c>
      <x:c r="Q280" s="6" t="n">
        <x:v>110</x:v>
      </x:c>
      <x:c r="R280" s="6" t="n">
        <x:f>F280-I280</x:f>
        <x:v>899673.5</x:v>
      </x:c>
      <x:c r="S280" s="6" t="n">
        <x:f>G280-J280</x:f>
        <x:v>883908.5599999999</x:v>
      </x:c>
      <x:c r="T280" s="6" t="n">
        <x:f>R280-L280</x:f>
        <x:v>405128.14</x:v>
      </x:c>
      <x:c r="U280" s="6" t="n">
        <x:f>S280-M280</x:f>
        <x:v>424956.0399999999</x:v>
      </x:c>
      <x:c r="V280" s="6" t="n">
        <x:f>F280-G280</x:f>
        <x:v>67512.32000000007</x:v>
      </x:c>
      <x:c r="W280" s="8" t="n">
        <x:f>IFERROR(V280/G280,0)</x:f>
        <x:v>0.03971723757591495</x:v>
      </x:c>
      <x:c r="X280" s="8" t="n">
        <x:f>IFERROR(T280/F280,0)</x:f>
        <x:v>0.22923090457568104</x:v>
      </x:c>
      <x:c r="Y280" s="8" t="n">
        <x:f>IFERROR(T280/O280,0)</x:f>
        <x:v>0.10915757325453065</x:v>
      </x:c>
    </x:row>
    <x:row r="281">
      <x:c r="A281" t="str">
        <x:v>2025-12-01</x:v>
      </x:c>
      <x:c r="B281" t="n">
        <x:v>2025</x:v>
      </x:c>
      <x:c r="C281" t="str">
        <x:v>Q4</x:v>
      </x:c>
      <x:c r="D281" t="str">
        <x:v>SMB</x:v>
      </x:c>
      <x:c r="E281" t="str">
        <x:v>East</x:v>
      </x:c>
      <x:c r="F281" s="6" t="n">
        <x:v>1010772.11</x:v>
      </x:c>
      <x:c r="G281" s="6" t="n">
        <x:v>1015791.98</x:v>
      </x:c>
      <x:c r="H281" s="6" t="n">
        <x:v>1026623.04</x:v>
      </x:c>
      <x:c r="I281" s="6" t="n">
        <x:v>538803.23</x:v>
      </x:c>
      <x:c r="J281" s="6" t="n">
        <x:v>548527.67</x:v>
      </x:c>
      <x:c r="K281" s="6" t="n">
        <x:v>556429.69</x:v>
      </x:c>
      <x:c r="L281" s="6" t="n">
        <x:v>297770.11</x:v>
      </x:c>
      <x:c r="M281" s="6" t="n">
        <x:v>294579.68</x:v>
      </x:c>
      <x:c r="N281" s="6" t="n">
        <x:v>301827.17</x:v>
      </x:c>
      <x:c r="O281" s="6" t="n">
        <x:v>1718312.58</x:v>
      </x:c>
      <x:c r="P281" s="6" t="n">
        <x:v>127984.94</x:v>
      </x:c>
      <x:c r="Q281" s="6" t="n">
        <x:v>81</x:v>
      </x:c>
      <x:c r="R281" s="6" t="n">
        <x:f>F281-I281</x:f>
        <x:v>471968.88</x:v>
      </x:c>
      <x:c r="S281" s="6" t="n">
        <x:f>G281-J281</x:f>
        <x:v>467264.30999999994</x:v>
      </x:c>
      <x:c r="T281" s="6" t="n">
        <x:f>R281-L281</x:f>
        <x:v>174198.77000000002</x:v>
      </x:c>
      <x:c r="U281" s="6" t="n">
        <x:f>S281-M281</x:f>
        <x:v>172684.62999999995</x:v>
      </x:c>
      <x:c r="V281" s="6" t="n">
        <x:f>F281-G281</x:f>
        <x:v>-5019.869999999995</x:v>
      </x:c>
      <x:c r="W281" s="8" t="n">
        <x:f>IFERROR(V281/G281,0)</x:f>
        <x:v>-0.004941828739384215</x:v>
      </x:c>
      <x:c r="X281" s="8" t="n">
        <x:f>IFERROR(T281/F281,0)</x:f>
        <x:v>0.1723422800021659</x:v>
      </x:c>
      <x:c r="Y281" s="8" t="n">
        <x:f>IFERROR(T281/O281,0)</x:f>
        <x:v>0.10137781217896921</x:v>
      </x:c>
    </x:row>
    <x:row r="282">
      <x:c r="A282" t="str">
        <x:v>2025-12-01</x:v>
      </x:c>
      <x:c r="B282" t="n">
        <x:v>2025</x:v>
      </x:c>
      <x:c r="C282" t="str">
        <x:v>Q4</x:v>
      </x:c>
      <x:c r="D282" t="str">
        <x:v>SMB</x:v>
      </x:c>
      <x:c r="E282" t="str">
        <x:v>Central</x:v>
      </x:c>
      <x:c r="F282" s="6" t="n">
        <x:v>941874.68</x:v>
      </x:c>
      <x:c r="G282" s="6" t="n">
        <x:v>913164.42</x:v>
      </x:c>
      <x:c r="H282" s="6" t="n">
        <x:v>910961.34</x:v>
      </x:c>
      <x:c r="I282" s="6" t="n">
        <x:v>521531.42</x:v>
      </x:c>
      <x:c r="J282" s="6" t="n">
        <x:v>493108.78</x:v>
      </x:c>
      <x:c r="K282" s="6" t="n">
        <x:v>493741.05</x:v>
      </x:c>
      <x:c r="L282" s="6" t="n">
        <x:v>281066.67</x:v>
      </x:c>
      <x:c r="M282" s="6" t="n">
        <x:v>264817.68</x:v>
      </x:c>
      <x:c r="N282" s="6" t="n">
        <x:v>267822.63</x:v>
      </x:c>
      <x:c r="O282" s="6" t="n">
        <x:v>1601186.96</x:v>
      </x:c>
      <x:c r="P282" s="6" t="n">
        <x:v>103588.67</x:v>
      </x:c>
      <x:c r="Q282" s="6" t="n">
        <x:v>72</x:v>
      </x:c>
      <x:c r="R282" s="6" t="n">
        <x:f>F282-I282</x:f>
        <x:v>420343.26000000007</x:v>
      </x:c>
      <x:c r="S282" s="6" t="n">
        <x:f>G282-J282</x:f>
        <x:v>420055.64</x:v>
      </x:c>
      <x:c r="T282" s="6" t="n">
        <x:f>R282-L282</x:f>
        <x:v>139276.59000000008</x:v>
      </x:c>
      <x:c r="U282" s="6" t="n">
        <x:f>S282-M282</x:f>
        <x:v>155237.96000000002</x:v>
      </x:c>
      <x:c r="V282" s="6" t="n">
        <x:f>F282-G282</x:f>
        <x:v>28710.26000000001</x:v>
      </x:c>
      <x:c r="W282" s="8" t="n">
        <x:f>IFERROR(V282/G282,0)</x:f>
        <x:v>0.03144040588002762</x:v>
      </x:c>
      <x:c r="X282" s="8" t="n">
        <x:f>IFERROR(T282/F282,0)</x:f>
        <x:v>0.1478716786398803</x:v>
      </x:c>
      <x:c r="Y282" s="8" t="n">
        <x:f>IFERROR(T282/O282,0)</x:f>
        <x:v>0.08698334015910303</x:v>
      </x:c>
    </x:row>
    <x:row r="283">
      <x:c r="A283" t="str">
        <x:v>2025-12-01</x:v>
      </x:c>
      <x:c r="B283" t="n">
        <x:v>2025</x:v>
      </x:c>
      <x:c r="C283" t="str">
        <x:v>Q4</x:v>
      </x:c>
      <x:c r="D283" t="str">
        <x:v>SMB</x:v>
      </x:c>
      <x:c r="E283" t="str">
        <x:v>West</x:v>
      </x:c>
      <x:c r="F283" s="6" t="n">
        <x:v>989441.33</x:v>
      </x:c>
      <x:c r="G283" s="6" t="n">
        <x:v>995023.04</x:v>
      </x:c>
      <x:c r="H283" s="6" t="n">
        <x:v>1015690.05</x:v>
      </x:c>
      <x:c r="I283" s="6" t="n">
        <x:v>531148.15</x:v>
      </x:c>
      <x:c r="J283" s="6" t="n">
        <x:v>537312.44</x:v>
      </x:c>
      <x:c r="K283" s="6" t="n">
        <x:v>550504</x:v>
      </x:c>
      <x:c r="L283" s="6" t="n">
        <x:v>302935.73</x:v>
      </x:c>
      <x:c r="M283" s="6" t="n">
        <x:v>288556.68</x:v>
      </x:c>
      <x:c r="N283" s="6" t="n">
        <x:v>298612.87</x:v>
      </x:c>
      <x:c r="O283" s="6" t="n">
        <x:v>1682050.27</x:v>
      </x:c>
      <x:c r="P283" s="6" t="n">
        <x:v>135315.26</x:v>
      </x:c>
      <x:c r="Q283" s="6" t="n">
        <x:v>78</x:v>
      </x:c>
      <x:c r="R283" s="6" t="n">
        <x:f>F283-I283</x:f>
        <x:v>458293.17999999993</x:v>
      </x:c>
      <x:c r="S283" s="6" t="n">
        <x:f>G283-J283</x:f>
        <x:v>457710.6000000001</x:v>
      </x:c>
      <x:c r="T283" s="6" t="n">
        <x:f>R283-L283</x:f>
        <x:v>155357.44999999995</x:v>
      </x:c>
      <x:c r="U283" s="6" t="n">
        <x:f>S283-M283</x:f>
        <x:v>169153.9200000001</x:v>
      </x:c>
      <x:c r="V283" s="6" t="n">
        <x:f>F283-G283</x:f>
        <x:v>-5581.710000000079</x:v>
      </x:c>
      <x:c r="W283" s="8" t="n">
        <x:f>IFERROR(V283/G283,0)</x:f>
        <x:v>-0.0056096288986434715</x:v>
      </x:c>
      <x:c r="X283" s="8" t="n">
        <x:f>IFERROR(T283/F283,0)</x:f>
        <x:v>0.15701532298029228</x:v>
      </x:c>
      <x:c r="Y283" s="8" t="n">
        <x:f>IFERROR(T283/O283,0)</x:f>
        <x:v>0.0923619542000965</x:v>
      </x:c>
    </x:row>
    <x:row r="284">
      <x:c r="A284" t="str">
        <x:v>2025-12-01</x:v>
      </x:c>
      <x:c r="B284" t="n">
        <x:v>2025</x:v>
      </x:c>
      <x:c r="C284" t="str">
        <x:v>Q4</x:v>
      </x:c>
      <x:c r="D284" t="str">
        <x:v>Digital</x:v>
      </x:c>
      <x:c r="E284" t="str">
        <x:v>East</x:v>
      </x:c>
      <x:c r="F284" s="6" t="n">
        <x:v>742944.89</x:v>
      </x:c>
      <x:c r="G284" s="6" t="n">
        <x:v>738578.23</x:v>
      </x:c>
      <x:c r="H284" s="6" t="n">
        <x:v>744120.16</x:v>
      </x:c>
      <x:c r="I284" s="6" t="n">
        <x:v>259419.93</x:v>
      </x:c>
      <x:c r="J284" s="6" t="n">
        <x:v>265888.16</x:v>
      </x:c>
      <x:c r="K284" s="6" t="n">
        <x:v>269371.5</x:v>
      </x:c>
      <x:c r="L284" s="6" t="n">
        <x:v>246740.24</x:v>
      </x:c>
      <x:c r="M284" s="6" t="n">
        <x:v>251116.6</x:v>
      </x:c>
      <x:c r="N284" s="6" t="n">
        <x:v>255977.33</x:v>
      </x:c>
      <x:c r="O284" s="6" t="n">
        <x:v>1040122.85</x:v>
      </x:c>
      <x:c r="P284" s="6" t="n">
        <x:v>186256.79</x:v>
      </x:c>
      <x:c r="Q284" s="6" t="n">
        <x:v>59</x:v>
      </x:c>
      <x:c r="R284" s="6" t="n">
        <x:f>F284-I284</x:f>
        <x:v>483524.96</x:v>
      </x:c>
      <x:c r="S284" s="6" t="n">
        <x:f>G284-J284</x:f>
        <x:v>472690.07</x:v>
      </x:c>
      <x:c r="T284" s="6" t="n">
        <x:f>R284-L284</x:f>
        <x:v>236784.72000000003</x:v>
      </x:c>
      <x:c r="U284" s="6" t="n">
        <x:f>S284-M284</x:f>
        <x:v>221573.47</x:v>
      </x:c>
      <x:c r="V284" s="6" t="n">
        <x:f>F284-G284</x:f>
        <x:v>4366.660000000033</x:v>
      </x:c>
      <x:c r="W284" s="8" t="n">
        <x:f>IFERROR(V284/G284,0)</x:f>
        <x:v>0.0059122511639695</x:v>
      </x:c>
      <x:c r="X284" s="8" t="n">
        <x:f>IFERROR(T284/F284,0)</x:f>
        <x:v>0.31871101502562327</x:v>
      </x:c>
      <x:c r="Y284" s="8" t="n">
        <x:f>IFERROR(T284/O284,0)</x:f>
        <x:v>0.22765072414282606</x:v>
      </x:c>
    </x:row>
    <x:row r="285">
      <x:c r="A285" t="str">
        <x:v>2025-12-01</x:v>
      </x:c>
      <x:c r="B285" t="n">
        <x:v>2025</x:v>
      </x:c>
      <x:c r="C285" t="str">
        <x:v>Q4</x:v>
      </x:c>
      <x:c r="D285" t="str">
        <x:v>Digital</x:v>
      </x:c>
      <x:c r="E285" t="str">
        <x:v>Central</x:v>
      </x:c>
      <x:c r="F285" s="6" t="n">
        <x:v>667167.64</x:v>
      </x:c>
      <x:c r="G285" s="6" t="n">
        <x:v>666701.72</x:v>
      </x:c>
      <x:c r="H285" s="6" t="n">
        <x:v>674889.96</x:v>
      </x:c>
      <x:c r="I285" s="6" t="n">
        <x:v>241116.49</x:v>
      </x:c>
      <x:c r="J285" s="6" t="n">
        <x:v>240012.62</x:v>
      </x:c>
      <x:c r="K285" s="6" t="n">
        <x:v>244310.17</x:v>
      </x:c>
      <x:c r="L285" s="6" t="n">
        <x:v>225395.23</x:v>
      </x:c>
      <x:c r="M285" s="6" t="n">
        <x:v>226678.58</x:v>
      </x:c>
      <x:c r="N285" s="6" t="n">
        <x:v>232162.15</x:v>
      </x:c>
      <x:c r="O285" s="6" t="n">
        <x:v>934034.7</x:v>
      </x:c>
      <x:c r="P285" s="6" t="n">
        <x:v>169075.41</x:v>
      </x:c>
      <x:c r="Q285" s="6" t="n">
        <x:v>53</x:v>
      </x:c>
      <x:c r="R285" s="6" t="n">
        <x:f>F285-I285</x:f>
        <x:v>426051.15</x:v>
      </x:c>
      <x:c r="S285" s="6" t="n">
        <x:f>G285-J285</x:f>
        <x:v>426689.1</x:v>
      </x:c>
      <x:c r="T285" s="6" t="n">
        <x:f>R285-L285</x:f>
        <x:v>200655.92</x:v>
      </x:c>
      <x:c r="U285" s="6" t="n">
        <x:f>S285-M285</x:f>
        <x:v>200010.52</x:v>
      </x:c>
      <x:c r="V285" s="6" t="n">
        <x:f>F285-G285</x:f>
        <x:v>465.9200000000419</x:v>
      </x:c>
      <x:c r="W285" s="8" t="n">
        <x:f>IFERROR(V285/G285,0)</x:f>
        <x:v>0.0006988432548217244</x:v>
      </x:c>
      <x:c r="X285" s="8" t="n">
        <x:f>IFERROR(T285/F285,0)</x:f>
        <x:v>0.3007578724891393</x:v>
      </x:c>
      <x:c r="Y285" s="8" t="n">
        <x:f>IFERROR(T285/O285,0)</x:f>
        <x:v>0.21482705085796067</x:v>
      </x:c>
    </x:row>
    <x:row r="286">
      <x:c r="A286" t="str">
        <x:v>2025-12-01</x:v>
      </x:c>
      <x:c r="B286" t="n">
        <x:v>2025</x:v>
      </x:c>
      <x:c r="C286" t="str">
        <x:v>Q4</x:v>
      </x:c>
      <x:c r="D286" t="str">
        <x:v>Digital</x:v>
      </x:c>
      <x:c r="E286" t="str">
        <x:v>West</x:v>
      </x:c>
      <x:c r="F286" s="6" t="n">
        <x:v>748020.8</x:v>
      </x:c>
      <x:c r="G286" s="6" t="n">
        <x:v>709655.7</x:v>
      </x:c>
      <x:c r="H286" s="6" t="n">
        <x:v>722620.66</x:v>
      </x:c>
      <x:c r="I286" s="6" t="n">
        <x:v>266130.91</x:v>
      </x:c>
      <x:c r="J286" s="6" t="n">
        <x:v>255476.05</x:v>
      </x:c>
      <x:c r="K286" s="6" t="n">
        <x:v>261588.68</x:v>
      </x:c>
      <x:c r="L286" s="6" t="n">
        <x:v>252899.25</x:v>
      </x:c>
      <x:c r="M286" s="6" t="n">
        <x:v>241282.94</x:v>
      </x:c>
      <x:c r="N286" s="6" t="n">
        <x:v>248581.51</x:v>
      </x:c>
      <x:c r="O286" s="6" t="n">
        <x:v>1047229.12</x:v>
      </x:c>
      <x:c r="P286" s="6" t="n">
        <x:v>202807.36</x:v>
      </x:c>
      <x:c r="Q286" s="6" t="n">
        <x:v>56</x:v>
      </x:c>
      <x:c r="R286" s="6" t="n">
        <x:f>F286-I286</x:f>
        <x:v>481889.8900000001</x:v>
      </x:c>
      <x:c r="S286" s="6" t="n">
        <x:f>G286-J286</x:f>
        <x:v>454179.64999999997</x:v>
      </x:c>
      <x:c r="T286" s="6" t="n">
        <x:f>R286-L286</x:f>
        <x:v>228990.64000000007</x:v>
      </x:c>
      <x:c r="U286" s="6" t="n">
        <x:f>S286-M286</x:f>
        <x:v>212896.70999999996</x:v>
      </x:c>
      <x:c r="V286" s="6" t="n">
        <x:f>F286-G286</x:f>
        <x:v>38365.10000000009</x:v>
      </x:c>
      <x:c r="W286" s="8" t="n">
        <x:f>IFERROR(V286/G286,0)</x:f>
        <x:v>0.054061568166084054</x:v>
      </x:c>
      <x:c r="X286" s="8" t="n">
        <x:f>IFERROR(T286/F286,0)</x:f>
        <x:v>0.30612870658142133</x:v>
      </x:c>
      <x:c r="Y286" s="8" t="n">
        <x:f>IFERROR(T286/O286,0)</x:f>
        <x:v>0.2186633618438724</x:v>
      </x:c>
    </x:row>
    <x:row r="287">
      <x:c r="A287" t="str">
        <x:v>2025-12-01</x:v>
      </x:c>
      <x:c r="B287" t="n">
        <x:v>2025</x:v>
      </x:c>
      <x:c r="C287" t="str">
        <x:v>Q4</x:v>
      </x:c>
      <x:c r="D287" t="str">
        <x:v>Services</x:v>
      </x:c>
      <x:c r="E287" t="str">
        <x:v>East</x:v>
      </x:c>
      <x:c r="F287" s="6" t="n">
        <x:v>563929.52</x:v>
      </x:c>
      <x:c r="G287" s="6" t="n">
        <x:v>549706.43</x:v>
      </x:c>
      <x:c r="H287" s="6" t="n">
        <x:v>548876.69</x:v>
      </x:c>
      <x:c r="I287" s="6" t="n">
        <x:v>242043.89</x:v>
      </x:c>
      <x:c r="J287" s="6" t="n">
        <x:v>230876.7</x:v>
      </x:c>
      <x:c r="K287" s="6" t="n">
        <x:v>231625.96</x:v>
      </x:c>
      <x:c r="L287" s="6" t="n">
        <x:v>174282.83</x:v>
      </x:c>
      <x:c r="M287" s="6" t="n">
        <x:v>170408.99</x:v>
      </x:c>
      <x:c r="N287" s="6" t="n">
        <x:v>172347.28</x:v>
      </x:c>
      <x:c r="O287" s="6" t="n">
        <x:v>902287.24</x:v>
      </x:c>
      <x:c r="P287" s="6" t="n">
        <x:v>126165.16</x:v>
      </x:c>
      <x:c r="Q287" s="6" t="n">
        <x:v>53</x:v>
      </x:c>
      <x:c r="R287" s="6" t="n">
        <x:f>F287-I287</x:f>
        <x:v>321885.63</x:v>
      </x:c>
      <x:c r="S287" s="6" t="n">
        <x:f>G287-J287</x:f>
        <x:v>318829.73000000004</x:v>
      </x:c>
      <x:c r="T287" s="6" t="n">
        <x:f>R287-L287</x:f>
        <x:v>147602.80000000002</x:v>
      </x:c>
      <x:c r="U287" s="6" t="n">
        <x:f>S287-M287</x:f>
        <x:v>148420.74000000005</x:v>
      </x:c>
      <x:c r="V287" s="6" t="n">
        <x:f>F287-G287</x:f>
        <x:v>14223.089999999967</x:v>
      </x:c>
      <x:c r="W287" s="8" t="n">
        <x:f>IFERROR(V287/G287,0)</x:f>
        <x:v>0.025873974222931986</x:v>
      </x:c>
      <x:c r="X287" s="8" t="n">
        <x:f>IFERROR(T287/F287,0)</x:f>
        <x:v>0.2617398003920774</x:v>
      </x:c>
      <x:c r="Y287" s="8" t="n">
        <x:f>IFERROR(T287/O287,0)</x:f>
        <x:v>0.16358737379462446</x:v>
      </x:c>
    </x:row>
    <x:row r="288">
      <x:c r="A288" t="str">
        <x:v>2025-12-01</x:v>
      </x:c>
      <x:c r="B288" t="n">
        <x:v>2025</x:v>
      </x:c>
      <x:c r="C288" t="str">
        <x:v>Q4</x:v>
      </x:c>
      <x:c r="D288" t="str">
        <x:v>Services</x:v>
      </x:c>
      <x:c r="E288" t="str">
        <x:v>Central</x:v>
      </x:c>
      <x:c r="F288" s="6" t="n">
        <x:v>505387.26</x:v>
      </x:c>
      <x:c r="G288" s="6" t="n">
        <x:v>498719.28</x:v>
      </x:c>
      <x:c r="H288" s="6" t="n">
        <x:v>509119.55</x:v>
      </x:c>
      <x:c r="I288" s="6" t="n">
        <x:v>215728.81</x:v>
      </x:c>
      <x:c r="J288" s="6" t="n">
        <x:v>209462.1</x:v>
      </x:c>
      <x:c r="K288" s="6" t="n">
        <x:v>214848.45</x:v>
      </x:c>
      <x:c r="L288" s="6" t="n">
        <x:v>161037.26</x:v>
      </x:c>
      <x:c r="M288" s="6" t="n">
        <x:v>154602.98</x:v>
      </x:c>
      <x:c r="N288" s="6" t="n">
        <x:v>159863.54</x:v>
      </x:c>
      <x:c r="O288" s="6" t="n">
        <x:v>808619.62</x:v>
      </x:c>
      <x:c r="P288" s="6" t="n">
        <x:v>93292.73</x:v>
      </x:c>
      <x:c r="Q288" s="6" t="n">
        <x:v>48</x:v>
      </x:c>
      <x:c r="R288" s="6" t="n">
        <x:f>F288-I288</x:f>
        <x:v>289658.45</x:v>
      </x:c>
      <x:c r="S288" s="6" t="n">
        <x:f>G288-J288</x:f>
        <x:v>289257.18000000005</x:v>
      </x:c>
      <x:c r="T288" s="6" t="n">
        <x:f>R288-L288</x:f>
        <x:v>128621.19</x:v>
      </x:c>
      <x:c r="U288" s="6" t="n">
        <x:f>S288-M288</x:f>
        <x:v>134654.20000000004</x:v>
      </x:c>
      <x:c r="V288" s="6" t="n">
        <x:f>F288-G288</x:f>
        <x:v>6667.979999999981</x:v>
      </x:c>
      <x:c r="W288" s="8" t="n">
        <x:f>IFERROR(V288/G288,0)</x:f>
        <x:v>0.013370206982974432</x:v>
      </x:c>
      <x:c r="X288" s="8" t="n">
        <x:f>IFERROR(T288/F288,0)</x:f>
        <x:v>0.25450026183881247</x:v>
      </x:c>
      <x:c r="Y288" s="8" t="n">
        <x:f>IFERROR(T288/O288,0)</x:f>
        <x:v>0.15906266286242227</x:v>
      </x:c>
    </x:row>
    <x:row r="289">
      <x:c r="A289" t="str">
        <x:v>2025-12-01</x:v>
      </x:c>
      <x:c r="B289" t="n">
        <x:v>2025</x:v>
      </x:c>
      <x:c r="C289" t="str">
        <x:v>Q4</x:v>
      </x:c>
      <x:c r="D289" t="str">
        <x:v>Services</x:v>
      </x:c>
      <x:c r="E289" t="str">
        <x:v>West</x:v>
      </x:c>
      <x:c r="F289" s="6" t="n">
        <x:v>555143.62</x:v>
      </x:c>
      <x:c r="G289" s="6" t="n">
        <x:v>527850.04</x:v>
      </x:c>
      <x:c r="H289" s="6" t="n">
        <x:v>538528.81</x:v>
      </x:c>
      <x:c r="I289" s="6" t="n">
        <x:v>237701.51</x:v>
      </x:c>
      <x:c r="J289" s="6" t="n">
        <x:v>221697.02</x:v>
      </x:c>
      <x:c r="K289" s="6" t="n">
        <x:v>227259.16</x:v>
      </x:c>
      <x:c r="L289" s="6" t="n">
        <x:v>175052.9</x:v>
      </x:c>
      <x:c r="M289" s="6" t="n">
        <x:v>163633.51</x:v>
      </x:c>
      <x:c r="N289" s="6" t="n">
        <x:v>169098.05</x:v>
      </x:c>
      <x:c r="O289" s="6" t="n">
        <x:v>888229.79</x:v>
      </x:c>
      <x:c r="P289" s="6" t="n">
        <x:v>123064.15</x:v>
      </x:c>
      <x:c r="Q289" s="6" t="n">
        <x:v>51</x:v>
      </x:c>
      <x:c r="R289" s="6" t="n">
        <x:f>F289-I289</x:f>
        <x:v>317442.11</x:v>
      </x:c>
      <x:c r="S289" s="6" t="n">
        <x:f>G289-J289</x:f>
        <x:v>306153.02</x:v>
      </x:c>
      <x:c r="T289" s="6" t="n">
        <x:f>R289-L289</x:f>
        <x:v>142389.21</x:v>
      </x:c>
      <x:c r="U289" s="6" t="n">
        <x:f>S289-M289</x:f>
        <x:v>142519.51</x:v>
      </x:c>
      <x:c r="V289" s="6" t="n">
        <x:f>F289-G289</x:f>
        <x:v>27293.579999999958</x:v>
      </x:c>
      <x:c r="W289" s="8" t="n">
        <x:f>IFERROR(V289/G289,0)</x:f>
        <x:v>0.05170707195551213</x:v>
      </x:c>
      <x:c r="X289" s="8" t="n">
        <x:f>IFERROR(T289/F289,0)</x:f>
        <x:v>0.25649076179601954</x:v>
      </x:c>
      <x:c r="Y289" s="8" t="n">
        <x:f>IFERROR(T289/O289,0)</x:f>
        <x:v>0.16030672648347</x:v>
      </x:c>
    </x:row>
    <x:row r="290">
      <x:c r="A290" t="str">
        <x:v>2026-01-01</x:v>
      </x:c>
      <x:c r="B290" t="n">
        <x:v>2026</x:v>
      </x:c>
      <x:c r="C290" t="str">
        <x:v>Q1</x:v>
      </x:c>
      <x:c r="D290" t="str">
        <x:v>Enterprise</x:v>
      </x:c>
      <x:c r="E290" t="str">
        <x:v>East</x:v>
      </x:c>
      <x:c r="F290" s="6" t="n">
        <x:v>1774248.25</x:v>
      </x:c>
      <x:c r="G290" s="6" t="n">
        <x:v>1825262.12</x:v>
      </x:c>
      <x:c r="H290" s="6" t="n">
        <x:v>1849549.31</x:v>
      </x:c>
      <x:c r="I290" s="6" t="n">
        <x:v>858936.88</x:v>
      </x:c>
      <x:c r="J290" s="6" t="n">
        <x:v>876125.82</x:v>
      </x:c>
      <x:c r="K290" s="6" t="n">
        <x:v>891482.77</x:v>
      </x:c>
      <x:c r="L290" s="6" t="n">
        <x:v>502529.23</x:v>
      </x:c>
      <x:c r="M290" s="6" t="n">
        <x:v>492820.77</x:v>
      </x:c>
      <x:c r="N290" s="6" t="n">
        <x:v>506776.51</x:v>
      </x:c>
      <x:c r="O290" s="6" t="n">
        <x:v>3725921.33</x:v>
      </x:c>
      <x:c r="P290" s="6" t="n">
        <x:v>309402.98</x:v>
      </x:c>
      <x:c r="Q290" s="6" t="n">
        <x:v>115</x:v>
      </x:c>
      <x:c r="R290" s="6" t="n">
        <x:f>F290-I290</x:f>
        <x:v>915311.37</x:v>
      </x:c>
      <x:c r="S290" s="6" t="n">
        <x:f>G290-J290</x:f>
        <x:v>949136.3000000002</x:v>
      </x:c>
      <x:c r="T290" s="6" t="n">
        <x:f>R290-L290</x:f>
        <x:v>412782.14</x:v>
      </x:c>
      <x:c r="U290" s="6" t="n">
        <x:f>S290-M290</x:f>
        <x:v>456315.53000000014</x:v>
      </x:c>
      <x:c r="V290" s="6" t="n">
        <x:f>F290-G290</x:f>
        <x:v>-51013.87000000011</x:v>
      </x:c>
      <x:c r="W290" s="8" t="n">
        <x:f>IFERROR(V290/G290,0)</x:f>
        <x:v>-0.02794879126730582</x:v>
      </x:c>
      <x:c r="X290" s="8" t="n">
        <x:f>IFERROR(T290/F290,0)</x:f>
        <x:v>0.2326518512840579</x:v>
      </x:c>
      <x:c r="Y290" s="8" t="n">
        <x:f>IFERROR(T290/O290,0)</x:f>
        <x:v>0.11078659570088131</x:v>
      </x:c>
    </x:row>
    <x:row r="291">
      <x:c r="A291" t="str">
        <x:v>2026-01-01</x:v>
      </x:c>
      <x:c r="B291" t="n">
        <x:v>2026</x:v>
      </x:c>
      <x:c r="C291" t="str">
        <x:v>Q1</x:v>
      </x:c>
      <x:c r="D291" t="str">
        <x:v>Enterprise</x:v>
      </x:c>
      <x:c r="E291" t="str">
        <x:v>Central</x:v>
      </x:c>
      <x:c r="F291" s="6" t="n">
        <x:v>1570225.22</x:v>
      </x:c>
      <x:c r="G291" s="6" t="n">
        <x:v>1638797.33</x:v>
      </x:c>
      <x:c r="H291" s="6" t="n">
        <x:v>1684141.59</x:v>
      </x:c>
      <x:c r="I291" s="6" t="n">
        <x:v>739351.98</x:v>
      </x:c>
      <x:c r="J291" s="6" t="n">
        <x:v>786622.72</x:v>
      </x:c>
      <x:c r="K291" s="6" t="n">
        <x:v>811756.25</x:v>
      </x:c>
      <x:c r="L291" s="6" t="n">
        <x:v>406010.18</x:v>
      </x:c>
      <x:c r="M291" s="6" t="n">
        <x:v>442475.28</x:v>
      </x:c>
      <x:c r="N291" s="6" t="n">
        <x:v>461454.8</x:v>
      </x:c>
      <x:c r="O291" s="6" t="n">
        <x:v>3297472.95</x:v>
      </x:c>
      <x:c r="P291" s="6" t="n">
        <x:v>332556.67</x:v>
      </x:c>
      <x:c r="Q291" s="6" t="n">
        <x:v>102</x:v>
      </x:c>
      <x:c r="R291" s="6" t="n">
        <x:f>F291-I291</x:f>
        <x:v>830873.24</x:v>
      </x:c>
      <x:c r="S291" s="6" t="n">
        <x:f>G291-J291</x:f>
        <x:v>852174.6100000001</x:v>
      </x:c>
      <x:c r="T291" s="6" t="n">
        <x:f>R291-L291</x:f>
        <x:v>424863.06</x:v>
      </x:c>
      <x:c r="U291" s="6" t="n">
        <x:f>S291-M291</x:f>
        <x:v>409699.3300000001</x:v>
      </x:c>
      <x:c r="V291" s="6" t="n">
        <x:f>F291-G291</x:f>
        <x:v>-68572.1100000001</x:v>
      </x:c>
      <x:c r="W291" s="8" t="n">
        <x:f>IFERROR(V291/G291,0)</x:f>
        <x:v>-0.04184294710804789</x:v>
      </x:c>
      <x:c r="X291" s="8" t="n">
        <x:f>IFERROR(T291/F291,0)</x:f>
        <x:v>0.2705745994832512</x:v>
      </x:c>
      <x:c r="Y291" s="8" t="n">
        <x:f>IFERROR(T291/O291,0)</x:f>
        <x:v>0.12884504784186326</x:v>
      </x:c>
    </x:row>
    <x:row r="292">
      <x:c r="A292" t="str">
        <x:v>2026-01-01</x:v>
      </x:c>
      <x:c r="B292" t="n">
        <x:v>2026</x:v>
      </x:c>
      <x:c r="C292" t="str">
        <x:v>Q1</x:v>
      </x:c>
      <x:c r="D292" t="str">
        <x:v>Enterprise</x:v>
      </x:c>
      <x:c r="E292" t="str">
        <x:v>West</x:v>
      </x:c>
      <x:c r="F292" s="6" t="n">
        <x:v>1774705.45</x:v>
      </x:c>
      <x:c r="G292" s="6" t="n">
        <x:v>1733026.13</x:v>
      </x:c>
      <x:c r="H292" s="6" t="n">
        <x:v>1739034.5</x:v>
      </x:c>
      <x:c r="I292" s="6" t="n">
        <x:v>866321.19</x:v>
      </x:c>
      <x:c r="J292" s="6" t="n">
        <x:v>831852.54</x:v>
      </x:c>
      <x:c r="K292" s="6" t="n">
        <x:v>838214.63</x:v>
      </x:c>
      <x:c r="L292" s="6" t="n">
        <x:v>506883.61</x:v>
      </x:c>
      <x:c r="M292" s="6" t="n">
        <x:v>467917.05</x:v>
      </x:c>
      <x:c r="N292" s="6" t="n">
        <x:v>476495.45</x:v>
      </x:c>
      <x:c r="O292" s="6" t="n">
        <x:v>3726881.45</x:v>
      </x:c>
      <x:c r="P292" s="6" t="n">
        <x:v>359167.84</x:v>
      </x:c>
      <x:c r="Q292" s="6" t="n">
        <x:v>110</x:v>
      </x:c>
      <x:c r="R292" s="6" t="n">
        <x:f>F292-I292</x:f>
        <x:v>908384.26</x:v>
      </x:c>
      <x:c r="S292" s="6" t="n">
        <x:f>G292-J292</x:f>
        <x:v>901173.5899999999</x:v>
      </x:c>
      <x:c r="T292" s="6" t="n">
        <x:f>R292-L292</x:f>
        <x:v>401500.65</x:v>
      </x:c>
      <x:c r="U292" s="6" t="n">
        <x:f>S292-M292</x:f>
        <x:v>433256.53999999986</x:v>
      </x:c>
      <x:c r="V292" s="6" t="n">
        <x:f>F292-G292</x:f>
        <x:v>41679.320000000065</x:v>
      </x:c>
      <x:c r="W292" s="8" t="n">
        <x:f>IFERROR(V292/G292,0)</x:f>
        <x:v>0.024050023988963207</x:v>
      </x:c>
      <x:c r="X292" s="8" t="n">
        <x:f>IFERROR(T292/F292,0)</x:f>
        <x:v>0.22623509157533722</x:v>
      </x:c>
      <x:c r="Y292" s="8" t="n">
        <x:f>IFERROR(T292/O292,0)</x:f>
        <x:v>0.10773099584372345</x:v>
      </x:c>
    </x:row>
    <x:row r="293">
      <x:c r="A293" t="str">
        <x:v>2026-01-01</x:v>
      </x:c>
      <x:c r="B293" t="n">
        <x:v>2026</x:v>
      </x:c>
      <x:c r="C293" t="str">
        <x:v>Q1</x:v>
      </x:c>
      <x:c r="D293" t="str">
        <x:v>SMB</x:v>
      </x:c>
      <x:c r="E293" t="str">
        <x:v>East</x:v>
      </x:c>
      <x:c r="F293" s="6" t="n">
        <x:v>1018327.71</x:v>
      </x:c>
      <x:c r="G293" s="6" t="n">
        <x:v>1059402.74</x:v>
      </x:c>
      <x:c r="H293" s="6" t="n">
        <x:v>1050094.52</x:v>
      </x:c>
      <x:c r="I293" s="6" t="n">
        <x:v>543166.72</x:v>
      </x:c>
      <x:c r="J293" s="6" t="n">
        <x:v>572077.48</x:v>
      </x:c>
      <x:c r="K293" s="6" t="n">
        <x:v>569151.23</x:v>
      </x:c>
      <x:c r="L293" s="6" t="n">
        <x:v>293025.31</x:v>
      </x:c>
      <x:c r="M293" s="6" t="n">
        <x:v>307226.79</x:v>
      </x:c>
      <x:c r="N293" s="6" t="n">
        <x:v>308727.79</x:v>
      </x:c>
      <x:c r="O293" s="6" t="n">
        <x:v>1731157.11</x:v>
      </x:c>
      <x:c r="P293" s="6" t="n">
        <x:v>155260.72</x:v>
      </x:c>
      <x:c r="Q293" s="6" t="n">
        <x:v>81</x:v>
      </x:c>
      <x:c r="R293" s="6" t="n">
        <x:f>F293-I293</x:f>
        <x:v>475160.99</x:v>
      </x:c>
      <x:c r="S293" s="6" t="n">
        <x:f>G293-J293</x:f>
        <x:v>487325.26</x:v>
      </x:c>
      <x:c r="T293" s="6" t="n">
        <x:f>R293-L293</x:f>
        <x:v>182135.68</x:v>
      </x:c>
      <x:c r="U293" s="6" t="n">
        <x:f>S293-M293</x:f>
        <x:v>180098.47000000003</x:v>
      </x:c>
      <x:c r="V293" s="6" t="n">
        <x:f>F293-G293</x:f>
        <x:v>-41075.03000000003</x:v>
      </x:c>
      <x:c r="W293" s="8" t="n">
        <x:f>IFERROR(V293/G293,0)</x:f>
        <x:v>-0.038771874424262893</x:v>
      </x:c>
      <x:c r="X293" s="8" t="n">
        <x:f>IFERROR(T293/F293,0)</x:f>
        <x:v>0.17885762924000173</x:v>
      </x:c>
      <x:c r="Y293" s="8" t="n">
        <x:f>IFERROR(T293/O293,0)</x:f>
        <x:v>0.10521036995885369</x:v>
      </x:c>
    </x:row>
    <x:row r="294">
      <x:c r="A294" t="str">
        <x:v>2026-01-01</x:v>
      </x:c>
      <x:c r="B294" t="n">
        <x:v>2026</x:v>
      </x:c>
      <x:c r="C294" t="str">
        <x:v>Q1</x:v>
      </x:c>
      <x:c r="D294" t="str">
        <x:v>SMB</x:v>
      </x:c>
      <x:c r="E294" t="str">
        <x:v>Central</x:v>
      </x:c>
      <x:c r="F294" s="6" t="n">
        <x:v>929633.49</x:v>
      </x:c>
      <x:c r="G294" s="6" t="n">
        <x:v>942474.46</x:v>
      </x:c>
      <x:c r="H294" s="6" t="n">
        <x:v>935682.25</x:v>
      </x:c>
      <x:c r="I294" s="6" t="n">
        <x:v>512892.96</x:v>
      </x:c>
      <x:c r="J294" s="6" t="n">
        <x:v>508936.21</x:v>
      </x:c>
      <x:c r="K294" s="6" t="n">
        <x:v>507139.78</x:v>
      </x:c>
      <x:c r="L294" s="6" t="n">
        <x:v>267985.27</x:v>
      </x:c>
      <x:c r="M294" s="6" t="n">
        <x:v>273317.59</x:v>
      </x:c>
      <x:c r="N294" s="6" t="n">
        <x:v>275090.58</x:v>
      </x:c>
      <x:c r="O294" s="6" t="n">
        <x:v>1580376.94</x:v>
      </x:c>
      <x:c r="P294" s="6" t="n">
        <x:v>117644.2</x:v>
      </x:c>
      <x:c r="Q294" s="6" t="n">
        <x:v>73</x:v>
      </x:c>
      <x:c r="R294" s="6" t="n">
        <x:f>F294-I294</x:f>
        <x:v>416740.52999999997</x:v>
      </x:c>
      <x:c r="S294" s="6" t="n">
        <x:f>G294-J294</x:f>
        <x:v>433538.24999999994</x:v>
      </x:c>
      <x:c r="T294" s="6" t="n">
        <x:f>R294-L294</x:f>
        <x:v>148755.25999999995</x:v>
      </x:c>
      <x:c r="U294" s="6" t="n">
        <x:f>S294-M294</x:f>
        <x:v>160220.65999999992</x:v>
      </x:c>
      <x:c r="V294" s="6" t="n">
        <x:f>F294-G294</x:f>
        <x:v>-12840.969999999972</x:v>
      </x:c>
      <x:c r="W294" s="8" t="n">
        <x:f>IFERROR(V294/G294,0)</x:f>
        <x:v>-0.013624740557956311</x:v>
      </x:c>
      <x:c r="X294" s="8" t="n">
        <x:f>IFERROR(T294/F294,0)</x:f>
        <x:v>0.16001495385025336</x:v>
      </x:c>
      <x:c r="Y294" s="8" t="n">
        <x:f>IFERROR(T294/O294,0)</x:f>
        <x:v>0.09412644302440908</x:v>
      </x:c>
    </x:row>
    <x:row r="295">
      <x:c r="A295" t="str">
        <x:v>2026-01-01</x:v>
      </x:c>
      <x:c r="B295" t="n">
        <x:v>2026</x:v>
      </x:c>
      <x:c r="C295" t="str">
        <x:v>Q1</x:v>
      </x:c>
      <x:c r="D295" t="str">
        <x:v>SMB</x:v>
      </x:c>
      <x:c r="E295" t="str">
        <x:v>West</x:v>
      </x:c>
      <x:c r="F295" s="6" t="n">
        <x:v>1047780.16</x:v>
      </x:c>
      <x:c r="G295" s="6" t="n">
        <x:v>1020142.01</x:v>
      </x:c>
      <x:c r="H295" s="6" t="n">
        <x:v>1034371.88</x:v>
      </x:c>
      <x:c r="I295" s="6" t="n">
        <x:v>572115.36</x:v>
      </x:c>
      <x:c r="J295" s="6" t="n">
        <x:v>550876.68</x:v>
      </x:c>
      <x:c r="K295" s="6" t="n">
        <x:v>560629.56</x:v>
      </x:c>
      <x:c r="L295" s="6" t="n">
        <x:v>310459.67</x:v>
      </x:c>
      <x:c r="M295" s="6" t="n">
        <x:v>295841.18</x:v>
      </x:c>
      <x:c r="N295" s="6" t="n">
        <x:v>304105.33</x:v>
      </x:c>
      <x:c r="O295" s="6" t="n">
        <x:v>1781226.27</x:v>
      </x:c>
      <x:c r="P295" s="6" t="n">
        <x:v>125300.3</x:v>
      </x:c>
      <x:c r="Q295" s="6" t="n">
        <x:v>78</x:v>
      </x:c>
      <x:c r="R295" s="6" t="n">
        <x:f>F295-I295</x:f>
        <x:v>475664.80000000005</x:v>
      </x:c>
      <x:c r="S295" s="6" t="n">
        <x:f>G295-J295</x:f>
        <x:v>469265.32999999996</x:v>
      </x:c>
      <x:c r="T295" s="6" t="n">
        <x:f>R295-L295</x:f>
        <x:v>165205.13000000006</x:v>
      </x:c>
      <x:c r="U295" s="6" t="n">
        <x:f>S295-M295</x:f>
        <x:v>173424.14999999997</x:v>
      </x:c>
      <x:c r="V295" s="6" t="n">
        <x:f>F295-G295</x:f>
        <x:v>27638.150000000023</x:v>
      </x:c>
      <x:c r="W295" s="8" t="n">
        <x:f>IFERROR(V295/G295,0)</x:f>
        <x:v>0.027092453530072762</x:v>
      </x:c>
      <x:c r="X295" s="8" t="n">
        <x:f>IFERROR(T295/F295,0)</x:f>
        <x:v>0.15767155774356337</x:v>
      </x:c>
      <x:c r="Y295" s="8" t="n">
        <x:f>IFERROR(T295/O295,0)</x:f>
        <x:v>0.09274797524741203</x:v>
      </x:c>
    </x:row>
    <x:row r="296">
      <x:c r="A296" t="str">
        <x:v>2026-01-01</x:v>
      </x:c>
      <x:c r="B296" t="n">
        <x:v>2026</x:v>
      </x:c>
      <x:c r="C296" t="str">
        <x:v>Q1</x:v>
      </x:c>
      <x:c r="D296" t="str">
        <x:v>Digital</x:v>
      </x:c>
      <x:c r="E296" t="str">
        <x:v>East</x:v>
      </x:c>
      <x:c r="F296" s="6" t="n">
        <x:v>771140.04</x:v>
      </x:c>
      <x:c r="G296" s="6" t="n">
        <x:v>762894.17</x:v>
      </x:c>
      <x:c r="H296" s="6" t="n">
        <x:v>759170.5</x:v>
      </x:c>
      <x:c r="I296" s="6" t="n">
        <x:v>287863.24</x:v>
      </x:c>
      <x:c r="J296" s="6" t="n">
        <x:v>274641.9</x:v>
      </x:c>
      <x:c r="K296" s="6" t="n">
        <x:v>274819.72</x:v>
      </x:c>
      <x:c r="L296" s="6" t="n">
        <x:v>259819.01</x:v>
      </x:c>
      <x:c r="M296" s="6" t="n">
        <x:v>259384.02</x:v>
      </x:c>
      <x:c r="N296" s="6" t="n">
        <x:v>261154.65</x:v>
      </x:c>
      <x:c r="O296" s="6" t="n">
        <x:v>1079596.06</x:v>
      </x:c>
      <x:c r="P296" s="6" t="n">
        <x:v>173805.65</x:v>
      </x:c>
      <x:c r="Q296" s="6" t="n">
        <x:v>59</x:v>
      </x:c>
      <x:c r="R296" s="6" t="n">
        <x:f>F296-I296</x:f>
        <x:v>483276.80000000005</x:v>
      </x:c>
      <x:c r="S296" s="6" t="n">
        <x:f>G296-J296</x:f>
        <x:v>488252.27</x:v>
      </x:c>
      <x:c r="T296" s="6" t="n">
        <x:f>R296-L296</x:f>
        <x:v>223457.79000000004</x:v>
      </x:c>
      <x:c r="U296" s="6" t="n">
        <x:f>S296-M296</x:f>
        <x:v>228868.25000000003</x:v>
      </x:c>
      <x:c r="V296" s="6" t="n">
        <x:f>F296-G296</x:f>
        <x:v>8245.869999999995</x:v>
      </x:c>
      <x:c r="W296" s="8" t="n">
        <x:f>IFERROR(V296/G296,0)</x:f>
        <x:v>0.010808668258665543</x:v>
      </x:c>
      <x:c r="X296" s="8" t="n">
        <x:f>IFERROR(T296/F296,0)</x:f>
        <x:v>0.28977588817719807</x:v>
      </x:c>
      <x:c r="Y296" s="8" t="n">
        <x:f>IFERROR(T296/O296,0)</x:f>
        <x:v>0.20698277650253746</x:v>
      </x:c>
    </x:row>
    <x:row r="297">
      <x:c r="A297" t="str">
        <x:v>2026-01-01</x:v>
      </x:c>
      <x:c r="B297" t="n">
        <x:v>2026</x:v>
      </x:c>
      <x:c r="C297" t="str">
        <x:v>Q1</x:v>
      </x:c>
      <x:c r="D297" t="str">
        <x:v>Digital</x:v>
      </x:c>
      <x:c r="E297" t="str">
        <x:v>Central</x:v>
      </x:c>
      <x:c r="F297" s="6" t="n">
        <x:v>699556.07</x:v>
      </x:c>
      <x:c r="G297" s="6" t="n">
        <x:v>682161.74</x:v>
      </x:c>
      <x:c r="H297" s="6" t="n">
        <x:v>681661.61</x:v>
      </x:c>
      <x:c r="I297" s="6" t="n">
        <x:v>249789.7</x:v>
      </x:c>
      <x:c r="J297" s="6" t="n">
        <x:v>245578.23</x:v>
      </x:c>
      <x:c r="K297" s="6" t="n">
        <x:v>246761.5</x:v>
      </x:c>
      <x:c r="L297" s="6" t="n">
        <x:v>249049.66</x:v>
      </x:c>
      <x:c r="M297" s="6" t="n">
        <x:v>231934.99</x:v>
      </x:c>
      <x:c r="N297" s="6" t="n">
        <x:v>234491.59</x:v>
      </x:c>
      <x:c r="O297" s="6" t="n">
        <x:v>979378.49</x:v>
      </x:c>
      <x:c r="P297" s="6" t="n">
        <x:v>176446.25</x:v>
      </x:c>
      <x:c r="Q297" s="6" t="n">
        <x:v>53</x:v>
      </x:c>
      <x:c r="R297" s="6" t="n">
        <x:f>F297-I297</x:f>
        <x:v>449766.36999999994</x:v>
      </x:c>
      <x:c r="S297" s="6" t="n">
        <x:f>G297-J297</x:f>
        <x:v>436583.51</x:v>
      </x:c>
      <x:c r="T297" s="6" t="n">
        <x:f>R297-L297</x:f>
        <x:v>200716.70999999993</x:v>
      </x:c>
      <x:c r="U297" s="6" t="n">
        <x:f>S297-M297</x:f>
        <x:v>204648.52000000002</x:v>
      </x:c>
      <x:c r="V297" s="6" t="n">
        <x:f>F297-G297</x:f>
        <x:v>17394.329999999958</x:v>
      </x:c>
      <x:c r="W297" s="8" t="n">
        <x:f>IFERROR(V297/G297,0)</x:f>
        <x:v>0.025498835510768984</x:v>
      </x:c>
      <x:c r="X297" s="8" t="n">
        <x:f>IFERROR(T297/F297,0)</x:f>
        <x:v>0.28692011778269605</x:v>
      </x:c>
      <x:c r="Y297" s="8" t="n">
        <x:f>IFERROR(T297/O297,0)</x:f>
        <x:v>0.20494294294741958</x:v>
      </x:c>
    </x:row>
    <x:row r="298">
      <x:c r="A298" t="str">
        <x:v>2026-01-01</x:v>
      </x:c>
      <x:c r="B298" t="n">
        <x:v>2026</x:v>
      </x:c>
      <x:c r="C298" t="str">
        <x:v>Q1</x:v>
      </x:c>
      <x:c r="D298" t="str">
        <x:v>Digital</x:v>
      </x:c>
      <x:c r="E298" t="str">
        <x:v>West</x:v>
      </x:c>
      <x:c r="F298" s="6" t="n">
        <x:v>710330.61</x:v>
      </x:c>
      <x:c r="G298" s="6" t="n">
        <x:v>734429.13</x:v>
      </x:c>
      <x:c r="H298" s="6" t="n">
        <x:v>745774.59</x:v>
      </x:c>
      <x:c r="I298" s="6" t="n">
        <x:v>254207.47</x:v>
      </x:c>
      <x:c r="J298" s="6" t="n">
        <x:v>264394.49</x:v>
      </x:c>
      <x:c r="K298" s="6" t="n">
        <x:v>269970.4</x:v>
      </x:c>
      <x:c r="L298" s="6" t="n">
        <x:v>253875.58</x:v>
      </x:c>
      <x:c r="M298" s="6" t="n">
        <x:v>249705.9</x:v>
      </x:c>
      <x:c r="N298" s="6" t="n">
        <x:v>256546.46</x:v>
      </x:c>
      <x:c r="O298" s="6" t="n">
        <x:v>994462.85</x:v>
      </x:c>
      <x:c r="P298" s="6" t="n">
        <x:v>178721.21</x:v>
      </x:c>
      <x:c r="Q298" s="6" t="n">
        <x:v>57</x:v>
      </x:c>
      <x:c r="R298" s="6" t="n">
        <x:f>F298-I298</x:f>
        <x:v>456123.14</x:v>
      </x:c>
      <x:c r="S298" s="6" t="n">
        <x:f>G298-J298</x:f>
        <x:v>470034.64</x:v>
      </x:c>
      <x:c r="T298" s="6" t="n">
        <x:f>R298-L298</x:f>
        <x:v>202247.56000000003</x:v>
      </x:c>
      <x:c r="U298" s="6" t="n">
        <x:f>S298-M298</x:f>
        <x:v>220328.74000000002</x:v>
      </x:c>
      <x:c r="V298" s="6" t="n">
        <x:f>F298-G298</x:f>
        <x:v>-24098.52000000002</x:v>
      </x:c>
      <x:c r="W298" s="8" t="n">
        <x:f>IFERROR(V298/G298,0)</x:f>
        <x:v>-0.03281258737653832</x:v>
      </x:c>
      <x:c r="X298" s="8" t="n">
        <x:f>IFERROR(T298/F298,0)</x:f>
        <x:v>0.2847231375823717</x:v>
      </x:c>
      <x:c r="Y298" s="8" t="n">
        <x:f>IFERROR(T298/O298,0)</x:f>
        <x:v>0.2033736705197183</x:v>
      </x:c>
    </x:row>
    <x:row r="299">
      <x:c r="A299" t="str">
        <x:v>2026-01-01</x:v>
      </x:c>
      <x:c r="B299" t="n">
        <x:v>2026</x:v>
      </x:c>
      <x:c r="C299" t="str">
        <x:v>Q1</x:v>
      </x:c>
      <x:c r="D299" t="str">
        <x:v>Services</x:v>
      </x:c>
      <x:c r="E299" t="str">
        <x:v>East</x:v>
      </x:c>
      <x:c r="F299" s="6" t="n">
        <x:v>594526.07</x:v>
      </x:c>
      <x:c r="G299" s="6" t="n">
        <x:v>574165.26</x:v>
      </x:c>
      <x:c r="H299" s="6" t="n">
        <x:v>573057.33</x:v>
      </x:c>
      <x:c r="I299" s="6" t="n">
        <x:v>247012.73</x:v>
      </x:c>
      <x:c r="J299" s="6" t="n">
        <x:v>241149.41</x:v>
      </x:c>
      <x:c r="K299" s="6" t="n">
        <x:v>241830.19</x:v>
      </x:c>
      <x:c r="L299" s="6" t="n">
        <x:v>189906.04</x:v>
      </x:c>
      <x:c r="M299" s="6" t="n">
        <x:v>177991.23</x:v>
      </x:c>
      <x:c r="N299" s="6" t="n">
        <x:v>179940</x:v>
      </x:c>
      <x:c r="O299" s="6" t="n">
        <x:v>951241.71</x:v>
      </x:c>
      <x:c r="P299" s="6" t="n">
        <x:v>124395.14</x:v>
      </x:c>
      <x:c r="Q299" s="6" t="n">
        <x:v>53</x:v>
      </x:c>
      <x:c r="R299" s="6" t="n">
        <x:f>F299-I299</x:f>
        <x:v>347513.33999999997</x:v>
      </x:c>
      <x:c r="S299" s="6" t="n">
        <x:f>G299-J299</x:f>
        <x:v>333015.85</x:v>
      </x:c>
      <x:c r="T299" s="6" t="n">
        <x:f>R299-L299</x:f>
        <x:v>157607.29999999996</x:v>
      </x:c>
      <x:c r="U299" s="6" t="n">
        <x:f>S299-M299</x:f>
        <x:v>155024.61999999997</x:v>
      </x:c>
      <x:c r="V299" s="6" t="n">
        <x:f>F299-G299</x:f>
        <x:v>20360.80999999994</x:v>
      </x:c>
      <x:c r="W299" s="8" t="n">
        <x:f>IFERROR(V299/G299,0)</x:f>
        <x:v>0.035461584701240785</x:v>
      </x:c>
      <x:c r="X299" s="8" t="n">
        <x:f>IFERROR(T299/F299,0)</x:f>
        <x:v>0.2650973741151502</x:v>
      </x:c>
      <x:c r="Y299" s="8" t="n">
        <x:f>IFERROR(T299/O299,0)</x:f>
        <x:v>0.16568585917032588</x:v>
      </x:c>
    </x:row>
    <x:row r="300">
      <x:c r="A300" t="str">
        <x:v>2026-01-01</x:v>
      </x:c>
      <x:c r="B300" t="n">
        <x:v>2026</x:v>
      </x:c>
      <x:c r="C300" t="str">
        <x:v>Q1</x:v>
      </x:c>
      <x:c r="D300" t="str">
        <x:v>Services</x:v>
      </x:c>
      <x:c r="E300" t="str">
        <x:v>Central</x:v>
      </x:c>
      <x:c r="F300" s="6" t="n">
        <x:v>496423.8</x:v>
      </x:c>
      <x:c r="G300" s="6" t="n">
        <x:v>506222.04</x:v>
      </x:c>
      <x:c r="H300" s="6" t="n">
        <x:v>509542.13</x:v>
      </x:c>
      <x:c r="I300" s="6" t="n">
        <x:v>205149.01</x:v>
      </x:c>
      <x:c r="J300" s="6" t="n">
        <x:v>212613.26</x:v>
      </x:c>
      <x:c r="K300" s="6" t="n">
        <x:v>215026.78</x:v>
      </x:c>
      <x:c r="L300" s="6" t="n">
        <x:v>155955.18</x:v>
      </x:c>
      <x:c r="M300" s="6" t="n">
        <x:v>156928.83</x:v>
      </x:c>
      <x:c r="N300" s="6" t="n">
        <x:v>159996.23</x:v>
      </x:c>
      <x:c r="O300" s="6" t="n">
        <x:v>794278.09</x:v>
      </x:c>
      <x:c r="P300" s="6" t="n">
        <x:v>122681.41</x:v>
      </x:c>
      <x:c r="Q300" s="6" t="n">
        <x:v>48</x:v>
      </x:c>
      <x:c r="R300" s="6" t="n">
        <x:f>F300-I300</x:f>
        <x:v>291274.79</x:v>
      </x:c>
      <x:c r="S300" s="6" t="n">
        <x:f>G300-J300</x:f>
        <x:v>293608.77999999997</x:v>
      </x:c>
      <x:c r="T300" s="6" t="n">
        <x:f>R300-L300</x:f>
        <x:v>135319.61</x:v>
      </x:c>
      <x:c r="U300" s="6" t="n">
        <x:f>S300-M300</x:f>
        <x:v>136679.94999999998</x:v>
      </x:c>
      <x:c r="V300" s="6" t="n">
        <x:f>F300-G300</x:f>
        <x:v>-9798.23999999999</x:v>
      </x:c>
      <x:c r="W300" s="8" t="n">
        <x:f>IFERROR(V300/G300,0)</x:f>
        <x:v>-0.019355617151714674</x:v>
      </x:c>
      <x:c r="X300" s="8" t="n">
        <x:f>IFERROR(T300/F300,0)</x:f>
        <x:v>0.27258888473920867</x:v>
      </x:c>
      <x:c r="Y300" s="8" t="n">
        <x:f>IFERROR(T300/O300,0)</x:f>
        <x:v>0.17036805081706333</x:v>
      </x:c>
    </x:row>
    <x:row r="301">
      <x:c r="A301" t="str">
        <x:v>2026-01-01</x:v>
      </x:c>
      <x:c r="B301" t="n">
        <x:v>2026</x:v>
      </x:c>
      <x:c r="C301" t="str">
        <x:v>Q1</x:v>
      </x:c>
      <x:c r="D301" t="str">
        <x:v>Services</x:v>
      </x:c>
      <x:c r="E301" t="str">
        <x:v>West</x:v>
      </x:c>
      <x:c r="F301" s="6" t="n">
        <x:v>530928.35</x:v>
      </x:c>
      <x:c r="G301" s="6" t="n">
        <x:v>548067.92</x:v>
      </x:c>
      <x:c r="H301" s="6" t="n">
        <x:v>555031.38</x:v>
      </x:c>
      <x:c r="I301" s="6" t="n">
        <x:v>224719.46</x:v>
      </x:c>
      <x:c r="J301" s="6" t="n">
        <x:v>230188.53</x:v>
      </x:c>
      <x:c r="K301" s="6" t="n">
        <x:v>234223.24</x:v>
      </x:c>
      <x:c r="L301" s="6" t="n">
        <x:v>162078.48</x:v>
      </x:c>
      <x:c r="M301" s="6" t="n">
        <x:v>169901.05</x:v>
      </x:c>
      <x:c r="N301" s="6" t="n">
        <x:v>174279.85</x:v>
      </x:c>
      <x:c r="O301" s="6" t="n">
        <x:v>849485.36</x:v>
      </x:c>
      <x:c r="P301" s="6" t="n">
        <x:v>123082.59</x:v>
      </x:c>
      <x:c r="Q301" s="6" t="n">
        <x:v>51</x:v>
      </x:c>
      <x:c r="R301" s="6" t="n">
        <x:f>F301-I301</x:f>
        <x:v>306208.89</x:v>
      </x:c>
      <x:c r="S301" s="6" t="n">
        <x:f>G301-J301</x:f>
        <x:v>317879.39</x:v>
      </x:c>
      <x:c r="T301" s="6" t="n">
        <x:f>R301-L301</x:f>
        <x:v>144130.41</x:v>
      </x:c>
      <x:c r="U301" s="6" t="n">
        <x:f>S301-M301</x:f>
        <x:v>147978.34000000003</x:v>
      </x:c>
      <x:c r="V301" s="6" t="n">
        <x:f>F301-G301</x:f>
        <x:v>-17139.570000000065</x:v>
      </x:c>
      <x:c r="W301" s="8" t="n">
        <x:f>IFERROR(V301/G301,0)</x:f>
        <x:v>-0.03127271160114619</x:v>
      </x:c>
      <x:c r="X301" s="8" t="n">
        <x:f>IFERROR(T301/F301,0)</x:f>
        <x:v>0.2714686642745674</x:v>
      </x:c>
      <x:c r="Y301" s="8" t="n">
        <x:f>IFERROR(T301/O301,0)</x:f>
        <x:v>0.16966791517160462</x:v>
      </x:c>
    </x:row>
    <x:row r="302">
      <x:c r="A302" t="str">
        <x:v>2026-02-01</x:v>
      </x:c>
      <x:c r="B302" t="n">
        <x:v>2026</x:v>
      </x:c>
      <x:c r="C302" t="str">
        <x:v>Q1</x:v>
      </x:c>
      <x:c r="D302" t="str">
        <x:v>Enterprise</x:v>
      </x:c>
      <x:c r="E302" t="str">
        <x:v>East</x:v>
      </x:c>
      <x:c r="F302" s="6" t="n">
        <x:v>1913763.22</x:v>
      </x:c>
      <x:c r="G302" s="6" t="n">
        <x:v>1878458.61</x:v>
      </x:c>
      <x:c r="H302" s="6" t="n">
        <x:v>1854718.84</x:v>
      </x:c>
      <x:c r="I302" s="6" t="n">
        <x:v>916206.17</x:v>
      </x:c>
      <x:c r="J302" s="6" t="n">
        <x:v>901660.14</x:v>
      </x:c>
      <x:c r="K302" s="6" t="n">
        <x:v>893974.48</x:v>
      </x:c>
      <x:c r="L302" s="6" t="n">
        <x:v>534936.52</x:v>
      </x:c>
      <x:c r="M302" s="6" t="n">
        <x:v>507183.83</x:v>
      </x:c>
      <x:c r="N302" s="6" t="n">
        <x:v>508192.96</x:v>
      </x:c>
      <x:c r="O302" s="6" t="n">
        <x:v>4018902.77</x:v>
      </x:c>
      <x:c r="P302" s="6" t="n">
        <x:v>342389.61</x:v>
      </x:c>
      <x:c r="Q302" s="6" t="n">
        <x:v>115</x:v>
      </x:c>
      <x:c r="R302" s="6" t="n">
        <x:f>F302-I302</x:f>
        <x:v>997557.0499999999</x:v>
      </x:c>
      <x:c r="S302" s="6" t="n">
        <x:f>G302-J302</x:f>
        <x:v>976798.4700000001</x:v>
      </x:c>
      <x:c r="T302" s="6" t="n">
        <x:f>R302-L302</x:f>
        <x:v>462620.5299999999</x:v>
      </x:c>
      <x:c r="U302" s="6" t="n">
        <x:f>S302-M302</x:f>
        <x:v>469614.6400000001</x:v>
      </x:c>
      <x:c r="V302" s="6" t="n">
        <x:f>F302-G302</x:f>
        <x:v>35304.60999999987</x:v>
      </x:c>
      <x:c r="W302" s="8" t="n">
        <x:f>IFERROR(V302/G302,0)</x:f>
        <x:v>0.018794457227886363</x:v>
      </x:c>
      <x:c r="X302" s="8" t="n">
        <x:f>IFERROR(T302/F302,0)</x:f>
        <x:v>0.24173342091922945</x:v>
      </x:c>
      <x:c r="Y302" s="8" t="n">
        <x:f>IFERROR(T302/O302,0)</x:f>
        <x:v>0.11511115258954123</x:v>
      </x:c>
    </x:row>
    <x:row r="303">
      <x:c r="A303" t="str">
        <x:v>2026-02-01</x:v>
      </x:c>
      <x:c r="B303" t="n">
        <x:v>2026</x:v>
      </x:c>
      <x:c r="C303" t="str">
        <x:v>Q1</x:v>
      </x:c>
      <x:c r="D303" t="str">
        <x:v>Enterprise</x:v>
      </x:c>
      <x:c r="E303" t="str">
        <x:v>Central</x:v>
      </x:c>
      <x:c r="F303" s="6" t="n">
        <x:v>1618409.4</x:v>
      </x:c>
      <x:c r="G303" s="6" t="n">
        <x:v>1693750.57</x:v>
      </x:c>
      <x:c r="H303" s="6" t="n">
        <x:v>1710291.51</x:v>
      </x:c>
      <x:c r="I303" s="6" t="n">
        <x:v>796510.86</x:v>
      </x:c>
      <x:c r="J303" s="6" t="n">
        <x:v>813000.27</x:v>
      </x:c>
      <x:c r="K303" s="6" t="n">
        <x:v>824360.51</x:v>
      </x:c>
      <x:c r="L303" s="6" t="n">
        <x:v>437305.91</x:v>
      </x:c>
      <x:c r="M303" s="6" t="n">
        <x:v>457312.65</x:v>
      </x:c>
      <x:c r="N303" s="6" t="n">
        <x:v>468619.87</x:v>
      </x:c>
      <x:c r="O303" s="6" t="n">
        <x:v>3398659.75</x:v>
      </x:c>
      <x:c r="P303" s="6" t="n">
        <x:v>348827.99</x:v>
      </x:c>
      <x:c r="Q303" s="6" t="n">
        <x:v>103</x:v>
      </x:c>
      <x:c r="R303" s="6" t="n">
        <x:f>F303-I303</x:f>
        <x:v>821898.5399999999</x:v>
      </x:c>
      <x:c r="S303" s="6" t="n">
        <x:f>G303-J303</x:f>
        <x:v>880750.3</x:v>
      </x:c>
      <x:c r="T303" s="6" t="n">
        <x:f>R303-L303</x:f>
        <x:v>384592.62999999995</x:v>
      </x:c>
      <x:c r="U303" s="6" t="n">
        <x:f>S303-M303</x:f>
        <x:v>423437.65</x:v>
      </x:c>
      <x:c r="V303" s="6" t="n">
        <x:f>F303-G303</x:f>
        <x:v>-75341.17000000016</x:v>
      </x:c>
      <x:c r="W303" s="8" t="n">
        <x:f>IFERROR(V303/G303,0)</x:f>
        <x:v>-0.04448185661717602</x:v>
      </x:c>
      <x:c r="X303" s="8" t="n">
        <x:f>IFERROR(T303/F303,0)</x:f>
        <x:v>0.23763618154961283</x:v>
      </x:c>
      <x:c r="Y303" s="8" t="n">
        <x:f>IFERROR(T303/O303,0)</x:f>
        <x:v>0.11316008611924154</x:v>
      </x:c>
    </x:row>
    <x:row r="304">
      <x:c r="A304" t="str">
        <x:v>2026-02-01</x:v>
      </x:c>
      <x:c r="B304" t="n">
        <x:v>2026</x:v>
      </x:c>
      <x:c r="C304" t="str">
        <x:v>Q1</x:v>
      </x:c>
      <x:c r="D304" t="str">
        <x:v>Enterprise</x:v>
      </x:c>
      <x:c r="E304" t="str">
        <x:v>West</x:v>
      </x:c>
      <x:c r="F304" s="6" t="n">
        <x:v>1830721.3</x:v>
      </x:c>
      <x:c r="G304" s="6" t="n">
        <x:v>1825709.99</x:v>
      </x:c>
      <x:c r="H304" s="6" t="n">
        <x:v>1814711.04</x:v>
      </x:c>
      <x:c r="I304" s="6" t="n">
        <x:v>902658.67</x:v>
      </x:c>
      <x:c r="J304" s="6" t="n">
        <x:v>876340.8</x:v>
      </x:c>
      <x:c r="K304" s="6" t="n">
        <x:v>874690.72</x:v>
      </x:c>
      <x:c r="L304" s="6" t="n">
        <x:v>489965.15</x:v>
      </x:c>
      <x:c r="M304" s="6" t="n">
        <x:v>492941.7</x:v>
      </x:c>
      <x:c r="N304" s="6" t="n">
        <x:v>497230.82</x:v>
      </x:c>
      <x:c r="O304" s="6" t="n">
        <x:v>3844514.72</x:v>
      </x:c>
      <x:c r="P304" s="6" t="n">
        <x:v>372023.43</x:v>
      </x:c>
      <x:c r="Q304" s="6" t="n">
        <x:v>110</x:v>
      </x:c>
      <x:c r="R304" s="6" t="n">
        <x:f>F304-I304</x:f>
        <x:v>928062.63</x:v>
      </x:c>
      <x:c r="S304" s="6" t="n">
        <x:f>G304-J304</x:f>
        <x:v>949369.19</x:v>
      </x:c>
      <x:c r="T304" s="6" t="n">
        <x:f>R304-L304</x:f>
        <x:v>438097.48</x:v>
      </x:c>
      <x:c r="U304" s="6" t="n">
        <x:f>S304-M304</x:f>
        <x:v>456427.48999999993</x:v>
      </x:c>
      <x:c r="V304" s="6" t="n">
        <x:f>F304-G304</x:f>
        <x:v>5011.310000000056</x:v>
      </x:c>
      <x:c r="W304" s="8" t="n">
        <x:f>IFERROR(V304/G304,0)</x:f>
        <x:v>0.0027448554411426845</x:v>
      </x:c>
      <x:c r="X304" s="8" t="n">
        <x:f>IFERROR(T304/F304,0)</x:f>
        <x:v>0.23930320797600377</x:v>
      </x:c>
      <x:c r="Y304" s="8" t="n">
        <x:f>IFERROR(T304/O304,0)</x:f>
        <x:v>0.11395390885640827</x:v>
      </x:c>
    </x:row>
    <x:row r="305">
      <x:c r="A305" t="str">
        <x:v>2026-02-01</x:v>
      </x:c>
      <x:c r="B305" t="n">
        <x:v>2026</x:v>
      </x:c>
      <x:c r="C305" t="str">
        <x:v>Q1</x:v>
      </x:c>
      <x:c r="D305" t="str">
        <x:v>SMB</x:v>
      </x:c>
      <x:c r="E305" t="str">
        <x:v>East</x:v>
      </x:c>
      <x:c r="F305" s="6" t="n">
        <x:v>1030579.63</x:v>
      </x:c>
      <x:c r="G305" s="6" t="n">
        <x:v>1097591.92</x:v>
      </x:c>
      <x:c r="H305" s="6" t="n">
        <x:v>1109485.43</x:v>
      </x:c>
      <x:c r="I305" s="6" t="n">
        <x:v>558485.49</x:v>
      </x:c>
      <x:c r="J305" s="6" t="n">
        <x:v>592699.64</x:v>
      </x:c>
      <x:c r="K305" s="6" t="n">
        <x:v>601341.1</x:v>
      </x:c>
      <x:c r="L305" s="6" t="n">
        <x:v>308858.05</x:v>
      </x:c>
      <x:c r="M305" s="6" t="n">
        <x:v>318301.66</x:v>
      </x:c>
      <x:c r="N305" s="6" t="n">
        <x:v>326188.72</x:v>
      </x:c>
      <x:c r="O305" s="6" t="n">
        <x:v>1751985.36</x:v>
      </x:c>
      <x:c r="P305" s="6" t="n">
        <x:v>148109.64</x:v>
      </x:c>
      <x:c r="Q305" s="6" t="n">
        <x:v>81</x:v>
      </x:c>
      <x:c r="R305" s="6" t="n">
        <x:f>F305-I305</x:f>
        <x:v>472094.14</x:v>
      </x:c>
      <x:c r="S305" s="6" t="n">
        <x:f>G305-J305</x:f>
        <x:v>504892.2799999999</x:v>
      </x:c>
      <x:c r="T305" s="6" t="n">
        <x:f>R305-L305</x:f>
        <x:v>163236.09000000003</x:v>
      </x:c>
      <x:c r="U305" s="6" t="n">
        <x:f>S305-M305</x:f>
        <x:v>186590.61999999994</x:v>
      </x:c>
      <x:c r="V305" s="6" t="n">
        <x:f>F305-G305</x:f>
        <x:v>-67012.28999999992</x:v>
      </x:c>
      <x:c r="W305" s="8" t="n">
        <x:f>IFERROR(V305/G305,0)</x:f>
        <x:v>-0.0610539206593284</x:v>
      </x:c>
      <x:c r="X305" s="8" t="n">
        <x:f>IFERROR(T305/F305,0)</x:f>
        <x:v>0.15839250577852002</x:v>
      </x:c>
      <x:c r="Y305" s="8" t="n">
        <x:f>IFERROR(T305/O305,0)</x:f>
        <x:v>0.09317206280764813</x:v>
      </x:c>
    </x:row>
    <x:row r="306">
      <x:c r="A306" t="str">
        <x:v>2026-02-01</x:v>
      </x:c>
      <x:c r="B306" t="n">
        <x:v>2026</x:v>
      </x:c>
      <x:c r="C306" t="str">
        <x:v>Q1</x:v>
      </x:c>
      <x:c r="D306" t="str">
        <x:v>SMB</x:v>
      </x:c>
      <x:c r="E306" t="str">
        <x:v>Central</x:v>
      </x:c>
      <x:c r="F306" s="6" t="n">
        <x:v>931171.69</x:v>
      </x:c>
      <x:c r="G306" s="6" t="n">
        <x:v>982760.24</x:v>
      </x:c>
      <x:c r="H306" s="6" t="n">
        <x:v>1007035.42</x:v>
      </x:c>
      <x:c r="I306" s="6" t="n">
        <x:v>495914.58</x:v>
      </x:c>
      <x:c r="J306" s="6" t="n">
        <x:v>530690.53</x:v>
      </x:c>
      <x:c r="K306" s="6" t="n">
        <x:v>545813.2</x:v>
      </x:c>
      <x:c r="L306" s="6" t="n">
        <x:v>284555.87</x:v>
      </x:c>
      <x:c r="M306" s="6" t="n">
        <x:v>285000.47</x:v>
      </x:c>
      <x:c r="N306" s="6" t="n">
        <x:v>296068.41</x:v>
      </x:c>
      <x:c r="O306" s="6" t="n">
        <x:v>1582991.88</x:v>
      </x:c>
      <x:c r="P306" s="6" t="n">
        <x:v>138559.9</x:v>
      </x:c>
      <x:c r="Q306" s="6" t="n">
        <x:v>73</x:v>
      </x:c>
      <x:c r="R306" s="6" t="n">
        <x:f>F306-I306</x:f>
        <x:v>435257.1099999999</x:v>
      </x:c>
      <x:c r="S306" s="6" t="n">
        <x:f>G306-J306</x:f>
        <x:v>452069.70999999996</x:v>
      </x:c>
      <x:c r="T306" s="6" t="n">
        <x:f>R306-L306</x:f>
        <x:v>150701.23999999993</x:v>
      </x:c>
      <x:c r="U306" s="6" t="n">
        <x:f>S306-M306</x:f>
        <x:v>167069.24</x:v>
      </x:c>
      <x:c r="V306" s="6" t="n">
        <x:f>F306-G306</x:f>
        <x:v>-51588.55000000005</x:v>
      </x:c>
      <x:c r="W306" s="8" t="n">
        <x:f>IFERROR(V306/G306,0)</x:f>
        <x:v>-0.05249352578610633</x:v>
      </x:c>
      <x:c r="X306" s="8" t="n">
        <x:f>IFERROR(T306/F306,0)</x:f>
        <x:v>0.16184044426866107</x:v>
      </x:c>
      <x:c r="Y306" s="8" t="n">
        <x:f>IFERROR(T306/O306,0)</x:f>
        <x:v>0.09520026091353036</x:v>
      </x:c>
    </x:row>
    <x:row r="307">
      <x:c r="A307" t="str">
        <x:v>2026-02-01</x:v>
      </x:c>
      <x:c r="B307" t="n">
        <x:v>2026</x:v>
      </x:c>
      <x:c r="C307" t="str">
        <x:v>Q1</x:v>
      </x:c>
      <x:c r="D307" t="str">
        <x:v>SMB</x:v>
      </x:c>
      <x:c r="E307" t="str">
        <x:v>West</x:v>
      </x:c>
      <x:c r="F307" s="6" t="n">
        <x:v>1018515.49</x:v>
      </x:c>
      <x:c r="G307" s="6" t="n">
        <x:v>1039791.29</x:v>
      </x:c>
      <x:c r="H307" s="6" t="n">
        <x:v>1068018.91</x:v>
      </x:c>
      <x:c r="I307" s="6" t="n">
        <x:v>563254.77</x:v>
      </x:c>
      <x:c r="J307" s="6" t="n">
        <x:v>561487.3</x:v>
      </x:c>
      <x:c r="K307" s="6" t="n">
        <x:v>578866.25</x:v>
      </x:c>
      <x:c r="L307" s="6" t="n">
        <x:v>311442.88</x:v>
      </x:c>
      <x:c r="M307" s="6" t="n">
        <x:v>301539.47</x:v>
      </x:c>
      <x:c r="N307" s="6" t="n">
        <x:v>313997.56</x:v>
      </x:c>
      <x:c r="O307" s="6" t="n">
        <x:v>1731476.33</x:v>
      </x:c>
      <x:c r="P307" s="6" t="n">
        <x:v>128767.11</x:v>
      </x:c>
      <x:c r="Q307" s="6" t="n">
        <x:v>78</x:v>
      </x:c>
      <x:c r="R307" s="6" t="n">
        <x:f>F307-I307</x:f>
        <x:v>455260.72</x:v>
      </x:c>
      <x:c r="S307" s="6" t="n">
        <x:f>G307-J307</x:f>
        <x:v>478303.99</x:v>
      </x:c>
      <x:c r="T307" s="6" t="n">
        <x:f>R307-L307</x:f>
        <x:v>143817.83999999997</x:v>
      </x:c>
      <x:c r="U307" s="6" t="n">
        <x:f>S307-M307</x:f>
        <x:v>176764.52000000002</x:v>
      </x:c>
      <x:c r="V307" s="6" t="n">
        <x:f>F307-G307</x:f>
        <x:v>-21275.800000000047</x:v>
      </x:c>
      <x:c r="W307" s="8" t="n">
        <x:f>IFERROR(V307/G307,0)</x:f>
        <x:v>-0.02046160629023931</x:v>
      </x:c>
      <x:c r="X307" s="8" t="n">
        <x:f>IFERROR(T307/F307,0)</x:f>
        <x:v>0.1412033900436801</x:v>
      </x:c>
      <x:c r="Y307" s="8" t="n">
        <x:f>IFERROR(T307/O307,0)</x:f>
        <x:v>0.08306081781666629</x:v>
      </x:c>
    </x:row>
    <x:row r="308">
      <x:c r="A308" t="str">
        <x:v>2026-02-01</x:v>
      </x:c>
      <x:c r="B308" t="n">
        <x:v>2026</x:v>
      </x:c>
      <x:c r="C308" t="str">
        <x:v>Q1</x:v>
      </x:c>
      <x:c r="D308" t="str">
        <x:v>Digital</x:v>
      </x:c>
      <x:c r="E308" t="str">
        <x:v>East</x:v>
      </x:c>
      <x:c r="F308" s="6" t="n">
        <x:v>789933.08</x:v>
      </x:c>
      <x:c r="G308" s="6" t="n">
        <x:v>780723.52</x:v>
      </x:c>
      <x:c r="H308" s="6" t="n">
        <x:v>772782.42</x:v>
      </x:c>
      <x:c r="I308" s="6" t="n">
        <x:v>295085.7</x:v>
      </x:c>
      <x:c r="J308" s="6" t="n">
        <x:v>281060.47</x:v>
      </x:c>
      <x:c r="K308" s="6" t="n">
        <x:v>279747.24</x:v>
      </x:c>
      <x:c r="L308" s="6" t="n">
        <x:v>265841.59</x:v>
      </x:c>
      <x:c r="M308" s="6" t="n">
        <x:v>265446</x:v>
      </x:c>
      <x:c r="N308" s="6" t="n">
        <x:v>265837.15</x:v>
      </x:c>
      <x:c r="O308" s="6" t="n">
        <x:v>1105906.32</x:v>
      </x:c>
      <x:c r="P308" s="6" t="n">
        <x:v>210186.07</x:v>
      </x:c>
      <x:c r="Q308" s="6" t="n">
        <x:v>59</x:v>
      </x:c>
      <x:c r="R308" s="6" t="n">
        <x:f>F308-I308</x:f>
        <x:v>494847.37999999995</x:v>
      </x:c>
      <x:c r="S308" s="6" t="n">
        <x:f>G308-J308</x:f>
        <x:v>499663.05000000005</x:v>
      </x:c>
      <x:c r="T308" s="6" t="n">
        <x:f>R308-L308</x:f>
        <x:v>229005.78999999992</x:v>
      </x:c>
      <x:c r="U308" s="6" t="n">
        <x:f>S308-M308</x:f>
        <x:v>234217.05000000005</x:v>
      </x:c>
      <x:c r="V308" s="6" t="n">
        <x:f>F308-G308</x:f>
        <x:v>9209.55999999994</x:v>
      </x:c>
      <x:c r="W308" s="8" t="n">
        <x:f>IFERROR(V308/G308,0)</x:f>
        <x:v>0.01179618618381055</x:v>
      </x:c>
      <x:c r="X308" s="8" t="n">
        <x:f>IFERROR(T308/F308,0)</x:f>
        <x:v>0.2899053043835054</x:v>
      </x:c>
      <x:c r="Y308" s="8" t="n">
        <x:f>IFERROR(T308/O308,0)</x:f>
        <x:v>0.2070752159188311</x:v>
      </x:c>
    </x:row>
    <x:row r="309">
      <x:c r="A309" t="str">
        <x:v>2026-02-01</x:v>
      </x:c>
      <x:c r="B309" t="n">
        <x:v>2026</x:v>
      </x:c>
      <x:c r="C309" t="str">
        <x:v>Q1</x:v>
      </x:c>
      <x:c r="D309" t="str">
        <x:v>Digital</x:v>
      </x:c>
      <x:c r="E309" t="str">
        <x:v>Central</x:v>
      </x:c>
      <x:c r="F309" s="6" t="n">
        <x:v>713417.46</x:v>
      </x:c>
      <x:c r="G309" s="6" t="n">
        <x:v>710298.37</x:v>
      </x:c>
      <x:c r="H309" s="6" t="n">
        <x:v>729643.5</x:v>
      </x:c>
      <x:c r="I309" s="6" t="n">
        <x:v>264055.46</x:v>
      </x:c>
      <x:c r="J309" s="6" t="n">
        <x:v>255707.41</x:v>
      </x:c>
      <x:c r="K309" s="6" t="n">
        <x:v>264130.95</x:v>
      </x:c>
      <x:c r="L309" s="6" t="n">
        <x:v>244017.75</x:v>
      </x:c>
      <x:c r="M309" s="6" t="n">
        <x:v>241501.44</x:v>
      </x:c>
      <x:c r="N309" s="6" t="n">
        <x:v>250997.36</x:v>
      </x:c>
      <x:c r="O309" s="6" t="n">
        <x:v>998784.44</x:v>
      </x:c>
      <x:c r="P309" s="6" t="n">
        <x:v>155766.4</x:v>
      </x:c>
      <x:c r="Q309" s="6" t="n">
        <x:v>53</x:v>
      </x:c>
      <x:c r="R309" s="6" t="n">
        <x:f>F309-I309</x:f>
        <x:v>449361.99999999994</x:v>
      </x:c>
      <x:c r="S309" s="6" t="n">
        <x:f>G309-J309</x:f>
        <x:v>454590.95999999996</x:v>
      </x:c>
      <x:c r="T309" s="6" t="n">
        <x:f>R309-L309</x:f>
        <x:v>205344.24999999994</x:v>
      </x:c>
      <x:c r="U309" s="6" t="n">
        <x:f>S309-M309</x:f>
        <x:v>213089.51999999996</x:v>
      </x:c>
      <x:c r="V309" s="6" t="n">
        <x:f>F309-G309</x:f>
        <x:v>3119.0899999999674</x:v>
      </x:c>
      <x:c r="W309" s="8" t="n">
        <x:f>IFERROR(V309/G309,0)</x:f>
        <x:v>0.004391239135181977</x:v>
      </x:c>
      <x:c r="X309" s="8" t="n">
        <x:f>IFERROR(T309/F309,0)</x:f>
        <x:v>0.2878318257027238</x:v>
      </x:c>
      <x:c r="Y309" s="8" t="n">
        <x:f>IFERROR(T309/O309,0)</x:f>
        <x:v>0.2055941620396088</x:v>
      </x:c>
    </x:row>
    <x:row r="310">
      <x:c r="A310" t="str">
        <x:v>2026-02-01</x:v>
      </x:c>
      <x:c r="B310" t="n">
        <x:v>2026</x:v>
      </x:c>
      <x:c r="C310" t="str">
        <x:v>Q1</x:v>
      </x:c>
      <x:c r="D310" t="str">
        <x:v>Digital</x:v>
      </x:c>
      <x:c r="E310" t="str">
        <x:v>West</x:v>
      </x:c>
      <x:c r="F310" s="6" t="n">
        <x:v>731686.44</x:v>
      </x:c>
      <x:c r="G310" s="6" t="n">
        <x:v>753345.56</x:v>
      </x:c>
      <x:c r="H310" s="6" t="n">
        <x:v>757602.83</x:v>
      </x:c>
      <x:c r="I310" s="6" t="n">
        <x:v>259521.05</x:v>
      </x:c>
      <x:c r="J310" s="6" t="n">
        <x:v>271204.4</x:v>
      </x:c>
      <x:c r="K310" s="6" t="n">
        <x:v>274252.22</x:v>
      </x:c>
      <x:c r="L310" s="6" t="n">
        <x:v>244080.33</x:v>
      </x:c>
      <x:c r="M310" s="6" t="n">
        <x:v>256137.49</x:v>
      </x:c>
      <x:c r="N310" s="6" t="n">
        <x:v>260615.37</x:v>
      </x:c>
      <x:c r="O310" s="6" t="n">
        <x:v>1024361.02</x:v>
      </x:c>
      <x:c r="P310" s="6" t="n">
        <x:v>197823.55</x:v>
      </x:c>
      <x:c r="Q310" s="6" t="n">
        <x:v>57</x:v>
      </x:c>
      <x:c r="R310" s="6" t="n">
        <x:f>F310-I310</x:f>
        <x:v>472165.38999999996</x:v>
      </x:c>
      <x:c r="S310" s="6" t="n">
        <x:f>G310-J310</x:f>
        <x:v>482141.16000000003</x:v>
      </x:c>
      <x:c r="T310" s="6" t="n">
        <x:f>R310-L310</x:f>
        <x:v>228085.05999999997</x:v>
      </x:c>
      <x:c r="U310" s="6" t="n">
        <x:f>S310-M310</x:f>
        <x:v>226003.67000000004</x:v>
      </x:c>
      <x:c r="V310" s="6" t="n">
        <x:f>F310-G310</x:f>
        <x:v>-21659.12000000011</x:v>
      </x:c>
      <x:c r="W310" s="8" t="n">
        <x:f>IFERROR(V310/G310,0)</x:f>
        <x:v>-0.02875057762336863</x:v>
      </x:c>
      <x:c r="X310" s="8" t="n">
        <x:f>IFERROR(T310/F310,0)</x:f>
        <x:v>0.31172514280844127</x:v>
      </x:c>
      <x:c r="Y310" s="8" t="n">
        <x:f>IFERROR(T310/O310,0)</x:f>
        <x:v>0.22266081542228144</x:v>
      </x:c>
    </x:row>
    <x:row r="311">
      <x:c r="A311" t="str">
        <x:v>2026-02-01</x:v>
      </x:c>
      <x:c r="B311" t="n">
        <x:v>2026</x:v>
      </x:c>
      <x:c r="C311" t="str">
        <x:v>Q1</x:v>
      </x:c>
      <x:c r="D311" t="str">
        <x:v>Services</x:v>
      </x:c>
      <x:c r="E311" t="str">
        <x:v>East</x:v>
      </x:c>
      <x:c r="F311" s="6" t="n">
        <x:v>581171.56</x:v>
      </x:c>
      <x:c r="G311" s="6" t="n">
        <x:v>588958.7</x:v>
      </x:c>
      <x:c r="H311" s="6" t="n">
        <x:v>600194.69</x:v>
      </x:c>
      <x:c r="I311" s="6" t="n">
        <x:v>239769.81</x:v>
      </x:c>
      <x:c r="J311" s="6" t="n">
        <x:v>247362.65</x:v>
      </x:c>
      <x:c r="K311" s="6" t="n">
        <x:v>253282.16</x:v>
      </x:c>
      <x:c r="L311" s="6" t="n">
        <x:v>188116.17</x:v>
      </x:c>
      <x:c r="M311" s="6" t="n">
        <x:v>182577.2</x:v>
      </x:c>
      <x:c r="N311" s="6" t="n">
        <x:v>188461.13</x:v>
      </x:c>
      <x:c r="O311" s="6" t="n">
        <x:v>929874.5</x:v>
      </x:c>
      <x:c r="P311" s="6" t="n">
        <x:v>137866.37</x:v>
      </x:c>
      <x:c r="Q311" s="6" t="n">
        <x:v>53</x:v>
      </x:c>
      <x:c r="R311" s="6" t="n">
        <x:f>F311-I311</x:f>
        <x:v>341401.75000000006</x:v>
      </x:c>
      <x:c r="S311" s="6" t="n">
        <x:f>G311-J311</x:f>
        <x:v>341596.04999999993</x:v>
      </x:c>
      <x:c r="T311" s="6" t="n">
        <x:f>R311-L311</x:f>
        <x:v>153285.58000000005</x:v>
      </x:c>
      <x:c r="U311" s="6" t="n">
        <x:f>S311-M311</x:f>
        <x:v>159018.84999999992</x:v>
      </x:c>
      <x:c r="V311" s="6" t="n">
        <x:f>F311-G311</x:f>
        <x:v>-7787.139999999898</x:v>
      </x:c>
      <x:c r="W311" s="8" t="n">
        <x:f>IFERROR(V311/G311,0)</x:f>
        <x:v>-0.013221877866817992</x:v>
      </x:c>
      <x:c r="X311" s="8" t="n">
        <x:f>IFERROR(T311/F311,0)</x:f>
        <x:v>0.2637527204531482</x:v>
      </x:c>
      <x:c r="Y311" s="8" t="n">
        <x:f>IFERROR(T311/O311,0)</x:f>
        <x:v>0.16484544957410924</x:v>
      </x:c>
    </x:row>
    <x:row r="312">
      <x:c r="A312" t="str">
        <x:v>2026-02-01</x:v>
      </x:c>
      <x:c r="B312" t="n">
        <x:v>2026</x:v>
      </x:c>
      <x:c r="C312" t="str">
        <x:v>Q1</x:v>
      </x:c>
      <x:c r="D312" t="str">
        <x:v>Services</x:v>
      </x:c>
      <x:c r="E312" t="str">
        <x:v>Central</x:v>
      </x:c>
      <x:c r="F312" s="6" t="n">
        <x:v>518076.29</x:v>
      </x:c>
      <x:c r="G312" s="6" t="n">
        <x:v>527826.27</x:v>
      </x:c>
      <x:c r="H312" s="6" t="n">
        <x:v>521969.08</x:v>
      </x:c>
      <x:c r="I312" s="6" t="n">
        <x:v>220389.99</x:v>
      </x:c>
      <x:c r="J312" s="6" t="n">
        <x:v>221687.03</x:v>
      </x:c>
      <x:c r="K312" s="6" t="n">
        <x:v>220270.95</x:v>
      </x:c>
      <x:c r="L312" s="6" t="n">
        <x:v>157258.66</x:v>
      </x:c>
      <x:c r="M312" s="6" t="n">
        <x:v>163626.14</x:v>
      </x:c>
      <x:c r="N312" s="6" t="n">
        <x:v>163898.29</x:v>
      </x:c>
      <x:c r="O312" s="6" t="n">
        <x:v>828922.07</x:v>
      </x:c>
      <x:c r="P312" s="6" t="n">
        <x:v>105057.06</x:v>
      </x:c>
      <x:c r="Q312" s="6" t="n">
        <x:v>48</x:v>
      </x:c>
      <x:c r="R312" s="6" t="n">
        <x:f>F312-I312</x:f>
        <x:v>297686.3</x:v>
      </x:c>
      <x:c r="S312" s="6" t="n">
        <x:f>G312-J312</x:f>
        <x:v>306139.24</x:v>
      </x:c>
      <x:c r="T312" s="6" t="n">
        <x:f>R312-L312</x:f>
        <x:v>140427.63999999998</x:v>
      </x:c>
      <x:c r="U312" s="6" t="n">
        <x:f>S312-M312</x:f>
        <x:v>142513.09999999998</x:v>
      </x:c>
      <x:c r="V312" s="6" t="n">
        <x:f>F312-G312</x:f>
        <x:v>-9749.98000000004</x:v>
      </x:c>
      <x:c r="W312" s="8" t="n">
        <x:f>IFERROR(V312/G312,0)</x:f>
        <x:v>-0.018471949113105037</x:v>
      </x:c>
      <x:c r="X312" s="8" t="n">
        <x:f>IFERROR(T312/F312,0)</x:f>
        <x:v>0.2710559095456771</x:v>
      </x:c>
      <x:c r="Y312" s="8" t="n">
        <x:f>IFERROR(T312/O312,0)</x:f>
        <x:v>0.1694099422398055</x:v>
      </x:c>
    </x:row>
    <x:row r="313">
      <x:c r="A313" t="str">
        <x:v>2026-02-01</x:v>
      </x:c>
      <x:c r="B313" t="n">
        <x:v>2026</x:v>
      </x:c>
      <x:c r="C313" t="str">
        <x:v>Q1</x:v>
      </x:c>
      <x:c r="D313" t="str">
        <x:v>Services</x:v>
      </x:c>
      <x:c r="E313" t="str">
        <x:v>West</x:v>
      </x:c>
      <x:c r="F313" s="6" t="n">
        <x:v>533402.65</x:v>
      </x:c>
      <x:c r="G313" s="6" t="n">
        <x:v>558651.04</x:v>
      </x:c>
      <x:c r="H313" s="6" t="n">
        <x:v>556827.24</x:v>
      </x:c>
      <x:c r="I313" s="6" t="n">
        <x:v>220894.6</x:v>
      </x:c>
      <x:c r="J313" s="6" t="n">
        <x:v>234633.44</x:v>
      </x:c>
      <x:c r="K313" s="6" t="n">
        <x:v>234981.09</x:v>
      </x:c>
      <x:c r="L313" s="6" t="n">
        <x:v>171015.66</x:v>
      </x:c>
      <x:c r="M313" s="6" t="n">
        <x:v>173181.82</x:v>
      </x:c>
      <x:c r="N313" s="6" t="n">
        <x:v>174843.75</x:v>
      </x:c>
      <x:c r="O313" s="6" t="n">
        <x:v>853444.23</x:v>
      </x:c>
      <x:c r="P313" s="6" t="n">
        <x:v>128872.25</x:v>
      </x:c>
      <x:c r="Q313" s="6" t="n">
        <x:v>51</x:v>
      </x:c>
      <x:c r="R313" s="6" t="n">
        <x:f>F313-I313</x:f>
        <x:v>312508.05000000005</x:v>
      </x:c>
      <x:c r="S313" s="6" t="n">
        <x:f>G313-J313</x:f>
        <x:v>324017.60000000003</x:v>
      </x:c>
      <x:c r="T313" s="6" t="n">
        <x:f>R313-L313</x:f>
        <x:v>141492.39000000004</x:v>
      </x:c>
      <x:c r="U313" s="6" t="n">
        <x:f>S313-M313</x:f>
        <x:v>150835.78000000003</x:v>
      </x:c>
      <x:c r="V313" s="6" t="n">
        <x:f>F313-G313</x:f>
        <x:v>-25248.390000000014</x:v>
      </x:c>
      <x:c r="W313" s="8" t="n">
        <x:f>IFERROR(V313/G313,0)</x:f>
        <x:v>-0.045195279686582185</x:v>
      </x:c>
      <x:c r="X313" s="8" t="n">
        <x:f>IFERROR(T313/F313,0)</x:f>
        <x:v>0.26526375525130974</x:v>
      </x:c>
      <x:c r="Y313" s="8" t="n">
        <x:f>IFERROR(T313/O313,0)</x:f>
        <x:v>0.16578984897466592</x:v>
      </x:c>
    </x:row>
    <x:row r="314">
      <x:c r="A314" t="str">
        <x:v>2026-03-01</x:v>
      </x:c>
      <x:c r="B314" t="n">
        <x:v>2026</x:v>
      </x:c>
      <x:c r="C314" t="str">
        <x:v>Q1</x:v>
      </x:c>
      <x:c r="D314" t="str">
        <x:v>Enterprise</x:v>
      </x:c>
      <x:c r="E314" t="str">
        <x:v>East</x:v>
      </x:c>
      <x:c r="F314" s="6" t="n">
        <x:v>1961593.51</x:v>
      </x:c>
      <x:c r="G314" s="6" t="n">
        <x:v>1909486.95</x:v>
      </x:c>
      <x:c r="H314" s="6" t="n">
        <x:v>1881827.28</x:v>
      </x:c>
      <x:c r="I314" s="6" t="n">
        <x:v>951364.55</x:v>
      </x:c>
      <x:c r="J314" s="6" t="n">
        <x:v>916553.73</x:v>
      </x:c>
      <x:c r="K314" s="6" t="n">
        <x:v>907040.75</x:v>
      </x:c>
      <x:c r="L314" s="6" t="n">
        <x:v>546859.04</x:v>
      </x:c>
      <x:c r="M314" s="6" t="n">
        <x:v>515561.48</x:v>
      </x:c>
      <x:c r="N314" s="6" t="n">
        <x:v>515620.67</x:v>
      </x:c>
      <x:c r="O314" s="6" t="n">
        <x:v>4119346.37</x:v>
      </x:c>
      <x:c r="P314" s="6" t="n">
        <x:v>339383.65</x:v>
      </x:c>
      <x:c r="Q314" s="6" t="n">
        <x:v>115</x:v>
      </x:c>
      <x:c r="R314" s="6" t="n">
        <x:f>F314-I314</x:f>
        <x:v>1010228.96</x:v>
      </x:c>
      <x:c r="S314" s="6" t="n">
        <x:f>G314-J314</x:f>
        <x:v>992933.22</x:v>
      </x:c>
      <x:c r="T314" s="6" t="n">
        <x:f>R314-L314</x:f>
        <x:v>463369.9199999999</x:v>
      </x:c>
      <x:c r="U314" s="6" t="n">
        <x:f>S314-M314</x:f>
        <x:v>477371.74</x:v>
      </x:c>
      <x:c r="V314" s="6" t="n">
        <x:f>F314-G314</x:f>
        <x:v>52106.560000000056</x:v>
      </x:c>
      <x:c r="W314" s="8" t="n">
        <x:f>IFERROR(V314/G314,0)</x:f>
        <x:v>0.027288251433192596</x:v>
      </x:c>
      <x:c r="X314" s="8" t="n">
        <x:f>IFERROR(T314/F314,0)</x:f>
        <x:v>0.23622117306046753</x:v>
      </x:c>
      <x:c r="Y314" s="8" t="n">
        <x:f>IFERROR(T314/O314,0)</x:f>
        <x:v>0.11248627291324374</x:v>
      </x:c>
    </x:row>
    <x:row r="315">
      <x:c r="A315" t="str">
        <x:v>2026-03-01</x:v>
      </x:c>
      <x:c r="B315" t="n">
        <x:v>2026</x:v>
      </x:c>
      <x:c r="C315" t="str">
        <x:v>Q1</x:v>
      </x:c>
      <x:c r="D315" t="str">
        <x:v>Enterprise</x:v>
      </x:c>
      <x:c r="E315" t="str">
        <x:v>Central</x:v>
      </x:c>
      <x:c r="F315" s="6" t="n">
        <x:v>1675624.86</x:v>
      </x:c>
      <x:c r="G315" s="6" t="n">
        <x:v>1699967.31</x:v>
      </x:c>
      <x:c r="H315" s="6" t="n">
        <x:v>1705481.58</x:v>
      </x:c>
      <x:c r="I315" s="6" t="n">
        <x:v>806085.36</x:v>
      </x:c>
      <x:c r="J315" s="6" t="n">
        <x:v>815984.31</x:v>
      </x:c>
      <x:c r="K315" s="6" t="n">
        <x:v>822042.12</x:v>
      </x:c>
      <x:c r="L315" s="6" t="n">
        <x:v>477307.69</x:v>
      </x:c>
      <x:c r="M315" s="6" t="n">
        <x:v>458991.17</x:v>
      </x:c>
      <x:c r="N315" s="6" t="n">
        <x:v>467301.95</x:v>
      </x:c>
      <x:c r="O315" s="6" t="n">
        <x:v>3518812.2</x:v>
      </x:c>
      <x:c r="P315" s="6" t="n">
        <x:v>337598.39</x:v>
      </x:c>
      <x:c r="Q315" s="6" t="n">
        <x:v>103</x:v>
      </x:c>
      <x:c r="R315" s="6" t="n">
        <x:f>F315-I315</x:f>
        <x:v>869539.5000000001</x:v>
      </x:c>
      <x:c r="S315" s="6" t="n">
        <x:f>G315-J315</x:f>
        <x:v>883983</x:v>
      </x:c>
      <x:c r="T315" s="6" t="n">
        <x:f>R315-L315</x:f>
        <x:v>392231.8100000001</x:v>
      </x:c>
      <x:c r="U315" s="6" t="n">
        <x:f>S315-M315</x:f>
        <x:v>424991.83</x:v>
      </x:c>
      <x:c r="V315" s="6" t="n">
        <x:f>F315-G315</x:f>
        <x:v>-24342.449999999953</x:v>
      </x:c>
      <x:c r="W315" s="8" t="n">
        <x:f>IFERROR(V315/G315,0)</x:f>
        <x:v>-0.014319363588232737</x:v>
      </x:c>
      <x:c r="X315" s="8" t="n">
        <x:f>IFERROR(T315/F315,0)</x:f>
        <x:v>0.23408092071395986</x:v>
      </x:c>
      <x:c r="Y315" s="8" t="n">
        <x:f>IFERROR(T315/O315,0)</x:f>
        <x:v>0.11146710529195053</x:v>
      </x:c>
    </x:row>
    <x:row r="316">
      <x:c r="A316" t="str">
        <x:v>2026-03-01</x:v>
      </x:c>
      <x:c r="B316" t="n">
        <x:v>2026</x:v>
      </x:c>
      <x:c r="C316" t="str">
        <x:v>Q1</x:v>
      </x:c>
      <x:c r="D316" t="str">
        <x:v>Enterprise</x:v>
      </x:c>
      <x:c r="E316" t="str">
        <x:v>West</x:v>
      </x:c>
      <x:c r="F316" s="6" t="n">
        <x:v>1776141.37</x:v>
      </x:c>
      <x:c r="G316" s="6" t="n">
        <x:v>1837245.25</x:v>
      </x:c>
      <x:c r="H316" s="6" t="n">
        <x:v>1885428.6</x:v>
      </x:c>
      <x:c r="I316" s="6" t="n">
        <x:v>844858.9</x:v>
      </x:c>
      <x:c r="J316" s="6" t="n">
        <x:v>881877.72</x:v>
      </x:c>
      <x:c r="K316" s="6" t="n">
        <x:v>908776.59</x:v>
      </x:c>
      <x:c r="L316" s="6" t="n">
        <x:v>490994.32</x:v>
      </x:c>
      <x:c r="M316" s="6" t="n">
        <x:v>496056.22</x:v>
      </x:c>
      <x:c r="N316" s="6" t="n">
        <x:v>516607.44</x:v>
      </x:c>
      <x:c r="O316" s="6" t="n">
        <x:v>3729896.87</x:v>
      </x:c>
      <x:c r="P316" s="6" t="n">
        <x:v>336303.41</x:v>
      </x:c>
      <x:c r="Q316" s="6" t="n">
        <x:v>111</x:v>
      </x:c>
      <x:c r="R316" s="6" t="n">
        <x:f>F316-I316</x:f>
        <x:v>931282.4700000001</x:v>
      </x:c>
      <x:c r="S316" s="6" t="n">
        <x:f>G316-J316</x:f>
        <x:v>955367.53</x:v>
      </x:c>
      <x:c r="T316" s="6" t="n">
        <x:f>R316-L316</x:f>
        <x:v>440288.1500000001</x:v>
      </x:c>
      <x:c r="U316" s="6" t="n">
        <x:f>S316-M316</x:f>
        <x:v>459311.31000000006</x:v>
      </x:c>
      <x:c r="V316" s="6" t="n">
        <x:f>F316-G316</x:f>
        <x:v>-61103.87999999989</x:v>
      </x:c>
      <x:c r="W316" s="8" t="n">
        <x:f>IFERROR(V316/G316,0)</x:f>
        <x:v>-0.033258423174587</x:v>
      </x:c>
      <x:c r="X316" s="8" t="n">
        <x:f>IFERROR(T316/F316,0)</x:f>
        <x:v>0.24789026224866326</x:v>
      </x:c>
      <x:c r="Y316" s="8" t="n">
        <x:f>IFERROR(T316/O316,0)</x:f>
        <x:v>0.1180429822447075</x:v>
      </x:c>
    </x:row>
    <x:row r="317">
      <x:c r="A317" t="str">
        <x:v>2026-03-01</x:v>
      </x:c>
      <x:c r="B317" t="n">
        <x:v>2026</x:v>
      </x:c>
      <x:c r="C317" t="str">
        <x:v>Q1</x:v>
      </x:c>
      <x:c r="D317" t="str">
        <x:v>SMB</x:v>
      </x:c>
      <x:c r="E317" t="str">
        <x:v>East</x:v>
      </x:c>
      <x:c r="F317" s="6" t="n">
        <x:v>1037631.66</x:v>
      </x:c>
      <x:c r="G317" s="6" t="n">
        <x:v>1097652.91</x:v>
      </x:c>
      <x:c r="H317" s="6" t="n">
        <x:v>1118122.02</x:v>
      </x:c>
      <x:c r="I317" s="6" t="n">
        <x:v>564211.4</x:v>
      </x:c>
      <x:c r="J317" s="6" t="n">
        <x:v>592732.57</x:v>
      </x:c>
      <x:c r="K317" s="6" t="n">
        <x:v>606022.13</x:v>
      </x:c>
      <x:c r="L317" s="6" t="n">
        <x:v>301406.44</x:v>
      </x:c>
      <x:c r="M317" s="6" t="n">
        <x:v>318319.34</x:v>
      </x:c>
      <x:c r="N317" s="6" t="n">
        <x:v>328727.87</x:v>
      </x:c>
      <x:c r="O317" s="6" t="n">
        <x:v>1763973.83</x:v>
      </x:c>
      <x:c r="P317" s="6" t="n">
        <x:v>142745.14</x:v>
      </x:c>
      <x:c r="Q317" s="6" t="n">
        <x:v>82</x:v>
      </x:c>
      <x:c r="R317" s="6" t="n">
        <x:f>F317-I317</x:f>
        <x:v>473420.26</x:v>
      </x:c>
      <x:c r="S317" s="6" t="n">
        <x:f>G317-J317</x:f>
        <x:v>504920.33999999997</x:v>
      </x:c>
      <x:c r="T317" s="6" t="n">
        <x:f>R317-L317</x:f>
        <x:v>172013.82</x:v>
      </x:c>
      <x:c r="U317" s="6" t="n">
        <x:f>S317-M317</x:f>
        <x:v>186600.99999999994</x:v>
      </x:c>
      <x:c r="V317" s="6" t="n">
        <x:f>F317-G317</x:f>
        <x:v>-60021.24999999988</x:v>
      </x:c>
      <x:c r="W317" s="8" t="n">
        <x:f>IFERROR(V317/G317,0)</x:f>
        <x:v>-0.05468144752606713</x:v>
      </x:c>
      <x:c r="X317" s="8" t="n">
        <x:f>IFERROR(T317/F317,0)</x:f>
        <x:v>0.16577541591203954</x:v>
      </x:c>
      <x:c r="Y317" s="8" t="n">
        <x:f>IFERROR(T317/O317,0)</x:f>
        <x:v>0.09751495009424262</x:v>
      </x:c>
    </x:row>
    <x:row r="318">
      <x:c r="A318" t="str">
        <x:v>2026-03-01</x:v>
      </x:c>
      <x:c r="B318" t="n">
        <x:v>2026</x:v>
      </x:c>
      <x:c r="C318" t="str">
        <x:v>Q1</x:v>
      </x:c>
      <x:c r="D318" t="str">
        <x:v>SMB</x:v>
      </x:c>
      <x:c r="E318" t="str">
        <x:v>Central</x:v>
      </x:c>
      <x:c r="F318" s="6" t="n">
        <x:v>976583.71</x:v>
      </x:c>
      <x:c r="G318" s="6" t="n">
        <x:v>992713.55</x:v>
      </x:c>
      <x:c r="H318" s="6" t="n">
        <x:v>1007489.35</x:v>
      </x:c>
      <x:c r="I318" s="6" t="n">
        <x:v>521181.93</x:v>
      </x:c>
      <x:c r="J318" s="6" t="n">
        <x:v>536065.32</x:v>
      </x:c>
      <x:c r="K318" s="6" t="n">
        <x:v>546059.23</x:v>
      </x:c>
      <x:c r="L318" s="6" t="n">
        <x:v>278740.39</x:v>
      </x:c>
      <x:c r="M318" s="6" t="n">
        <x:v>287886.93</x:v>
      </x:c>
      <x:c r="N318" s="6" t="n">
        <x:v>296201.87</x:v>
      </x:c>
      <x:c r="O318" s="6" t="n">
        <x:v>1660192.31</x:v>
      </x:c>
      <x:c r="P318" s="6" t="n">
        <x:v>153862.87</x:v>
      </x:c>
      <x:c r="Q318" s="6" t="n">
        <x:v>73</x:v>
      </x:c>
      <x:c r="R318" s="6" t="n">
        <x:f>F318-I318</x:f>
        <x:v>455401.77999999997</x:v>
      </x:c>
      <x:c r="S318" s="6" t="n">
        <x:f>G318-J318</x:f>
        <x:v>456648.2300000001</x:v>
      </x:c>
      <x:c r="T318" s="6" t="n">
        <x:f>R318-L318</x:f>
        <x:v>176661.38999999996</x:v>
      </x:c>
      <x:c r="U318" s="6" t="n">
        <x:f>S318-M318</x:f>
        <x:v>168761.3000000001</x:v>
      </x:c>
      <x:c r="V318" s="6" t="n">
        <x:f>F318-G318</x:f>
        <x:v>-16129.840000000084</x:v>
      </x:c>
      <x:c r="W318" s="8" t="n">
        <x:f>IFERROR(V318/G318,0)</x:f>
        <x:v>-0.016248231929543104</x:v>
      </x:c>
      <x:c r="X318" s="8" t="n">
        <x:f>IFERROR(T318/F318,0)</x:f>
        <x:v>0.1808973344435573</x:v>
      </x:c>
      <x:c r="Y318" s="8" t="n">
        <x:f>IFERROR(T318/O318,0)</x:f>
        <x:v>0.10641019653921897</x:v>
      </x:c>
    </x:row>
    <x:row r="319">
      <x:c r="A319" t="str">
        <x:v>2026-03-01</x:v>
      </x:c>
      <x:c r="B319" t="n">
        <x:v>2026</x:v>
      </x:c>
      <x:c r="C319" t="str">
        <x:v>Q1</x:v>
      </x:c>
      <x:c r="D319" t="str">
        <x:v>SMB</x:v>
      </x:c>
      <x:c r="E319" t="str">
        <x:v>West</x:v>
      </x:c>
      <x:c r="F319" s="6" t="n">
        <x:v>1012795.23</x:v>
      </x:c>
      <x:c r="G319" s="6" t="n">
        <x:v>1079523.8</x:v>
      </x:c>
      <x:c r="H319" s="6" t="n">
        <x:v>1085033.32</x:v>
      </x:c>
      <x:c r="I319" s="6" t="n">
        <x:v>553287.92</x:v>
      </x:c>
      <x:c r="J319" s="6" t="n">
        <x:v>582942.85</x:v>
      </x:c>
      <x:c r="K319" s="6" t="n">
        <x:v>588088.06</x:v>
      </x:c>
      <x:c r="L319" s="6" t="n">
        <x:v>283930.13</x:v>
      </x:c>
      <x:c r="M319" s="6" t="n">
        <x:v>313061.9</x:v>
      </x:c>
      <x:c r="N319" s="6" t="n">
        <x:v>318999.8</x:v>
      </x:c>
      <x:c r="O319" s="6" t="n">
        <x:v>1721751.88</x:v>
      </x:c>
      <x:c r="P319" s="6" t="n">
        <x:v>146226.59</x:v>
      </x:c>
      <x:c r="Q319" s="6" t="n">
        <x:v>78</x:v>
      </x:c>
      <x:c r="R319" s="6" t="n">
        <x:f>F319-I319</x:f>
        <x:v>459507.30999999994</x:v>
      </x:c>
      <x:c r="S319" s="6" t="n">
        <x:f>G319-J319</x:f>
        <x:v>496580.95000000007</x:v>
      </x:c>
      <x:c r="T319" s="6" t="n">
        <x:f>R319-L319</x:f>
        <x:v>175577.17999999993</x:v>
      </x:c>
      <x:c r="U319" s="6" t="n">
        <x:f>S319-M319</x:f>
        <x:v>183519.05000000005</x:v>
      </x:c>
      <x:c r="V319" s="6" t="n">
        <x:f>F319-G319</x:f>
        <x:v>-66728.57000000007</x:v>
      </x:c>
      <x:c r="W319" s="8" t="n">
        <x:f>IFERROR(V319/G319,0)</x:f>
        <x:v>-0.061812967903069914</x:v>
      </x:c>
      <x:c r="X319" s="8" t="n">
        <x:f>IFERROR(T319/F319,0)</x:f>
        <x:v>0.17335901157433367</x:v>
      </x:c>
      <x:c r="Y319" s="8" t="n">
        <x:f>IFERROR(T319/O319,0)</x:f>
        <x:v>0.10197588981288055</x:v>
      </x:c>
    </x:row>
    <x:row r="320">
      <x:c r="A320" t="str">
        <x:v>2026-03-01</x:v>
      </x:c>
      <x:c r="B320" t="n">
        <x:v>2026</x:v>
      </x:c>
      <x:c r="C320" t="str">
        <x:v>Q1</x:v>
      </x:c>
      <x:c r="D320" t="str">
        <x:v>Digital</x:v>
      </x:c>
      <x:c r="E320" t="str">
        <x:v>East</x:v>
      </x:c>
      <x:c r="F320" s="6" t="n">
        <x:v>808199.4</x:v>
      </x:c>
      <x:c r="G320" s="6" t="n">
        <x:v>800383.72</x:v>
      </x:c>
      <x:c r="H320" s="6" t="n">
        <x:v>806584.22</x:v>
      </x:c>
      <x:c r="I320" s="6" t="n">
        <x:v>293287.68</x:v>
      </x:c>
      <x:c r="J320" s="6" t="n">
        <x:v>288138.14</x:v>
      </x:c>
      <x:c r="K320" s="6" t="n">
        <x:v>291983.49</x:v>
      </x:c>
      <x:c r="L320" s="6" t="n">
        <x:v>268722.72</x:v>
      </x:c>
      <x:c r="M320" s="6" t="n">
        <x:v>272130.46</x:v>
      </x:c>
      <x:c r="N320" s="6" t="n">
        <x:v>277464.97</x:v>
      </x:c>
      <x:c r="O320" s="6" t="n">
        <x:v>1131479.16</x:v>
      </x:c>
      <x:c r="P320" s="6" t="n">
        <x:v>193411.87</x:v>
      </x:c>
      <x:c r="Q320" s="6" t="n">
        <x:v>59</x:v>
      </x:c>
      <x:c r="R320" s="6" t="n">
        <x:f>F320-I320</x:f>
        <x:v>514911.72000000003</x:v>
      </x:c>
      <x:c r="S320" s="6" t="n">
        <x:f>G320-J320</x:f>
        <x:v>512245.57999999996</x:v>
      </x:c>
      <x:c r="T320" s="6" t="n">
        <x:f>R320-L320</x:f>
        <x:v>246189.00000000006</x:v>
      </x:c>
      <x:c r="U320" s="6" t="n">
        <x:f>S320-M320</x:f>
        <x:v>240115.11999999994</x:v>
      </x:c>
      <x:c r="V320" s="6" t="n">
        <x:f>F320-G320</x:f>
        <x:v>7815.680000000051</x:v>
      </x:c>
      <x:c r="W320" s="8" t="n">
        <x:f>IFERROR(V320/G320,0)</x:f>
        <x:v>0.009764916257916954</x:v>
      </x:c>
      <x:c r="X320" s="8" t="n">
        <x:f>IFERROR(T320/F320,0)</x:f>
        <x:v>0.3046141830840261</x:v>
      </x:c>
      <x:c r="Y320" s="8" t="n">
        <x:f>IFERROR(T320/O320,0)</x:f>
        <x:v>0.21758155934573295</x:v>
      </x:c>
    </x:row>
    <x:row r="321">
      <x:c r="A321" t="str">
        <x:v>2026-03-01</x:v>
      </x:c>
      <x:c r="B321" t="n">
        <x:v>2026</x:v>
      </x:c>
      <x:c r="C321" t="str">
        <x:v>Q1</x:v>
      </x:c>
      <x:c r="D321" t="str">
        <x:v>Digital</x:v>
      </x:c>
      <x:c r="E321" t="str">
        <x:v>Central</x:v>
      </x:c>
      <x:c r="F321" s="6" t="n">
        <x:v>702274.61</x:v>
      </x:c>
      <x:c r="G321" s="6" t="n">
        <x:v>726523.04</x:v>
      </x:c>
      <x:c r="H321" s="6" t="n">
        <x:v>722340.5</x:v>
      </x:c>
      <x:c r="I321" s="6" t="n">
        <x:v>255039.34</x:v>
      </x:c>
      <x:c r="J321" s="6" t="n">
        <x:v>261548.3</x:v>
      </x:c>
      <x:c r="K321" s="6" t="n">
        <x:v>261487.26</x:v>
      </x:c>
      <x:c r="L321" s="6" t="n">
        <x:v>232262.05</x:v>
      </x:c>
      <x:c r="M321" s="6" t="n">
        <x:v>247017.83</x:v>
      </x:c>
      <x:c r="N321" s="6" t="n">
        <x:v>248485.13</x:v>
      </x:c>
      <x:c r="O321" s="6" t="n">
        <x:v>983184.46</x:v>
      </x:c>
      <x:c r="P321" s="6" t="n">
        <x:v>176724.12</x:v>
      </x:c>
      <x:c r="Q321" s="6" t="n">
        <x:v>53</x:v>
      </x:c>
      <x:c r="R321" s="6" t="n">
        <x:f>F321-I321</x:f>
        <x:v>447235.27</x:v>
      </x:c>
      <x:c r="S321" s="6" t="n">
        <x:f>G321-J321</x:f>
        <x:v>464974.74000000005</x:v>
      </x:c>
      <x:c r="T321" s="6" t="n">
        <x:f>R321-L321</x:f>
        <x:v>214973.22000000003</x:v>
      </x:c>
      <x:c r="U321" s="6" t="n">
        <x:f>S321-M321</x:f>
        <x:v>217956.91000000006</x:v>
      </x:c>
      <x:c r="V321" s="6" t="n">
        <x:f>F321-G321</x:f>
        <x:v>-24248.43000000005</x:v>
      </x:c>
      <x:c r="W321" s="8" t="n">
        <x:f>IFERROR(V321/G321,0)</x:f>
        <x:v>-0.033375995894087615</x:v>
      </x:c>
      <x:c r="X321" s="8" t="n">
        <x:f>IFERROR(T321/F321,0)</x:f>
        <x:v>0.3061099133286337</x:v>
      </x:c>
      <x:c r="Y321" s="8" t="n">
        <x:f>IFERROR(T321/O321,0)</x:f>
        <x:v>0.218649936757544</x:v>
      </x:c>
    </x:row>
    <x:row r="322">
      <x:c r="A322" t="str">
        <x:v>2026-03-01</x:v>
      </x:c>
      <x:c r="B322" t="n">
        <x:v>2026</x:v>
      </x:c>
      <x:c r="C322" t="str">
        <x:v>Q1</x:v>
      </x:c>
      <x:c r="D322" t="str">
        <x:v>Digital</x:v>
      </x:c>
      <x:c r="E322" t="str">
        <x:v>West</x:v>
      </x:c>
      <x:c r="F322" s="6" t="n">
        <x:v>787644.77</x:v>
      </x:c>
      <x:c r="G322" s="6" t="n">
        <x:v>787374.52</x:v>
      </x:c>
      <x:c r="H322" s="6" t="n">
        <x:v>793749.22</x:v>
      </x:c>
      <x:c r="I322" s="6" t="n">
        <x:v>283455.05</x:v>
      </x:c>
      <x:c r="J322" s="6" t="n">
        <x:v>283454.83</x:v>
      </x:c>
      <x:c r="K322" s="6" t="n">
        <x:v>287337.22</x:v>
      </x:c>
      <x:c r="L322" s="6" t="n">
        <x:v>259711.77</x:v>
      </x:c>
      <x:c r="M322" s="6" t="n">
        <x:v>267707.34</x:v>
      </x:c>
      <x:c r="N322" s="6" t="n">
        <x:v>273049.73</x:v>
      </x:c>
      <x:c r="O322" s="6" t="n">
        <x:v>1102702.68</x:v>
      </x:c>
      <x:c r="P322" s="6" t="n">
        <x:v>198632.39</x:v>
      </x:c>
      <x:c r="Q322" s="6" t="n">
        <x:v>57</x:v>
      </x:c>
      <x:c r="R322" s="6" t="n">
        <x:f>F322-I322</x:f>
        <x:v>504189.72000000003</x:v>
      </x:c>
      <x:c r="S322" s="6" t="n">
        <x:f>G322-J322</x:f>
        <x:v>503919.69</x:v>
      </x:c>
      <x:c r="T322" s="6" t="n">
        <x:f>R322-L322</x:f>
        <x:v>244477.95000000004</x:v>
      </x:c>
      <x:c r="U322" s="6" t="n">
        <x:f>S322-M322</x:f>
        <x:v>236212.34999999998</x:v>
      </x:c>
      <x:c r="V322" s="6" t="n">
        <x:f>F322-G322</x:f>
        <x:v>270.25</x:v>
      </x:c>
      <x:c r="W322" s="8" t="n">
        <x:f>IFERROR(V322/G322,0)</x:f>
        <x:v>0.00034322929322122336</x:v>
      </x:c>
      <x:c r="X322" s="8" t="n">
        <x:f>IFERROR(T322/F322,0)</x:f>
        <x:v>0.3103911297474876</x:v>
      </x:c>
      <x:c r="Y322" s="8" t="n">
        <x:f>IFERROR(T322/O322,0)</x:f>
        <x:v>0.22170794941751665</x:v>
      </x:c>
    </x:row>
    <x:row r="323">
      <x:c r="A323" t="str">
        <x:v>2026-03-01</x:v>
      </x:c>
      <x:c r="B323" t="n">
        <x:v>2026</x:v>
      </x:c>
      <x:c r="C323" t="str">
        <x:v>Q1</x:v>
      </x:c>
      <x:c r="D323" t="str">
        <x:v>Services</x:v>
      </x:c>
      <x:c r="E323" t="str">
        <x:v>East</x:v>
      </x:c>
      <x:c r="F323" s="6" t="n">
        <x:v>604519.96</x:v>
      </x:c>
      <x:c r="G323" s="6" t="n">
        <x:v>603115.9</x:v>
      </x:c>
      <x:c r="H323" s="6" t="n">
        <x:v>604815.3</x:v>
      </x:c>
      <x:c r="I323" s="6" t="n">
        <x:v>259476.76</x:v>
      </x:c>
      <x:c r="J323" s="6" t="n">
        <x:v>253308.68</x:v>
      </x:c>
      <x:c r="K323" s="6" t="n">
        <x:v>255232.06</x:v>
      </x:c>
      <x:c r="L323" s="6" t="n">
        <x:v>193672.56</x:v>
      </x:c>
      <x:c r="M323" s="6" t="n">
        <x:v>186965.93</x:v>
      </x:c>
      <x:c r="N323" s="6" t="n">
        <x:v>189912</x:v>
      </x:c>
      <x:c r="O323" s="6" t="n">
        <x:v>967231.94</x:v>
      </x:c>
      <x:c r="P323" s="6" t="n">
        <x:v>126494.73</x:v>
      </x:c>
      <x:c r="Q323" s="6" t="n">
        <x:v>54</x:v>
      </x:c>
      <x:c r="R323" s="6" t="n">
        <x:f>F323-I323</x:f>
        <x:v>345043.19999999995</x:v>
      </x:c>
      <x:c r="S323" s="6" t="n">
        <x:f>G323-J323</x:f>
        <x:v>349807.22000000003</x:v>
      </x:c>
      <x:c r="T323" s="6" t="n">
        <x:f>R323-L323</x:f>
        <x:v>151370.63999999996</x:v>
      </x:c>
      <x:c r="U323" s="6" t="n">
        <x:f>S323-M323</x:f>
        <x:v>162841.29000000004</x:v>
      </x:c>
      <x:c r="V323" s="6" t="n">
        <x:f>F323-G323</x:f>
        <x:v>1404.0599999999395</x:v>
      </x:c>
      <x:c r="W323" s="8" t="n">
        <x:f>IFERROR(V323/G323,0)</x:f>
        <x:v>0.0023280102547452975</x:v>
      </x:c>
      <x:c r="X323" s="8" t="n">
        <x:f>IFERROR(T323/F323,0)</x:f>
        <x:v>0.2503980844569631</x:v>
      </x:c>
      <x:c r="Y323" s="8" t="n">
        <x:f>IFERROR(T323/O323,0)</x:f>
        <x:v>0.15649880213839915</x:v>
      </x:c>
    </x:row>
    <x:row r="324">
      <x:c r="A324" t="str">
        <x:v>2026-03-01</x:v>
      </x:c>
      <x:c r="B324" t="n">
        <x:v>2026</x:v>
      </x:c>
      <x:c r="C324" t="str">
        <x:v>Q1</x:v>
      </x:c>
      <x:c r="D324" t="str">
        <x:v>Services</x:v>
      </x:c>
      <x:c r="E324" t="str">
        <x:v>Central</x:v>
      </x:c>
      <x:c r="F324" s="6" t="n">
        <x:v>508949.6</x:v>
      </x:c>
      <x:c r="G324" s="6" t="n">
        <x:v>527708.1</x:v>
      </x:c>
      <x:c r="H324" s="6" t="n">
        <x:v>521306.57</x:v>
      </x:c>
      <x:c r="I324" s="6" t="n">
        <x:v>220806.37</x:v>
      </x:c>
      <x:c r="J324" s="6" t="n">
        <x:v>221637.4</x:v>
      </x:c>
      <x:c r="K324" s="6" t="n">
        <x:v>219991.37</x:v>
      </x:c>
      <x:c r="L324" s="6" t="n">
        <x:v>165936.65</x:v>
      </x:c>
      <x:c r="M324" s="6" t="n">
        <x:v>163589.51</x:v>
      </x:c>
      <x:c r="N324" s="6" t="n">
        <x:v>163690.26</x:v>
      </x:c>
      <x:c r="O324" s="6" t="n">
        <x:v>814319.36</x:v>
      </x:c>
      <x:c r="P324" s="6" t="n">
        <x:v>89675.66</x:v>
      </x:c>
      <x:c r="Q324" s="6" t="n">
        <x:v>48</x:v>
      </x:c>
      <x:c r="R324" s="6" t="n">
        <x:f>F324-I324</x:f>
        <x:v>288143.23</x:v>
      </x:c>
      <x:c r="S324" s="6" t="n">
        <x:f>G324-J324</x:f>
        <x:v>306070.69999999995</x:v>
      </x:c>
      <x:c r="T324" s="6" t="n">
        <x:f>R324-L324</x:f>
        <x:v>122206.57999999999</x:v>
      </x:c>
      <x:c r="U324" s="6" t="n">
        <x:f>S324-M324</x:f>
        <x:v>142481.18999999994</x:v>
      </x:c>
      <x:c r="V324" s="6" t="n">
        <x:f>F324-G324</x:f>
        <x:v>-18758.5</x:v>
      </x:c>
      <x:c r="W324" s="8" t="n">
        <x:f>IFERROR(V324/G324,0)</x:f>
        <x:v>-0.03554711402004252</x:v>
      </x:c>
      <x:c r="X324" s="8" t="n">
        <x:f>IFERROR(T324/F324,0)</x:f>
        <x:v>0.24011528842934546</x:v>
      </x:c>
      <x:c r="Y324" s="8" t="n">
        <x:f>IFERROR(T324/O324,0)</x:f>
        <x:v>0.1500720552683409</x:v>
      </x:c>
    </x:row>
    <x:row r="325">
      <x:c r="A325" t="str">
        <x:v>2026-03-01</x:v>
      </x:c>
      <x:c r="B325" t="n">
        <x:v>2026</x:v>
      </x:c>
      <x:c r="C325" t="str">
        <x:v>Q1</x:v>
      </x:c>
      <x:c r="D325" t="str">
        <x:v>Services</x:v>
      </x:c>
      <x:c r="E325" t="str">
        <x:v>West</x:v>
      </x:c>
      <x:c r="F325" s="6" t="n">
        <x:v>543412.88</x:v>
      </x:c>
      <x:c r="G325" s="6" t="n">
        <x:v>582327.82</x:v>
      </x:c>
      <x:c r="H325" s="6" t="n">
        <x:v>584307.15</x:v>
      </x:c>
      <x:c r="I325" s="6" t="n">
        <x:v>232577.06</x:v>
      </x:c>
      <x:c r="J325" s="6" t="n">
        <x:v>244577.68</x:v>
      </x:c>
      <x:c r="K325" s="6" t="n">
        <x:v>246577.62</x:v>
      </x:c>
      <x:c r="L325" s="6" t="n">
        <x:v>174421.86</x:v>
      </x:c>
      <x:c r="M325" s="6" t="n">
        <x:v>180521.62</x:v>
      </x:c>
      <x:c r="N325" s="6" t="n">
        <x:v>183472.45</x:v>
      </x:c>
      <x:c r="O325" s="6" t="n">
        <x:v>869460.61</x:v>
      </x:c>
      <x:c r="P325" s="6" t="n">
        <x:v>124909.72</x:v>
      </x:c>
      <x:c r="Q325" s="6" t="n">
        <x:v>51</x:v>
      </x:c>
      <x:c r="R325" s="6" t="n">
        <x:f>F325-I325</x:f>
        <x:v>310835.82</x:v>
      </x:c>
      <x:c r="S325" s="6" t="n">
        <x:f>G325-J325</x:f>
        <x:v>337750.13999999996</x:v>
      </x:c>
      <x:c r="T325" s="6" t="n">
        <x:f>R325-L325</x:f>
        <x:v>136413.96000000002</x:v>
      </x:c>
      <x:c r="U325" s="6" t="n">
        <x:f>S325-M325</x:f>
        <x:v>157228.51999999996</x:v>
      </x:c>
      <x:c r="V325" s="6" t="n">
        <x:f>F325-G325</x:f>
        <x:v>-38914.939999999944</x:v>
      </x:c>
      <x:c r="W325" s="8" t="n">
        <x:f>IFERROR(V325/G325,0)</x:f>
        <x:v>-0.0668265170638764</x:v>
      </x:c>
      <x:c r="X325" s="8" t="n">
        <x:f>IFERROR(T325/F325,0)</x:f>
        <x:v>0.25103188573667967</x:v>
      </x:c>
      <x:c r="Y325" s="8" t="n">
        <x:f>IFERROR(T325/O325,0)</x:f>
        <x:v>0.15689492822452306</x:v>
      </x:c>
    </x:row>
    <x:row r="326">
      <x:c r="A326" t="str">
        <x:v>2026-04-01</x:v>
      </x:c>
      <x:c r="B326" t="n">
        <x:v>2026</x:v>
      </x:c>
      <x:c r="C326" t="str">
        <x:v>Q2</x:v>
      </x:c>
      <x:c r="D326" t="str">
        <x:v>Enterprise</x:v>
      </x:c>
      <x:c r="E326" t="str">
        <x:v>East</x:v>
      </x:c>
      <x:c r="F326" s="6" t="n">
        <x:v>1946704.02</x:v>
      </x:c>
      <x:c r="G326" s="6" t="n">
        <x:v>1952490.82</x:v>
      </x:c>
      <x:c r="H326" s="6" t="n">
        <x:v>2010437.91</x:v>
      </x:c>
      <x:c r="I326" s="6" t="n">
        <x:v>930416.42</x:v>
      </x:c>
      <x:c r="J326" s="6" t="n">
        <x:v>937195.59</x:v>
      </x:c>
      <x:c r="K326" s="6" t="n">
        <x:v>969031.07</x:v>
      </x:c>
      <x:c r="L326" s="6" t="n">
        <x:v>553036.44</x:v>
      </x:c>
      <x:c r="M326" s="6" t="n">
        <x:v>527172.52</x:v>
      </x:c>
      <x:c r="N326" s="6" t="n">
        <x:v>550859.99</x:v>
      </x:c>
      <x:c r="O326" s="6" t="n">
        <x:v>4088078.43</x:v>
      </x:c>
      <x:c r="P326" s="6" t="n">
        <x:v>417553.04</x:v>
      </x:c>
      <x:c r="Q326" s="6" t="n">
        <x:v>115</x:v>
      </x:c>
      <x:c r="R326" s="6" t="n">
        <x:f>F326-I326</x:f>
        <x:v>1016287.6</x:v>
      </x:c>
      <x:c r="S326" s="6" t="n">
        <x:f>G326-J326</x:f>
        <x:v>1015295.2300000001</x:v>
      </x:c>
      <x:c r="T326" s="6" t="n">
        <x:f>R326-L326</x:f>
        <x:v>463251.16000000003</x:v>
      </x:c>
      <x:c r="U326" s="6" t="n">
        <x:f>S326-M326</x:f>
        <x:v>488122.7100000001</x:v>
      </x:c>
      <x:c r="V326" s="6" t="n">
        <x:f>F326-G326</x:f>
        <x:v>-5786.800000000047</x:v>
      </x:c>
      <x:c r="W326" s="8" t="n">
        <x:f>IFERROR(V326/G326,0)</x:f>
        <x:v>-0.0029638039476160235</x:v>
      </x:c>
      <x:c r="X326" s="8" t="n">
        <x:f>IFERROR(T326/F326,0)</x:f>
        <x:v>0.23796692010735152</x:v>
      </x:c>
      <x:c r="Y326" s="8" t="n">
        <x:f>IFERROR(T326/O326,0)</x:f>
        <x:v>0.11331758133612911</x:v>
      </x:c>
    </x:row>
    <x:row r="327">
      <x:c r="A327" t="str">
        <x:v>2026-04-01</x:v>
      </x:c>
      <x:c r="B327" t="n">
        <x:v>2026</x:v>
      </x:c>
      <x:c r="C327" t="str">
        <x:v>Q2</x:v>
      </x:c>
      <x:c r="D327" t="str">
        <x:v>Enterprise</x:v>
      </x:c>
      <x:c r="E327" t="str">
        <x:v>Central</x:v>
      </x:c>
      <x:c r="F327" s="6" t="n">
        <x:v>1774186.83</x:v>
      </x:c>
      <x:c r="G327" s="6" t="n">
        <x:v>1733835.22</x:v>
      </x:c>
      <x:c r="H327" s="6" t="n">
        <x:v>1759462.46</x:v>
      </x:c>
      <x:c r="I327" s="6" t="n">
        <x:v>855196.74</x:v>
      </x:c>
      <x:c r="J327" s="6" t="n">
        <x:v>832240.91</x:v>
      </x:c>
      <x:c r="K327" s="6" t="n">
        <x:v>848060.91</x:v>
      </x:c>
      <x:c r="L327" s="6" t="n">
        <x:v>492524.95</x:v>
      </x:c>
      <x:c r="M327" s="6" t="n">
        <x:v>468135.51</x:v>
      </x:c>
      <x:c r="N327" s="6" t="n">
        <x:v>482092.71</x:v>
      </x:c>
      <x:c r="O327" s="6" t="n">
        <x:v>3725792.35</x:v>
      </x:c>
      <x:c r="P327" s="6" t="n">
        <x:v>336717.25</x:v>
      </x:c>
      <x:c r="Q327" s="6" t="n">
        <x:v>103</x:v>
      </x:c>
      <x:c r="R327" s="6" t="n">
        <x:f>F327-I327</x:f>
        <x:v>918990.0900000001</x:v>
      </x:c>
      <x:c r="S327" s="6" t="n">
        <x:f>G327-J327</x:f>
        <x:v>901594.3099999999</x:v>
      </x:c>
      <x:c r="T327" s="6" t="n">
        <x:f>R327-L327</x:f>
        <x:v>426465.1400000001</x:v>
      </x:c>
      <x:c r="U327" s="6" t="n">
        <x:f>S327-M327</x:f>
        <x:v>433458.79999999993</x:v>
      </x:c>
      <x:c r="V327" s="6" t="n">
        <x:f>F327-G327</x:f>
        <x:v>40351.6100000001</x:v>
      </x:c>
      <x:c r="W327" s="8" t="n">
        <x:f>IFERROR(V327/G327,0)</x:f>
        <x:v>0.023273036292341613</x:v>
      </x:c>
      <x:c r="X327" s="8" t="n">
        <x:f>IFERROR(T327/F327,0)</x:f>
        <x:v>0.24037217095112812</x:v>
      </x:c>
      <x:c r="Y327" s="8" t="n">
        <x:f>IFERROR(T327/O327,0)</x:f>
        <x:v>0.11446293833310385</x:v>
      </x:c>
    </x:row>
    <x:row r="328">
      <x:c r="A328" t="str">
        <x:v>2026-04-01</x:v>
      </x:c>
      <x:c r="B328" t="n">
        <x:v>2026</x:v>
      </x:c>
      <x:c r="C328" t="str">
        <x:v>Q2</x:v>
      </x:c>
      <x:c r="D328" t="str">
        <x:v>Enterprise</x:v>
      </x:c>
      <x:c r="E328" t="str">
        <x:v>West</x:v>
      </x:c>
      <x:c r="F328" s="6" t="n">
        <x:v>1868049.01</x:v>
      </x:c>
      <x:c r="G328" s="6" t="n">
        <x:v>1851889.7</x:v>
      </x:c>
      <x:c r="H328" s="6" t="n">
        <x:v>1868182.47</x:v>
      </x:c>
      <x:c r="I328" s="6" t="n">
        <x:v>909598.48</x:v>
      </x:c>
      <x:c r="J328" s="6" t="n">
        <x:v>888907.06</x:v>
      </x:c>
      <x:c r="K328" s="6" t="n">
        <x:v>900463.95</x:v>
      </x:c>
      <x:c r="L328" s="6" t="n">
        <x:v>494436.53</x:v>
      </x:c>
      <x:c r="M328" s="6" t="n">
        <x:v>500010.22</x:v>
      </x:c>
      <x:c r="N328" s="6" t="n">
        <x:v>511882</x:v>
      </x:c>
      <x:c r="O328" s="6" t="n">
        <x:v>3922902.93</x:v>
      </x:c>
      <x:c r="P328" s="6" t="n">
        <x:v>334412.41</x:v>
      </x:c>
      <x:c r="Q328" s="6" t="n">
        <x:v>111</x:v>
      </x:c>
      <x:c r="R328" s="6" t="n">
        <x:f>F328-I328</x:f>
        <x:v>958450.53</x:v>
      </x:c>
      <x:c r="S328" s="6" t="n">
        <x:f>G328-J328</x:f>
        <x:v>962982.6399999999</x:v>
      </x:c>
      <x:c r="T328" s="6" t="n">
        <x:f>R328-L328</x:f>
        <x:v>464014</x:v>
      </x:c>
      <x:c r="U328" s="6" t="n">
        <x:f>S328-M328</x:f>
        <x:v>462972.4199999999</x:v>
      </x:c>
      <x:c r="V328" s="6" t="n">
        <x:f>F328-G328</x:f>
        <x:v>16159.310000000056</x:v>
      </x:c>
      <x:c r="W328" s="8" t="n">
        <x:f>IFERROR(V328/G328,0)</x:f>
        <x:v>0.00872584906109692</x:v>
      </x:c>
      <x:c r="X328" s="8" t="n">
        <x:f>IFERROR(T328/F328,0)</x:f>
        <x:v>0.24839498188540568</x:v>
      </x:c>
      <x:c r="Y328" s="8" t="n">
        <x:f>IFERROR(T328/O328,0)</x:f>
        <x:v>0.11828332443596813</x:v>
      </x:c>
    </x:row>
    <x:row r="329">
      <x:c r="A329" t="str">
        <x:v>2026-04-01</x:v>
      </x:c>
      <x:c r="B329" t="n">
        <x:v>2026</x:v>
      </x:c>
      <x:c r="C329" t="str">
        <x:v>Q2</x:v>
      </x:c>
      <x:c r="D329" t="str">
        <x:v>SMB</x:v>
      </x:c>
      <x:c r="E329" t="str">
        <x:v>East</x:v>
      </x:c>
      <x:c r="F329" s="6" t="n">
        <x:v>1090320.62</x:v>
      </x:c>
      <x:c r="G329" s="6" t="n">
        <x:v>1107108.48</x:v>
      </x:c>
      <x:c r="H329" s="6" t="n">
        <x:v>1124055.54</x:v>
      </x:c>
      <x:c r="I329" s="6" t="n">
        <x:v>591123.41</x:v>
      </x:c>
      <x:c r="J329" s="6" t="n">
        <x:v>597838.58</x:v>
      </x:c>
      <x:c r="K329" s="6" t="n">
        <x:v>609238.1</x:v>
      </x:c>
      <x:c r="L329" s="6" t="n">
        <x:v>320508.48</x:v>
      </x:c>
      <x:c r="M329" s="6" t="n">
        <x:v>321061.46</x:v>
      </x:c>
      <x:c r="N329" s="6" t="n">
        <x:v>330472.33</x:v>
      </x:c>
      <x:c r="O329" s="6" t="n">
        <x:v>1853545.05</x:v>
      </x:c>
      <x:c r="P329" s="6" t="n">
        <x:v>158080.94</x:v>
      </x:c>
      <x:c r="Q329" s="6" t="n">
        <x:v>82</x:v>
      </x:c>
      <x:c r="R329" s="6" t="n">
        <x:f>F329-I329</x:f>
        <x:v>499197.2100000001</x:v>
      </x:c>
      <x:c r="S329" s="6" t="n">
        <x:f>G329-J329</x:f>
        <x:v>509269.9</x:v>
      </x:c>
      <x:c r="T329" s="6" t="n">
        <x:f>R329-L329</x:f>
        <x:v>178688.7300000001</x:v>
      </x:c>
      <x:c r="U329" s="6" t="n">
        <x:f>S329-M329</x:f>
        <x:v>188208.44</x:v>
      </x:c>
      <x:c r="V329" s="6" t="n">
        <x:f>F329-G329</x:f>
        <x:v>-16787.85999999987</x:v>
      </x:c>
      <x:c r="W329" s="8" t="n">
        <x:f>IFERROR(V329/G329,0)</x:f>
        <x:v>-0.015163699224849104</x:v>
      </x:c>
      <x:c r="X329" s="8" t="n">
        <x:f>IFERROR(T329/F329,0)</x:f>
        <x:v>0.16388640801822135</x:v>
      </x:c>
      <x:c r="Y329" s="8" t="n">
        <x:f>IFERROR(T329/O329,0)</x:f>
        <x:v>0.09640376963052508</x:v>
      </x:c>
    </x:row>
    <x:row r="330">
      <x:c r="A330" t="str">
        <x:v>2026-04-01</x:v>
      </x:c>
      <x:c r="B330" t="n">
        <x:v>2026</x:v>
      </x:c>
      <x:c r="C330" t="str">
        <x:v>Q2</x:v>
      </x:c>
      <x:c r="D330" t="str">
        <x:v>SMB</x:v>
      </x:c>
      <x:c r="E330" t="str">
        <x:v>Central</x:v>
      </x:c>
      <x:c r="F330" s="6" t="n">
        <x:v>987543.94</x:v>
      </x:c>
      <x:c r="G330" s="6" t="n">
        <x:v>997906.23</x:v>
      </x:c>
      <x:c r="H330" s="6" t="n">
        <x:v>995315.9</x:v>
      </x:c>
      <x:c r="I330" s="6" t="n">
        <x:v>545492.28</x:v>
      </x:c>
      <x:c r="J330" s="6" t="n">
        <x:v>538869.36</x:v>
      </x:c>
      <x:c r="K330" s="6" t="n">
        <x:v>539461.22</x:v>
      </x:c>
      <x:c r="L330" s="6" t="n">
        <x:v>296017.01</x:v>
      </x:c>
      <x:c r="M330" s="6" t="n">
        <x:v>289392.81</x:v>
      </x:c>
      <x:c r="N330" s="6" t="n">
        <x:v>292622.88</x:v>
      </x:c>
      <x:c r="O330" s="6" t="n">
        <x:v>1678824.7</x:v>
      </x:c>
      <x:c r="P330" s="6" t="n">
        <x:v>108440.8</x:v>
      </x:c>
      <x:c r="Q330" s="6" t="n">
        <x:v>73</x:v>
      </x:c>
      <x:c r="R330" s="6" t="n">
        <x:f>F330-I330</x:f>
        <x:v>442051.6599999999</x:v>
      </x:c>
      <x:c r="S330" s="6" t="n">
        <x:f>G330-J330</x:f>
        <x:v>459036.87</x:v>
      </x:c>
      <x:c r="T330" s="6" t="n">
        <x:f>R330-L330</x:f>
        <x:v>146034.6499999999</x:v>
      </x:c>
      <x:c r="U330" s="6" t="n">
        <x:f>S330-M330</x:f>
        <x:v>169644.06</x:v>
      </x:c>
      <x:c r="V330" s="6" t="n">
        <x:f>F330-G330</x:f>
        <x:v>-10362.290000000037</x:v>
      </x:c>
      <x:c r="W330" s="8" t="n">
        <x:f>IFERROR(V330/G330,0)</x:f>
        <x:v>-0.01038403177420792</x:v>
      </x:c>
      <x:c r="X330" s="8" t="n">
        <x:f>IFERROR(T330/F330,0)</x:f>
        <x:v>0.14787660992583268</x:v>
      </x:c>
      <x:c r="Y330" s="8" t="n">
        <x:f>IFERROR(T330/O330,0)</x:f>
        <x:v>0.0869862410292152</x:v>
      </x:c>
    </x:row>
    <x:row r="331">
      <x:c r="A331" t="str">
        <x:v>2026-04-01</x:v>
      </x:c>
      <x:c r="B331" t="n">
        <x:v>2026</x:v>
      </x:c>
      <x:c r="C331" t="str">
        <x:v>Q2</x:v>
      </x:c>
      <x:c r="D331" t="str">
        <x:v>SMB</x:v>
      </x:c>
      <x:c r="E331" t="str">
        <x:v>West</x:v>
      </x:c>
      <x:c r="F331" s="6" t="n">
        <x:v>1087078.77</x:v>
      </x:c>
      <x:c r="G331" s="6" t="n">
        <x:v>1090432.88</x:v>
      </x:c>
      <x:c r="H331" s="6" t="n">
        <x:v>1111666.23</x:v>
      </x:c>
      <x:c r="I331" s="6" t="n">
        <x:v>598956.13</x:v>
      </x:c>
      <x:c r="J331" s="6" t="n">
        <x:v>588833.75</x:v>
      </x:c>
      <x:c r="K331" s="6" t="n">
        <x:v>602523.1</x:v>
      </x:c>
      <x:c r="L331" s="6" t="n">
        <x:v>302718.14</x:v>
      </x:c>
      <x:c r="M331" s="6" t="n">
        <x:v>316225.53</x:v>
      </x:c>
      <x:c r="N331" s="6" t="n">
        <x:v>326829.87</x:v>
      </x:c>
      <x:c r="O331" s="6" t="n">
        <x:v>1848033.91</x:v>
      </x:c>
      <x:c r="P331" s="6" t="n">
        <x:v>141132.93</x:v>
      </x:c>
      <x:c r="Q331" s="6" t="n">
        <x:v>79</x:v>
      </x:c>
      <x:c r="R331" s="6" t="n">
        <x:f>F331-I331</x:f>
        <x:v>488122.64</x:v>
      </x:c>
      <x:c r="S331" s="6" t="n">
        <x:f>G331-J331</x:f>
        <x:v>501599.1299999999</x:v>
      </x:c>
      <x:c r="T331" s="6" t="n">
        <x:f>R331-L331</x:f>
        <x:v>185404.5</x:v>
      </x:c>
      <x:c r="U331" s="6" t="n">
        <x:f>S331-M331</x:f>
        <x:v>185373.59999999986</x:v>
      </x:c>
      <x:c r="V331" s="6" t="n">
        <x:f>F331-G331</x:f>
        <x:v>-3354.1099999998696</x:v>
      </x:c>
      <x:c r="W331" s="8" t="n">
        <x:f>IFERROR(V331/G331,0)</x:f>
        <x:v>-0.003075943564724378</x:v>
      </x:c>
      <x:c r="X331" s="8" t="n">
        <x:f>IFERROR(T331/F331,0)</x:f>
        <x:v>0.17055295818167804</x:v>
      </x:c>
      <x:c r="Y331" s="8" t="n">
        <x:f>IFERROR(T331/O331,0)</x:f>
        <x:v>0.10032526946434657</x:v>
      </x:c>
    </x:row>
    <x:row r="332">
      <x:c r="A332" t="str">
        <x:v>2026-04-01</x:v>
      </x:c>
      <x:c r="B332" t="n">
        <x:v>2026</x:v>
      </x:c>
      <x:c r="C332" t="str">
        <x:v>Q2</x:v>
      </x:c>
      <x:c r="D332" t="str">
        <x:v>Digital</x:v>
      </x:c>
      <x:c r="E332" t="str">
        <x:v>East</x:v>
      </x:c>
      <x:c r="F332" s="6" t="n">
        <x:v>777194.92</x:v>
      </x:c>
      <x:c r="G332" s="6" t="n">
        <x:v>810965.44</x:v>
      </x:c>
      <x:c r="H332" s="6" t="n">
        <x:v>820616.19</x:v>
      </x:c>
      <x:c r="I332" s="6" t="n">
        <x:v>284675.18</x:v>
      </x:c>
      <x:c r="J332" s="6" t="n">
        <x:v>291947.56</x:v>
      </x:c>
      <x:c r="K332" s="6" t="n">
        <x:v>297063.06</x:v>
      </x:c>
      <x:c r="L332" s="6" t="n">
        <x:v>256054.86</x:v>
      </x:c>
      <x:c r="M332" s="6" t="n">
        <x:v>275728.25</x:v>
      </x:c>
      <x:c r="N332" s="6" t="n">
        <x:v>282291.97</x:v>
      </x:c>
      <x:c r="O332" s="6" t="n">
        <x:v>1088072.88</x:v>
      </x:c>
      <x:c r="P332" s="6" t="n">
        <x:v>205277.1</x:v>
      </x:c>
      <x:c r="Q332" s="6" t="n">
        <x:v>59</x:v>
      </x:c>
      <x:c r="R332" s="6" t="n">
        <x:f>F332-I332</x:f>
        <x:v>492519.74000000005</x:v>
      </x:c>
      <x:c r="S332" s="6" t="n">
        <x:f>G332-J332</x:f>
        <x:v>519017.87999999995</x:v>
      </x:c>
      <x:c r="T332" s="6" t="n">
        <x:f>R332-L332</x:f>
        <x:v>236464.88000000006</x:v>
      </x:c>
      <x:c r="U332" s="6" t="n">
        <x:f>S332-M332</x:f>
        <x:v>243289.62999999995</x:v>
      </x:c>
      <x:c r="V332" s="6" t="n">
        <x:f>F332-G332</x:f>
        <x:v>-33770.5199999999</x:v>
      </x:c>
      <x:c r="W332" s="8" t="n">
        <x:f>IFERROR(V332/G332,0)</x:f>
        <x:v>-0.041642366412063016</x:v>
      </x:c>
      <x:c r="X332" s="8" t="n">
        <x:f>IFERROR(T332/F332,0)</x:f>
        <x:v>0.3042542789651791</x:v>
      </x:c>
      <x:c r="Y332" s="8" t="n">
        <x:f>IFERROR(T332/O332,0)</x:f>
        <x:v>0.21732448657299508</x:v>
      </x:c>
    </x:row>
    <x:row r="333">
      <x:c r="A333" t="str">
        <x:v>2026-04-01</x:v>
      </x:c>
      <x:c r="B333" t="n">
        <x:v>2026</x:v>
      </x:c>
      <x:c r="C333" t="str">
        <x:v>Q2</x:v>
      </x:c>
      <x:c r="D333" t="str">
        <x:v>Digital</x:v>
      </x:c>
      <x:c r="E333" t="str">
        <x:v>Central</x:v>
      </x:c>
      <x:c r="F333" s="6" t="n">
        <x:v>716850.18</x:v>
      </x:c>
      <x:c r="G333" s="6" t="n">
        <x:v>732650.57</x:v>
      </x:c>
      <x:c r="H333" s="6" t="n">
        <x:v>728824.02</x:v>
      </x:c>
      <x:c r="I333" s="6" t="n">
        <x:v>265562.16</x:v>
      </x:c>
      <x:c r="J333" s="6" t="n">
        <x:v>263754.21</x:v>
      </x:c>
      <x:c r="K333" s="6" t="n">
        <x:v>263834.3</x:v>
      </x:c>
      <x:c r="L333" s="6" t="n">
        <x:v>236340.72</x:v>
      </x:c>
      <x:c r="M333" s="6" t="n">
        <x:v>249101.19</x:v>
      </x:c>
      <x:c r="N333" s="6" t="n">
        <x:v>250715.46</x:v>
      </x:c>
      <x:c r="O333" s="6" t="n">
        <x:v>1003590.25</x:v>
      </x:c>
      <x:c r="P333" s="6" t="n">
        <x:v>176424.27</x:v>
      </x:c>
      <x:c r="Q333" s="6" t="n">
        <x:v>53</x:v>
      </x:c>
      <x:c r="R333" s="6" t="n">
        <x:f>F333-I333</x:f>
        <x:v>451288.0200000001</x:v>
      </x:c>
      <x:c r="S333" s="6" t="n">
        <x:f>G333-J333</x:f>
        <x:v>468896.3599999999</x:v>
      </x:c>
      <x:c r="T333" s="6" t="n">
        <x:f>R333-L333</x:f>
        <x:v>214947.30000000008</x:v>
      </x:c>
      <x:c r="U333" s="6" t="n">
        <x:f>S333-M333</x:f>
        <x:v>219795.16999999993</x:v>
      </x:c>
      <x:c r="V333" s="6" t="n">
        <x:f>F333-G333</x:f>
        <x:v>-15800.389999999898</x:v>
      </x:c>
      <x:c r="W333" s="8" t="n">
        <x:f>IFERROR(V333/G333,0)</x:f>
        <x:v>-0.02156606525263455</x:v>
      </x:c>
      <x:c r="X333" s="8" t="n">
        <x:f>IFERROR(T333/F333,0)</x:f>
        <x:v>0.299849684072061</x:v>
      </x:c>
      <x:c r="Y333" s="8" t="n">
        <x:f>IFERROR(T333/O333,0)</x:f>
        <x:v>0.21417834619258216</x:v>
      </x:c>
    </x:row>
    <x:row r="334">
      <x:c r="A334" t="str">
        <x:v>2026-04-01</x:v>
      </x:c>
      <x:c r="B334" t="n">
        <x:v>2026</x:v>
      </x:c>
      <x:c r="C334" t="str">
        <x:v>Q2</x:v>
      </x:c>
      <x:c r="D334" t="str">
        <x:v>Digital</x:v>
      </x:c>
      <x:c r="E334" t="str">
        <x:v>West</x:v>
      </x:c>
      <x:c r="F334" s="6" t="n">
        <x:v>813230.27</x:v>
      </x:c>
      <x:c r="G334" s="6" t="n">
        <x:v>784533.12</x:v>
      </x:c>
      <x:c r="H334" s="6" t="n">
        <x:v>798590.61</x:v>
      </x:c>
      <x:c r="I334" s="6" t="n">
        <x:v>289747.03</x:v>
      </x:c>
      <x:c r="J334" s="6" t="n">
        <x:v>282431.92</x:v>
      </x:c>
      <x:c r="K334" s="6" t="n">
        <x:v>289089.8</x:v>
      </x:c>
      <x:c r="L334" s="6" t="n">
        <x:v>281326.87</x:v>
      </x:c>
      <x:c r="M334" s="6" t="n">
        <x:v>266741.26</x:v>
      </x:c>
      <x:c r="N334" s="6" t="n">
        <x:v>274715.17</x:v>
      </x:c>
      <x:c r="O334" s="6" t="n">
        <x:v>1138522.38</x:v>
      </x:c>
      <x:c r="P334" s="6" t="n">
        <x:v>206924.16</x:v>
      </x:c>
      <x:c r="Q334" s="6" t="n">
        <x:v>57</x:v>
      </x:c>
      <x:c r="R334" s="6" t="n">
        <x:f>F334-I334</x:f>
        <x:v>523483.24</x:v>
      </x:c>
      <x:c r="S334" s="6" t="n">
        <x:f>G334-J334</x:f>
        <x:v>502101.2</x:v>
      </x:c>
      <x:c r="T334" s="6" t="n">
        <x:f>R334-L334</x:f>
        <x:v>242156.37</x:v>
      </x:c>
      <x:c r="U334" s="6" t="n">
        <x:f>S334-M334</x:f>
        <x:v>235359.94</x:v>
      </x:c>
      <x:c r="V334" s="6" t="n">
        <x:f>F334-G334</x:f>
        <x:v>28697.150000000023</x:v>
      </x:c>
      <x:c r="W334" s="8" t="n">
        <x:f>IFERROR(V334/G334,0)</x:f>
        <x:v>0.036578634181817615</x:v>
      </x:c>
      <x:c r="X334" s="8" t="n">
        <x:f>IFERROR(T334/F334,0)</x:f>
        <x:v>0.29777097451131523</x:v>
      </x:c>
      <x:c r="Y334" s="8" t="n">
        <x:f>IFERROR(T334/O334,0)</x:f>
        <x:v>0.21269355284873717</x:v>
      </x:c>
    </x:row>
    <x:row r="335">
      <x:c r="A335" t="str">
        <x:v>2026-04-01</x:v>
      </x:c>
      <x:c r="B335" t="n">
        <x:v>2026</x:v>
      </x:c>
      <x:c r="C335" t="str">
        <x:v>Q2</x:v>
      </x:c>
      <x:c r="D335" t="str">
        <x:v>Services</x:v>
      </x:c>
      <x:c r="E335" t="str">
        <x:v>East</x:v>
      </x:c>
      <x:c r="F335" s="6" t="n">
        <x:v>592623.95</x:v>
      </x:c>
      <x:c r="G335" s="6" t="n">
        <x:v>601540.93</x:v>
      </x:c>
      <x:c r="H335" s="6" t="n">
        <x:v>596395.78</x:v>
      </x:c>
      <x:c r="I335" s="6" t="n">
        <x:v>251963.27</x:v>
      </x:c>
      <x:c r="J335" s="6" t="n">
        <x:v>252647.19</x:v>
      </x:c>
      <x:c r="K335" s="6" t="n">
        <x:v>251679.02</x:v>
      </x:c>
      <x:c r="L335" s="6" t="n">
        <x:v>180531.79</x:v>
      </x:c>
      <x:c r="M335" s="6" t="n">
        <x:v>186477.69</x:v>
      </x:c>
      <x:c r="N335" s="6" t="n">
        <x:v>187268.27</x:v>
      </x:c>
      <x:c r="O335" s="6" t="n">
        <x:v>948198.32</x:v>
      </x:c>
      <x:c r="P335" s="6" t="n">
        <x:v>124916.57</x:v>
      </x:c>
      <x:c r="Q335" s="6" t="n">
        <x:v>54</x:v>
      </x:c>
      <x:c r="R335" s="6" t="n">
        <x:f>F335-I335</x:f>
        <x:v>340660.67999999993</x:v>
      </x:c>
      <x:c r="S335" s="6" t="n">
        <x:f>G335-J335</x:f>
        <x:v>348893.74000000005</x:v>
      </x:c>
      <x:c r="T335" s="6" t="n">
        <x:f>R335-L335</x:f>
        <x:v>160128.88999999993</x:v>
      </x:c>
      <x:c r="U335" s="6" t="n">
        <x:f>S335-M335</x:f>
        <x:v>162416.05000000005</x:v>
      </x:c>
      <x:c r="V335" s="6" t="n">
        <x:f>F335-G335</x:f>
        <x:v>-8916.980000000098</x:v>
      </x:c>
      <x:c r="W335" s="8" t="n">
        <x:f>IFERROR(V335/G335,0)</x:f>
        <x:v>-0.014823563211235015</x:v>
      </x:c>
      <x:c r="X335" s="8" t="n">
        <x:f>IFERROR(T335/F335,0)</x:f>
        <x:v>0.2702032039035883</x:v>
      </x:c>
      <x:c r="Y335" s="8" t="n">
        <x:f>IFERROR(T335/O335,0)</x:f>
        <x:v>0.1688770024397427</x:v>
      </x:c>
    </x:row>
    <x:row r="336">
      <x:c r="A336" t="str">
        <x:v>2026-04-01</x:v>
      </x:c>
      <x:c r="B336" t="n">
        <x:v>2026</x:v>
      </x:c>
      <x:c r="C336" t="str">
        <x:v>Q2</x:v>
      </x:c>
      <x:c r="D336" t="str">
        <x:v>Services</x:v>
      </x:c>
      <x:c r="E336" t="str">
        <x:v>Central</x:v>
      </x:c>
      <x:c r="F336" s="6" t="n">
        <x:v>560940.04</x:v>
      </x:c>
      <x:c r="G336" s="6" t="n">
        <x:v>534303.91</x:v>
      </x:c>
      <x:c r="H336" s="6" t="n">
        <x:v>547440.91</x:v>
      </x:c>
      <x:c r="I336" s="6" t="n">
        <x:v>242158.39</x:v>
      </x:c>
      <x:c r="J336" s="6" t="n">
        <x:v>224407.64</x:v>
      </x:c>
      <x:c r="K336" s="6" t="n">
        <x:v>231020.06</x:v>
      </x:c>
      <x:c r="L336" s="6" t="n">
        <x:v>177694.47</x:v>
      </x:c>
      <x:c r="M336" s="6" t="n">
        <x:v>165634.21</x:v>
      </x:c>
      <x:c r="N336" s="6" t="n">
        <x:v>171896.44</x:v>
      </x:c>
      <x:c r="O336" s="6" t="n">
        <x:v>897504.07</x:v>
      </x:c>
      <x:c r="P336" s="6" t="n">
        <x:v>113637.28</x:v>
      </x:c>
      <x:c r="Q336" s="6" t="n">
        <x:v>48</x:v>
      </x:c>
      <x:c r="R336" s="6" t="n">
        <x:f>F336-I336</x:f>
        <x:v>318781.65</x:v>
      </x:c>
      <x:c r="S336" s="6" t="n">
        <x:f>G336-J336</x:f>
        <x:v>309896.27</x:v>
      </x:c>
      <x:c r="T336" s="6" t="n">
        <x:f>R336-L336</x:f>
        <x:v>141087.18000000002</x:v>
      </x:c>
      <x:c r="U336" s="6" t="n">
        <x:f>S336-M336</x:f>
        <x:v>144262.06000000003</x:v>
      </x:c>
      <x:c r="V336" s="6" t="n">
        <x:f>F336-G336</x:f>
        <x:v>26636.130000000005</x:v>
      </x:c>
      <x:c r="W336" s="8" t="n">
        <x:f>IFERROR(V336/G336,0)</x:f>
        <x:v>0.04985202148342879</x:v>
      </x:c>
      <x:c r="X336" s="8" t="n">
        <x:f>IFERROR(T336/F336,0)</x:f>
        <x:v>0.2515191819788796</x:v>
      </x:c>
      <x:c r="Y336" s="8" t="n">
        <x:f>IFERROR(T336/O336,0)</x:f>
        <x:v>0.15719948768588873</x:v>
      </x:c>
    </x:row>
    <x:row r="337">
      <x:c r="A337" t="str">
        <x:v>2026-04-01</x:v>
      </x:c>
      <x:c r="B337" t="n">
        <x:v>2026</x:v>
      </x:c>
      <x:c r="C337" t="str">
        <x:v>Q2</x:v>
      </x:c>
      <x:c r="D337" t="str">
        <x:v>Services</x:v>
      </x:c>
      <x:c r="E337" t="str">
        <x:v>West</x:v>
      </x:c>
      <x:c r="F337" s="6" t="n">
        <x:v>612059.02</x:v>
      </x:c>
      <x:c r="G337" s="6" t="n">
        <x:v>581678.52</x:v>
      </x:c>
      <x:c r="H337" s="6" t="n">
        <x:v>597599.87</x:v>
      </x:c>
      <x:c r="I337" s="6" t="n">
        <x:v>260403.51</x:v>
      </x:c>
      <x:c r="J337" s="6" t="n">
        <x:v>244304.98</x:v>
      </x:c>
      <x:c r="K337" s="6" t="n">
        <x:v>252187.15</x:v>
      </x:c>
      <x:c r="L337" s="6" t="n">
        <x:v>196822.35</x:v>
      </x:c>
      <x:c r="M337" s="6" t="n">
        <x:v>180320.34</x:v>
      </x:c>
      <x:c r="N337" s="6" t="n">
        <x:v>187646.36</x:v>
      </x:c>
      <x:c r="O337" s="6" t="n">
        <x:v>979294.44</x:v>
      </x:c>
      <x:c r="P337" s="6" t="n">
        <x:v>121350</x:v>
      </x:c>
      <x:c r="Q337" s="6" t="n">
        <x:v>52</x:v>
      </x:c>
      <x:c r="R337" s="6" t="n">
        <x:f>F337-I337</x:f>
        <x:v>351655.51</x:v>
      </x:c>
      <x:c r="S337" s="6" t="n">
        <x:f>G337-J337</x:f>
        <x:v>337373.54000000004</x:v>
      </x:c>
      <x:c r="T337" s="6" t="n">
        <x:f>R337-L337</x:f>
        <x:v>154833.16</x:v>
      </x:c>
      <x:c r="U337" s="6" t="n">
        <x:f>S337-M337</x:f>
        <x:v>157053.20000000004</x:v>
      </x:c>
      <x:c r="V337" s="6" t="n">
        <x:f>F337-G337</x:f>
        <x:v>30380.5</x:v>
      </x:c>
      <x:c r="W337" s="8" t="n">
        <x:f>IFERROR(V337/G337,0)</x:f>
        <x:v>0.052229021625209746</x:v>
      </x:c>
      <x:c r="X337" s="8" t="n">
        <x:f>IFERROR(T337/F337,0)</x:f>
        <x:v>0.2529709634864951</x:v>
      </x:c>
      <x:c r="Y337" s="8" t="n">
        <x:f>IFERROR(T337/O337,0)</x:f>
        <x:v>0.1581068508874614</x:v>
      </x:c>
    </x:row>
    <x:row r="338">
      <x:c r="A338" t="str">
        <x:v>2026-05-01</x:v>
      </x:c>
      <x:c r="B338" t="n">
        <x:v>2026</x:v>
      </x:c>
      <x:c r="C338" t="str">
        <x:v>Q2</x:v>
      </x:c>
      <x:c r="D338" t="str">
        <x:v>Enterprise</x:v>
      </x:c>
      <x:c r="E338" t="str">
        <x:v>East</x:v>
      </x:c>
      <x:c r="F338" s="6" t="n">
        <x:v>1879113.06</x:v>
      </x:c>
      <x:c r="G338" s="6" t="n">
        <x:v>1937386.23</x:v>
      </x:c>
      <x:c r="H338" s="6" t="n">
        <x:v>1941146.13</x:v>
      </x:c>
      <x:c r="I338" s="6" t="n">
        <x:v>916283.37</x:v>
      </x:c>
      <x:c r="J338" s="6" t="n">
        <x:v>929945.39</x:v>
      </x:c>
      <x:c r="K338" s="6" t="n">
        <x:v>935632.43</x:v>
      </x:c>
      <x:c r="L338" s="6" t="n">
        <x:v>511505.03</x:v>
      </x:c>
      <x:c r="M338" s="6" t="n">
        <x:v>523094.28</x:v>
      </x:c>
      <x:c r="N338" s="6" t="n">
        <x:v>531874.04</x:v>
      </x:c>
      <x:c r="O338" s="6" t="n">
        <x:v>3946137.42</x:v>
      </x:c>
      <x:c r="P338" s="6" t="n">
        <x:v>401619.45</x:v>
      </x:c>
      <x:c r="Q338" s="6" t="n">
        <x:v>116</x:v>
      </x:c>
      <x:c r="R338" s="6" t="n">
        <x:f>F338-I338</x:f>
        <x:v>962829.6900000001</x:v>
      </x:c>
      <x:c r="S338" s="6" t="n">
        <x:f>G338-J338</x:f>
        <x:v>1007440.84</x:v>
      </x:c>
      <x:c r="T338" s="6" t="n">
        <x:f>R338-L338</x:f>
        <x:v>451324.66000000003</x:v>
      </x:c>
      <x:c r="U338" s="6" t="n">
        <x:f>S338-M338</x:f>
        <x:v>484346.55999999994</x:v>
      </x:c>
      <x:c r="V338" s="6" t="n">
        <x:f>F338-G338</x:f>
        <x:v>-58273.169999999925</x:v>
      </x:c>
      <x:c r="W338" s="8" t="n">
        <x:f>IFERROR(V338/G338,0)</x:f>
        <x:v>-0.030078241033023097</x:v>
      </x:c>
      <x:c r="X338" s="8" t="n">
        <x:f>IFERROR(T338/F338,0)</x:f>
        <x:v>0.24017961963395648</x:v>
      </x:c>
      <x:c r="Y338" s="8" t="n">
        <x:f>IFERROR(T338/O338,0)</x:f>
        <x:v>0.1143712476186397</x:v>
      </x:c>
    </x:row>
    <x:row r="339">
      <x:c r="A339" t="str">
        <x:v>2026-05-01</x:v>
      </x:c>
      <x:c r="B339" t="n">
        <x:v>2026</x:v>
      </x:c>
      <x:c r="C339" t="str">
        <x:v>Q2</x:v>
      </x:c>
      <x:c r="D339" t="str">
        <x:v>Enterprise</x:v>
      </x:c>
      <x:c r="E339" t="str">
        <x:v>Central</x:v>
      </x:c>
      <x:c r="F339" s="6" t="n">
        <x:v>1772911.84</x:v>
      </x:c>
      <x:c r="G339" s="6" t="n">
        <x:v>1728392.46</x:v>
      </x:c>
      <x:c r="H339" s="6" t="n">
        <x:v>1765137.95</x:v>
      </x:c>
      <x:c r="I339" s="6" t="n">
        <x:v>871888.38</x:v>
      </x:c>
      <x:c r="J339" s="6" t="n">
        <x:v>829628.38</x:v>
      </x:c>
      <x:c r="K339" s="6" t="n">
        <x:v>850796.49</x:v>
      </x:c>
      <x:c r="L339" s="6" t="n">
        <x:v>487323.07</x:v>
      </x:c>
      <x:c r="M339" s="6" t="n">
        <x:v>466665.96</x:v>
      </x:c>
      <x:c r="N339" s="6" t="n">
        <x:v>483647.8</x:v>
      </x:c>
      <x:c r="O339" s="6" t="n">
        <x:v>3723114.86</x:v>
      </x:c>
      <x:c r="P339" s="6" t="n">
        <x:v>377938.98</x:v>
      </x:c>
      <x:c r="Q339" s="6" t="n">
        <x:v>103</x:v>
      </x:c>
      <x:c r="R339" s="6" t="n">
        <x:f>F339-I339</x:f>
        <x:v>901023.4600000001</x:v>
      </x:c>
      <x:c r="S339" s="6" t="n">
        <x:f>G339-J339</x:f>
        <x:v>898764.08</x:v>
      </x:c>
      <x:c r="T339" s="6" t="n">
        <x:f>R339-L339</x:f>
        <x:v>413700.3900000001</x:v>
      </x:c>
      <x:c r="U339" s="6" t="n">
        <x:f>S339-M339</x:f>
        <x:v>432098.11999999994</x:v>
      </x:c>
      <x:c r="V339" s="6" t="n">
        <x:f>F339-G339</x:f>
        <x:v>44519.38000000012</x:v>
      </x:c>
      <x:c r="W339" s="8" t="n">
        <x:f>IFERROR(V339/G339,0)</x:f>
        <x:v>0.025757680058382183</x:v>
      </x:c>
      <x:c r="X339" s="8" t="n">
        <x:f>IFERROR(T339/F339,0)</x:f>
        <x:v>0.23334515606822281</x:v>
      </x:c>
      <x:c r="Y339" s="8" t="n">
        <x:f>IFERROR(T339/O339,0)</x:f>
        <x:v>0.11111674110424842</x:v>
      </x:c>
    </x:row>
    <x:row r="340">
      <x:c r="A340" t="str">
        <x:v>2026-05-01</x:v>
      </x:c>
      <x:c r="B340" t="n">
        <x:v>2026</x:v>
      </x:c>
      <x:c r="C340" t="str">
        <x:v>Q2</x:v>
      </x:c>
      <x:c r="D340" t="str">
        <x:v>Enterprise</x:v>
      </x:c>
      <x:c r="E340" t="str">
        <x:v>West</x:v>
      </x:c>
      <x:c r="F340" s="6" t="n">
        <x:v>1812360.24</x:v>
      </x:c>
      <x:c r="G340" s="6" t="n">
        <x:v>1871481.7</x:v>
      </x:c>
      <x:c r="H340" s="6" t="n">
        <x:v>1863862.21</x:v>
      </x:c>
      <x:c r="I340" s="6" t="n">
        <x:v>857766.09</x:v>
      </x:c>
      <x:c r="J340" s="6" t="n">
        <x:v>898311.22</x:v>
      </x:c>
      <x:c r="K340" s="6" t="n">
        <x:v>898381.59</x:v>
      </x:c>
      <x:c r="L340" s="6" t="n">
        <x:v>502750.86</x:v>
      </x:c>
      <x:c r="M340" s="6" t="n">
        <x:v>505300.06</x:v>
      </x:c>
      <x:c r="N340" s="6" t="n">
        <x:v>510698.25</x:v>
      </x:c>
      <x:c r="O340" s="6" t="n">
        <x:v>3805956.49</x:v>
      </x:c>
      <x:c r="P340" s="6" t="n">
        <x:v>408667.5</x:v>
      </x:c>
      <x:c r="Q340" s="6" t="n">
        <x:v>111</x:v>
      </x:c>
      <x:c r="R340" s="6" t="n">
        <x:f>F340-I340</x:f>
        <x:v>954594.15</x:v>
      </x:c>
      <x:c r="S340" s="6" t="n">
        <x:f>G340-J340</x:f>
        <x:v>973170.48</x:v>
      </x:c>
      <x:c r="T340" s="6" t="n">
        <x:f>R340-L340</x:f>
        <x:v>451843.29000000004</x:v>
      </x:c>
      <x:c r="U340" s="6" t="n">
        <x:f>S340-M340</x:f>
        <x:v>467870.42</x:v>
      </x:c>
      <x:c r="V340" s="6" t="n">
        <x:f>F340-G340</x:f>
        <x:v>-59121.45999999996</x:v>
      </x:c>
      <x:c r="W340" s="8" t="n">
        <x:f>IFERROR(V340/G340,0)</x:f>
        <x:v>-0.03159072300840557</x:v>
      </x:c>
      <x:c r="X340" s="8" t="n">
        <x:f>IFERROR(T340/F340,0)</x:f>
        <x:v>0.24931207385127807</x:v>
      </x:c>
      <x:c r="Y340" s="8" t="n">
        <x:f>IFERROR(T340/O340,0)</x:f>
        <x:v>0.11872003560398033</x:v>
      </x:c>
    </x:row>
    <x:row r="341">
      <x:c r="A341" t="str">
        <x:v>2026-05-01</x:v>
      </x:c>
      <x:c r="B341" t="n">
        <x:v>2026</x:v>
      </x:c>
      <x:c r="C341" t="str">
        <x:v>Q2</x:v>
      </x:c>
      <x:c r="D341" t="str">
        <x:v>SMB</x:v>
      </x:c>
      <x:c r="E341" t="str">
        <x:v>East</x:v>
      </x:c>
      <x:c r="F341" s="6" t="n">
        <x:v>1093341.89</x:v>
      </x:c>
      <x:c r="G341" s="6" t="n">
        <x:v>1133882.26</x:v>
      </x:c>
      <x:c r="H341" s="6" t="n">
        <x:v>1153845.75</x:v>
      </x:c>
      <x:c r="I341" s="6" t="n">
        <x:v>582699.32</x:v>
      </x:c>
      <x:c r="J341" s="6" t="n">
        <x:v>612296.42</x:v>
      </x:c>
      <x:c r="K341" s="6" t="n">
        <x:v>625384.39</x:v>
      </x:c>
      <x:c r="L341" s="6" t="n">
        <x:v>312754.65</x:v>
      </x:c>
      <x:c r="M341" s="6" t="n">
        <x:v>328825.86</x:v>
      </x:c>
      <x:c r="N341" s="6" t="n">
        <x:v>339230.65</x:v>
      </x:c>
      <x:c r="O341" s="6" t="n">
        <x:v>1858681.21</x:v>
      </x:c>
      <x:c r="P341" s="6" t="n">
        <x:v>169141.61</x:v>
      </x:c>
      <x:c r="Q341" s="6" t="n">
        <x:v>82</x:v>
      </x:c>
      <x:c r="R341" s="6" t="n">
        <x:f>F341-I341</x:f>
        <x:v>510642.56999999995</x:v>
      </x:c>
      <x:c r="S341" s="6" t="n">
        <x:f>G341-J341</x:f>
        <x:v>521585.83999999997</x:v>
      </x:c>
      <x:c r="T341" s="6" t="n">
        <x:f>R341-L341</x:f>
        <x:v>197887.91999999993</x:v>
      </x:c>
      <x:c r="U341" s="6" t="n">
        <x:f>S341-M341</x:f>
        <x:v>192759.97999999998</x:v>
      </x:c>
      <x:c r="V341" s="6" t="n">
        <x:f>F341-G341</x:f>
        <x:v>-40540.37000000011</x:v>
      </x:c>
      <x:c r="W341" s="8" t="n">
        <x:f>IFERROR(V341/G341,0)</x:f>
        <x:v>-0.03575359755606381</x:v>
      </x:c>
      <x:c r="X341" s="8" t="n">
        <x:f>IFERROR(T341/F341,0)</x:f>
        <x:v>0.18099363228459117</x:v>
      </x:c>
      <x:c r="Y341" s="8" t="n">
        <x:f>IFERROR(T341/O341,0)</x:f>
        <x:v>0.1064668426921903</x:v>
      </x:c>
    </x:row>
    <x:row r="342">
      <x:c r="A342" t="str">
        <x:v>2026-05-01</x:v>
      </x:c>
      <x:c r="B342" t="n">
        <x:v>2026</x:v>
      </x:c>
      <x:c r="C342" t="str">
        <x:v>Q2</x:v>
      </x:c>
      <x:c r="D342" t="str">
        <x:v>SMB</x:v>
      </x:c>
      <x:c r="E342" t="str">
        <x:v>Central</x:v>
      </x:c>
      <x:c r="F342" s="6" t="n">
        <x:v>1050424</x:v>
      </x:c>
      <x:c r="G342" s="6" t="n">
        <x:v>1007734.32</x:v>
      </x:c>
      <x:c r="H342" s="6" t="n">
        <x:v>1001151.14</x:v>
      </x:c>
      <x:c r="I342" s="6" t="n">
        <x:v>575426.58</x:v>
      </x:c>
      <x:c r="J342" s="6" t="n">
        <x:v>544176.53</x:v>
      </x:c>
      <x:c r="K342" s="6" t="n">
        <x:v>542623.92</x:v>
      </x:c>
      <x:c r="L342" s="6" t="n">
        <x:v>314842.7</x:v>
      </x:c>
      <x:c r="M342" s="6" t="n">
        <x:v>292242.95</x:v>
      </x:c>
      <x:c r="N342" s="6" t="n">
        <x:v>294338.43</x:v>
      </x:c>
      <x:c r="O342" s="6" t="n">
        <x:v>1785720.81</x:v>
      </x:c>
      <x:c r="P342" s="6" t="n">
        <x:v>133211.91</x:v>
      </x:c>
      <x:c r="Q342" s="6" t="n">
        <x:v>73</x:v>
      </x:c>
      <x:c r="R342" s="6" t="n">
        <x:f>F342-I342</x:f>
        <x:v>474997.42000000004</x:v>
      </x:c>
      <x:c r="S342" s="6" t="n">
        <x:f>G342-J342</x:f>
        <x:v>463557.7899999999</x:v>
      </x:c>
      <x:c r="T342" s="6" t="n">
        <x:f>R342-L342</x:f>
        <x:v>160154.72000000003</x:v>
      </x:c>
      <x:c r="U342" s="6" t="n">
        <x:f>S342-M342</x:f>
        <x:v>171314.8399999999</x:v>
      </x:c>
      <x:c r="V342" s="6" t="n">
        <x:f>F342-G342</x:f>
        <x:v>42689.68000000005</x:v>
      </x:c>
      <x:c r="W342" s="8" t="n">
        <x:f>IFERROR(V342/G342,0)</x:f>
        <x:v>0.0423620384388616</x:v>
      </x:c>
      <x:c r="X342" s="8" t="n">
        <x:f>IFERROR(T342/F342,0)</x:f>
        <x:v>0.15246673724134258</x:v>
      </x:c>
      <x:c r="Y342" s="8" t="n">
        <x:f>IFERROR(T342/O342,0)</x:f>
        <x:v>0.08968631552207762</x:v>
      </x:c>
    </x:row>
    <x:row r="343">
      <x:c r="A343" t="str">
        <x:v>2026-05-01</x:v>
      </x:c>
      <x:c r="B343" t="n">
        <x:v>2026</x:v>
      </x:c>
      <x:c r="C343" t="str">
        <x:v>Q2</x:v>
      </x:c>
      <x:c r="D343" t="str">
        <x:v>SMB</x:v>
      </x:c>
      <x:c r="E343" t="str">
        <x:v>West</x:v>
      </x:c>
      <x:c r="F343" s="6" t="n">
        <x:v>1124030.04</x:v>
      </x:c>
      <x:c r="G343" s="6" t="n">
        <x:v>1078778.11</x:v>
      </x:c>
      <x:c r="H343" s="6" t="n">
        <x:v>1078760.2</x:v>
      </x:c>
      <x:c r="I343" s="6" t="n">
        <x:v>621456.55</x:v>
      </x:c>
      <x:c r="J343" s="6" t="n">
        <x:v>582540.18</x:v>
      </x:c>
      <x:c r="K343" s="6" t="n">
        <x:v>584688.03</x:v>
      </x:c>
      <x:c r="L343" s="6" t="n">
        <x:v>312997.42</x:v>
      </x:c>
      <x:c r="M343" s="6" t="n">
        <x:v>312845.65</x:v>
      </x:c>
      <x:c r="N343" s="6" t="n">
        <x:v>317155.5</x:v>
      </x:c>
      <x:c r="O343" s="6" t="n">
        <x:v>1910851.06</x:v>
      </x:c>
      <x:c r="P343" s="6" t="n">
        <x:v>172027.38</x:v>
      </x:c>
      <x:c r="Q343" s="6" t="n">
        <x:v>79</x:v>
      </x:c>
      <x:c r="R343" s="6" t="n">
        <x:f>F343-I343</x:f>
        <x:v>502573.49</x:v>
      </x:c>
      <x:c r="S343" s="6" t="n">
        <x:f>G343-J343</x:f>
        <x:v>496237.93000000005</x:v>
      </x:c>
      <x:c r="T343" s="6" t="n">
        <x:f>R343-L343</x:f>
        <x:v>189576.07</x:v>
      </x:c>
      <x:c r="U343" s="6" t="n">
        <x:f>S343-M343</x:f>
        <x:v>183392.28000000003</x:v>
      </x:c>
      <x:c r="V343" s="6" t="n">
        <x:f>F343-G343</x:f>
        <x:v>45251.929999999935</x:v>
      </x:c>
      <x:c r="W343" s="8" t="n">
        <x:f>IFERROR(V343/G343,0)</x:f>
        <x:v>0.041947393611833604</x:v>
      </x:c>
      <x:c r="X343" s="8" t="n">
        <x:f>IFERROR(T343/F343,0)</x:f>
        <x:v>0.16865747644965076</x:v>
      </x:c>
      <x:c r="Y343" s="8" t="n">
        <x:f>IFERROR(T343/O343,0)</x:f>
        <x:v>0.09921028067985581</x:v>
      </x:c>
    </x:row>
    <x:row r="344">
      <x:c r="A344" t="str">
        <x:v>2026-05-01</x:v>
      </x:c>
      <x:c r="B344" t="n">
        <x:v>2026</x:v>
      </x:c>
      <x:c r="C344" t="str">
        <x:v>Q2</x:v>
      </x:c>
      <x:c r="D344" t="str">
        <x:v>Digital</x:v>
      </x:c>
      <x:c r="E344" t="str">
        <x:v>East</x:v>
      </x:c>
      <x:c r="F344" s="6" t="n">
        <x:v>803773.66</x:v>
      </x:c>
      <x:c r="G344" s="6" t="n">
        <x:v>831434.12</x:v>
      </x:c>
      <x:c r="H344" s="6" t="n">
        <x:v>856361.13</x:v>
      </x:c>
      <x:c r="I344" s="6" t="n">
        <x:v>289721.78</x:v>
      </x:c>
      <x:c r="J344" s="6" t="n">
        <x:v>299316.28</x:v>
      </x:c>
      <x:c r="K344" s="6" t="n">
        <x:v>310002.73</x:v>
      </x:c>
      <x:c r="L344" s="6" t="n">
        <x:v>269487.46</x:v>
      </x:c>
      <x:c r="M344" s="6" t="n">
        <x:v>282687.6</x:v>
      </x:c>
      <x:c r="N344" s="6" t="n">
        <x:v>294588.23</x:v>
      </x:c>
      <x:c r="O344" s="6" t="n">
        <x:v>1125283.12</x:v>
      </x:c>
      <x:c r="P344" s="6" t="n">
        <x:v>205649.4</x:v>
      </x:c>
      <x:c r="Q344" s="6" t="n">
        <x:v>59</x:v>
      </x:c>
      <x:c r="R344" s="6" t="n">
        <x:f>F344-I344</x:f>
        <x:v>514051.88</x:v>
      </x:c>
      <x:c r="S344" s="6" t="n">
        <x:f>G344-J344</x:f>
        <x:v>532117.84</x:v>
      </x:c>
      <x:c r="T344" s="6" t="n">
        <x:f>R344-L344</x:f>
        <x:v>244564.41999999998</x:v>
      </x:c>
      <x:c r="U344" s="6" t="n">
        <x:f>S344-M344</x:f>
        <x:v>249430.24</x:v>
      </x:c>
      <x:c r="V344" s="6" t="n">
        <x:f>F344-G344</x:f>
        <x:v>-27660.459999999963</x:v>
      </x:c>
      <x:c r="W344" s="8" t="n">
        <x:f>IFERROR(V344/G344,0)</x:f>
        <x:v>-0.033268372483919666</x:v>
      </x:c>
      <x:c r="X344" s="8" t="n">
        <x:f>IFERROR(T344/F344,0)</x:f>
        <x:v>0.3042702593662997</x:v>
      </x:c>
      <x:c r="Y344" s="8" t="n">
        <x:f>IFERROR(T344/O344,0)</x:f>
        <x:v>0.21733590031991235</x:v>
      </x:c>
    </x:row>
    <x:row r="345">
      <x:c r="A345" t="str">
        <x:v>2026-05-01</x:v>
      </x:c>
      <x:c r="B345" t="n">
        <x:v>2026</x:v>
      </x:c>
      <x:c r="C345" t="str">
        <x:v>Q2</x:v>
      </x:c>
      <x:c r="D345" t="str">
        <x:v>Digital</x:v>
      </x:c>
      <x:c r="E345" t="str">
        <x:v>Central</x:v>
      </x:c>
      <x:c r="F345" s="6" t="n">
        <x:v>761491.18</x:v>
      </x:c>
      <x:c r="G345" s="6" t="n">
        <x:v>727646.42</x:v>
      </x:c>
      <x:c r="H345" s="6" t="n">
        <x:v>734809.06</x:v>
      </x:c>
      <x:c r="I345" s="6" t="n">
        <x:v>280353.15</x:v>
      </x:c>
      <x:c r="J345" s="6" t="n">
        <x:v>261952.71</x:v>
      </x:c>
      <x:c r="K345" s="6" t="n">
        <x:v>266000.88</x:v>
      </x:c>
      <x:c r="L345" s="6" t="n">
        <x:v>258465.22</x:v>
      </x:c>
      <x:c r="M345" s="6" t="n">
        <x:v>247399.78</x:v>
      </x:c>
      <x:c r="N345" s="6" t="n">
        <x:v>252774.32</x:v>
      </x:c>
      <x:c r="O345" s="6" t="n">
        <x:v>1066087.65</x:v>
      </x:c>
      <x:c r="P345" s="6" t="n">
        <x:v>184090.29</x:v>
      </x:c>
      <x:c r="Q345" s="6" t="n">
        <x:v>53</x:v>
      </x:c>
      <x:c r="R345" s="6" t="n">
        <x:f>F345-I345</x:f>
        <x:v>481138.03</x:v>
      </x:c>
      <x:c r="S345" s="6" t="n">
        <x:f>G345-J345</x:f>
        <x:v>465693.7100000001</x:v>
      </x:c>
      <x:c r="T345" s="6" t="n">
        <x:f>R345-L345</x:f>
        <x:v>222672.81000000003</x:v>
      </x:c>
      <x:c r="U345" s="6" t="n">
        <x:f>S345-M345</x:f>
        <x:v>218293.93000000008</x:v>
      </x:c>
      <x:c r="V345" s="6" t="n">
        <x:f>F345-G345</x:f>
        <x:v>33844.76000000001</x:v>
      </x:c>
      <x:c r="W345" s="8" t="n">
        <x:f>IFERROR(V345/G345,0)</x:f>
        <x:v>0.04651264552363222</x:v>
      </x:c>
      <x:c r="X345" s="8" t="n">
        <x:f>IFERROR(T345/F345,0)</x:f>
        <x:v>0.2924167946370699</x:v>
      </x:c>
      <x:c r="Y345" s="8" t="n">
        <x:f>IFERROR(T345/O345,0)</x:f>
        <x:v>0.20886913941832086</x:v>
      </x:c>
    </x:row>
    <x:row r="346">
      <x:c r="A346" t="str">
        <x:v>2026-05-01</x:v>
      </x:c>
      <x:c r="B346" t="n">
        <x:v>2026</x:v>
      </x:c>
      <x:c r="C346" t="str">
        <x:v>Q2</x:v>
      </x:c>
      <x:c r="D346" t="str">
        <x:v>Digital</x:v>
      </x:c>
      <x:c r="E346" t="str">
        <x:v>West</x:v>
      </x:c>
      <x:c r="F346" s="6" t="n">
        <x:v>770693.16</x:v>
      </x:c>
      <x:c r="G346" s="6" t="n">
        <x:v>785494.89</x:v>
      </x:c>
      <x:c r="H346" s="6" t="n">
        <x:v>791839.14</x:v>
      </x:c>
      <x:c r="I346" s="6" t="n">
        <x:v>278165.67</x:v>
      </x:c>
      <x:c r="J346" s="6" t="n">
        <x:v>282778.16</x:v>
      </x:c>
      <x:c r="K346" s="6" t="n">
        <x:v>286645.77</x:v>
      </x:c>
      <x:c r="L346" s="6" t="n">
        <x:v>255067.26</x:v>
      </x:c>
      <x:c r="M346" s="6" t="n">
        <x:v>267068.26</x:v>
      </x:c>
      <x:c r="N346" s="6" t="n">
        <x:v>272392.66</x:v>
      </x:c>
      <x:c r="O346" s="6" t="n">
        <x:v>1078970.42</x:v>
      </x:c>
      <x:c r="P346" s="6" t="n">
        <x:v>217576.19</x:v>
      </x:c>
      <x:c r="Q346" s="6" t="n">
        <x:v>57</x:v>
      </x:c>
      <x:c r="R346" s="6" t="n">
        <x:f>F346-I346</x:f>
        <x:v>492527.49000000005</x:v>
      </x:c>
      <x:c r="S346" s="6" t="n">
        <x:f>G346-J346</x:f>
        <x:v>502716.73000000004</x:v>
      </x:c>
      <x:c r="T346" s="6" t="n">
        <x:f>R346-L346</x:f>
        <x:v>237460.23000000004</x:v>
      </x:c>
      <x:c r="U346" s="6" t="n">
        <x:f>S346-M346</x:f>
        <x:v>235648.47000000003</x:v>
      </x:c>
      <x:c r="V346" s="6" t="n">
        <x:f>F346-G346</x:f>
        <x:v>-14801.729999999981</x:v>
      </x:c>
      <x:c r="W346" s="8" t="n">
        <x:f>IFERROR(V346/G346,0)</x:f>
        <x:v>-0.018843827233554607</x:v>
      </x:c>
      <x:c r="X346" s="8" t="n">
        <x:f>IFERROR(T346/F346,0)</x:f>
        <x:v>0.3081125437781231</x:v>
      </x:c>
      <x:c r="Y346" s="8" t="n">
        <x:f>IFERROR(T346/O346,0)</x:f>
        <x:v>0.22008038922883544</x:v>
      </x:c>
    </x:row>
    <x:row r="347">
      <x:c r="A347" t="str">
        <x:v>2026-05-01</x:v>
      </x:c>
      <x:c r="B347" t="n">
        <x:v>2026</x:v>
      </x:c>
      <x:c r="C347" t="str">
        <x:v>Q2</x:v>
      </x:c>
      <x:c r="D347" t="str">
        <x:v>Services</x:v>
      </x:c>
      <x:c r="E347" t="str">
        <x:v>East</x:v>
      </x:c>
      <x:c r="F347" s="6" t="n">
        <x:v>627234.47</x:v>
      </x:c>
      <x:c r="G347" s="6" t="n">
        <x:v>603706.16</x:v>
      </x:c>
      <x:c r="H347" s="6" t="n">
        <x:v>619489.98</x:v>
      </x:c>
      <x:c r="I347" s="6" t="n">
        <x:v>261957.16</x:v>
      </x:c>
      <x:c r="J347" s="6" t="n">
        <x:v>253556.59</x:v>
      </x:c>
      <x:c r="K347" s="6" t="n">
        <x:v>261424.77</x:v>
      </x:c>
      <x:c r="L347" s="6" t="n">
        <x:v>194704.81</x:v>
      </x:c>
      <x:c r="M347" s="6" t="n">
        <x:v>187148.91</x:v>
      </x:c>
      <x:c r="N347" s="6" t="n">
        <x:v>194519.85</x:v>
      </x:c>
      <x:c r="O347" s="6" t="n">
        <x:v>1003575.15</x:v>
      </x:c>
      <x:c r="P347" s="6" t="n">
        <x:v>142002.45</x:v>
      </x:c>
      <x:c r="Q347" s="6" t="n">
        <x:v>54</x:v>
      </x:c>
      <x:c r="R347" s="6" t="n">
        <x:f>F347-I347</x:f>
        <x:v>365277.30999999994</x:v>
      </x:c>
      <x:c r="S347" s="6" t="n">
        <x:f>G347-J347</x:f>
        <x:v>350149.57000000007</x:v>
      </x:c>
      <x:c r="T347" s="6" t="n">
        <x:f>R347-L347</x:f>
        <x:v>170572.49999999994</x:v>
      </x:c>
      <x:c r="U347" s="6" t="n">
        <x:f>S347-M347</x:f>
        <x:v>163000.66000000006</x:v>
      </x:c>
      <x:c r="V347" s="6" t="n">
        <x:f>F347-G347</x:f>
        <x:v>23528.30999999994</x:v>
      </x:c>
      <x:c r="W347" s="8" t="n">
        <x:f>IFERROR(V347/G347,0)</x:f>
        <x:v>0.038973115662758746</x:v>
      </x:c>
      <x:c r="X347" s="8" t="n">
        <x:f>IFERROR(T347/F347,0)</x:f>
        <x:v>0.2719437597235368</x:v>
      </x:c>
      <x:c r="Y347" s="8" t="n">
        <x:f>IFERROR(T347/O347,0)</x:f>
        <x:v>0.16996485016592922</x:v>
      </x:c>
    </x:row>
    <x:row r="348">
      <x:c r="A348" t="str">
        <x:v>2026-05-01</x:v>
      </x:c>
      <x:c r="B348" t="n">
        <x:v>2026</x:v>
      </x:c>
      <x:c r="C348" t="str">
        <x:v>Q2</x:v>
      </x:c>
      <x:c r="D348" t="str">
        <x:v>Services</x:v>
      </x:c>
      <x:c r="E348" t="str">
        <x:v>Central</x:v>
      </x:c>
      <x:c r="F348" s="6" t="n">
        <x:v>520120.83</x:v>
      </x:c>
      <x:c r="G348" s="6" t="n">
        <x:v>536432.53</x:v>
      </x:c>
      <x:c r="H348" s="6" t="n">
        <x:v>534680.99</x:v>
      </x:c>
      <x:c r="I348" s="6" t="n">
        <x:v>224850.17</x:v>
      </x:c>
      <x:c r="J348" s="6" t="n">
        <x:v>225301.66</x:v>
      </x:c>
      <x:c r="K348" s="6" t="n">
        <x:v>225635.38</x:v>
      </x:c>
      <x:c r="L348" s="6" t="n">
        <x:v>164032.74</x:v>
      </x:c>
      <x:c r="M348" s="6" t="n">
        <x:v>166294.08</x:v>
      </x:c>
      <x:c r="N348" s="6" t="n">
        <x:v>167889.83</x:v>
      </x:c>
      <x:c r="O348" s="6" t="n">
        <x:v>832193.34</x:v>
      </x:c>
      <x:c r="P348" s="6" t="n">
        <x:v>105451.72</x:v>
      </x:c>
      <x:c r="Q348" s="6" t="n">
        <x:v>48</x:v>
      </x:c>
      <x:c r="R348" s="6" t="n">
        <x:f>F348-I348</x:f>
        <x:v>295270.66000000003</x:v>
      </x:c>
      <x:c r="S348" s="6" t="n">
        <x:f>G348-J348</x:f>
        <x:v>311130.87</x:v>
      </x:c>
      <x:c r="T348" s="6" t="n">
        <x:f>R348-L348</x:f>
        <x:v>131237.92000000004</x:v>
      </x:c>
      <x:c r="U348" s="6" t="n">
        <x:f>S348-M348</x:f>
        <x:v>144836.79</x:v>
      </x:c>
      <x:c r="V348" s="6" t="n">
        <x:f>F348-G348</x:f>
        <x:v>-16311.700000000012</x:v>
      </x:c>
      <x:c r="W348" s="8" t="n">
        <x:f>IFERROR(V348/G348,0)</x:f>
        <x:v>-0.030407738322655434</x:v>
      </x:c>
      <x:c r="X348" s="8" t="n">
        <x:f>IFERROR(T348/F348,0)</x:f>
        <x:v>0.2523219844896426</x:v>
      </x:c>
      <x:c r="Y348" s="8" t="n">
        <x:f>IFERROR(T348/O348,0)</x:f>
        <x:v>0.15770123803201797</x:v>
      </x:c>
    </x:row>
    <x:row r="349">
      <x:c r="A349" t="str">
        <x:v>2026-05-01</x:v>
      </x:c>
      <x:c r="B349" t="n">
        <x:v>2026</x:v>
      </x:c>
      <x:c r="C349" t="str">
        <x:v>Q2</x:v>
      </x:c>
      <x:c r="D349" t="str">
        <x:v>Services</x:v>
      </x:c>
      <x:c r="E349" t="str">
        <x:v>West</x:v>
      </x:c>
      <x:c r="F349" s="6" t="n">
        <x:v>568268.97</x:v>
      </x:c>
      <x:c r="G349" s="6" t="n">
        <x:v>575178.86</x:v>
      </x:c>
      <x:c r="H349" s="6" t="n">
        <x:v>576382.59</x:v>
      </x:c>
      <x:c r="I349" s="6" t="n">
        <x:v>244166.67</x:v>
      </x:c>
      <x:c r="J349" s="6" t="n">
        <x:v>241575.12</x:v>
      </x:c>
      <x:c r="K349" s="6" t="n">
        <x:v>243233.45</x:v>
      </x:c>
      <x:c r="L349" s="6" t="n">
        <x:v>177856.28</x:v>
      </x:c>
      <x:c r="M349" s="6" t="n">
        <x:v>178305.45</x:v>
      </x:c>
      <x:c r="N349" s="6" t="n">
        <x:v>180984.13</x:v>
      </x:c>
      <x:c r="O349" s="6" t="n">
        <x:v>909230.35</x:v>
      </x:c>
      <x:c r="P349" s="6" t="n">
        <x:v>124443.9</x:v>
      </x:c>
      <x:c r="Q349" s="6" t="n">
        <x:v>52</x:v>
      </x:c>
      <x:c r="R349" s="6" t="n">
        <x:f>F349-I349</x:f>
        <x:v>324102.29999999993</x:v>
      </x:c>
      <x:c r="S349" s="6" t="n">
        <x:f>G349-J349</x:f>
        <x:v>333603.74</x:v>
      </x:c>
      <x:c r="T349" s="6" t="n">
        <x:f>R349-L349</x:f>
        <x:v>146246.01999999993</x:v>
      </x:c>
      <x:c r="U349" s="6" t="n">
        <x:f>S349-M349</x:f>
        <x:v>155298.28999999998</x:v>
      </x:c>
      <x:c r="V349" s="6" t="n">
        <x:f>F349-G349</x:f>
        <x:v>-6909.890000000014</x:v>
      </x:c>
      <x:c r="W349" s="8" t="n">
        <x:f>IFERROR(V349/G349,0)</x:f>
        <x:v>-0.012013463081727334</x:v>
      </x:c>
      <x:c r="X349" s="8" t="n">
        <x:f>IFERROR(T349/F349,0)</x:f>
        <x:v>0.25735352046408577</x:v>
      </x:c>
      <x:c r="Y349" s="8" t="n">
        <x:f>IFERROR(T349/O349,0)</x:f>
        <x:v>0.16084595064386042</x:v>
      </x:c>
    </x:row>
    <x:row r="350">
      <x:c r="A350" t="str">
        <x:v>2026-06-01</x:v>
      </x:c>
      <x:c r="B350" t="n">
        <x:v>2026</x:v>
      </x:c>
      <x:c r="C350" t="str">
        <x:v>Q2</x:v>
      </x:c>
      <x:c r="D350" t="str">
        <x:v>Enterprise</x:v>
      </x:c>
      <x:c r="E350" t="str">
        <x:v>East</x:v>
      </x:c>
      <x:c r="F350" s="6" t="n">
        <x:v>1940384.75</x:v>
      </x:c>
      <x:c r="G350" s="6" t="n">
        <x:v>1929324.56</x:v>
      </x:c>
      <x:c r="H350" s="6" t="n">
        <x:v>1971714.98</x:v>
      </x:c>
      <x:c r="I350" s="6" t="n">
        <x:v>956860.41</x:v>
      </x:c>
      <x:c r="J350" s="6" t="n">
        <x:v>926075.79</x:v>
      </x:c>
      <x:c r="K350" s="6" t="n">
        <x:v>950366.62</x:v>
      </x:c>
      <x:c r="L350" s="6" t="n">
        <x:v>537973.29</x:v>
      </x:c>
      <x:c r="M350" s="6" t="n">
        <x:v>520917.63</x:v>
      </x:c>
      <x:c r="N350" s="6" t="n">
        <x:v>540249.9</x:v>
      </x:c>
      <x:c r="O350" s="6" t="n">
        <x:v>4074807.98</x:v>
      </x:c>
      <x:c r="P350" s="6" t="n">
        <x:v>364513.83</x:v>
      </x:c>
      <x:c r="Q350" s="6" t="n">
        <x:v>116</x:v>
      </x:c>
      <x:c r="R350" s="6" t="n">
        <x:f>F350-I350</x:f>
        <x:v>983524.34</x:v>
      </x:c>
      <x:c r="S350" s="6" t="n">
        <x:f>G350-J350</x:f>
        <x:v>1003248.77</x:v>
      </x:c>
      <x:c r="T350" s="6" t="n">
        <x:f>R350-L350</x:f>
        <x:v>445551.04999999993</x:v>
      </x:c>
      <x:c r="U350" s="6" t="n">
        <x:f>S350-M350</x:f>
        <x:v>482331.14</x:v>
      </x:c>
      <x:c r="V350" s="6" t="n">
        <x:f>F350-G350</x:f>
        <x:v>11060.189999999944</x:v>
      </x:c>
      <x:c r="W350" s="8" t="n">
        <x:f>IFERROR(V350/G350,0)</x:f>
        <x:v>0.005732674651692582</x:v>
      </x:c>
      <x:c r="X350" s="8" t="n">
        <x:f>IFERROR(T350/F350,0)</x:f>
        <x:v>0.22961995037324423</x:v>
      </x:c>
      <x:c r="Y350" s="8" t="n">
        <x:f>IFERROR(T350/O350,0)</x:f>
        <x:v>0.10934283337689937</x:v>
      </x:c>
    </x:row>
    <x:row r="351">
      <x:c r="A351" t="str">
        <x:v>2026-06-01</x:v>
      </x:c>
      <x:c r="B351" t="n">
        <x:v>2026</x:v>
      </x:c>
      <x:c r="C351" t="str">
        <x:v>Q2</x:v>
      </x:c>
      <x:c r="D351" t="str">
        <x:v>Enterprise</x:v>
      </x:c>
      <x:c r="E351" t="str">
        <x:v>Central</x:v>
      </x:c>
      <x:c r="F351" s="6" t="n">
        <x:v>1801764.13</x:v>
      </x:c>
      <x:c r="G351" s="6" t="n">
        <x:v>1700583.58</x:v>
      </x:c>
      <x:c r="H351" s="6" t="n">
        <x:v>1688028.09</x:v>
      </x:c>
      <x:c r="I351" s="6" t="n">
        <x:v>876969.33</x:v>
      </x:c>
      <x:c r="J351" s="6" t="n">
        <x:v>816280.12</x:v>
      </x:c>
      <x:c r="K351" s="6" t="n">
        <x:v>813629.54</x:v>
      </x:c>
      <x:c r="L351" s="6" t="n">
        <x:v>491250.07</x:v>
      </x:c>
      <x:c r="M351" s="6" t="n">
        <x:v>459157.57</x:v>
      </x:c>
      <x:c r="N351" s="6" t="n">
        <x:v>462519.7</x:v>
      </x:c>
      <x:c r="O351" s="6" t="n">
        <x:v>3783704.68</x:v>
      </x:c>
      <x:c r="P351" s="6" t="n">
        <x:v>391655.59</x:v>
      </x:c>
      <x:c r="Q351" s="6" t="n">
        <x:v>104</x:v>
      </x:c>
      <x:c r="R351" s="6" t="n">
        <x:f>F351-I351</x:f>
        <x:v>924794.7999999999</x:v>
      </x:c>
      <x:c r="S351" s="6" t="n">
        <x:f>G351-J351</x:f>
        <x:v>884303.4600000001</x:v>
      </x:c>
      <x:c r="T351" s="6" t="n">
        <x:f>R351-L351</x:f>
        <x:v>433544.7299999999</x:v>
      </x:c>
      <x:c r="U351" s="6" t="n">
        <x:f>S351-M351</x:f>
        <x:v>425145.8900000001</x:v>
      </x:c>
      <x:c r="V351" s="6" t="n">
        <x:f>F351-G351</x:f>
        <x:v>101180.54999999981</x:v>
      </x:c>
      <x:c r="W351" s="8" t="n">
        <x:f>IFERROR(V351/G351,0)</x:f>
        <x:v>0.05949754613060524</x:v>
      </x:c>
      <x:c r="X351" s="8" t="n">
        <x:f>IFERROR(T351/F351,0)</x:f>
        <x:v>0.24062235604612683</x:v>
      </x:c>
      <x:c r="Y351" s="8" t="n">
        <x:f>IFERROR(T351/O351,0)</x:f>
        <x:v>0.11458207409569816</x:v>
      </x:c>
    </x:row>
    <x:row r="352">
      <x:c r="A352" t="str">
        <x:v>2026-06-01</x:v>
      </x:c>
      <x:c r="B352" t="n">
        <x:v>2026</x:v>
      </x:c>
      <x:c r="C352" t="str">
        <x:v>Q2</x:v>
      </x:c>
      <x:c r="D352" t="str">
        <x:v>Enterprise</x:v>
      </x:c>
      <x:c r="E352" t="str">
        <x:v>West</x:v>
      </x:c>
      <x:c r="F352" s="6" t="n">
        <x:v>1929568.03</x:v>
      </x:c>
      <x:c r="G352" s="6" t="n">
        <x:v>1847924.96</x:v>
      </x:c>
      <x:c r="H352" s="6" t="n">
        <x:v>1825090.05</x:v>
      </x:c>
      <x:c r="I352" s="6" t="n">
        <x:v>904734.74</x:v>
      </x:c>
      <x:c r="J352" s="6" t="n">
        <x:v>887003.98</x:v>
      </x:c>
      <x:c r="K352" s="6" t="n">
        <x:v>879693.4</x:v>
      </x:c>
      <x:c r="L352" s="6" t="n">
        <x:v>546841.36</x:v>
      </x:c>
      <x:c r="M352" s="6" t="n">
        <x:v>498939.74</x:v>
      </x:c>
      <x:c r="N352" s="6" t="n">
        <x:v>500074.67</x:v>
      </x:c>
      <x:c r="O352" s="6" t="n">
        <x:v>4052092.87</x:v>
      </x:c>
      <x:c r="P352" s="6" t="n">
        <x:v>434512.66</x:v>
      </x:c>
      <x:c r="Q352" s="6" t="n">
        <x:v>111</x:v>
      </x:c>
      <x:c r="R352" s="6" t="n">
        <x:f>F352-I352</x:f>
        <x:v>1024833.29</x:v>
      </x:c>
      <x:c r="S352" s="6" t="n">
        <x:f>G352-J352</x:f>
        <x:v>960920.98</x:v>
      </x:c>
      <x:c r="T352" s="6" t="n">
        <x:f>R352-L352</x:f>
        <x:v>477991.93000000005</x:v>
      </x:c>
      <x:c r="U352" s="6" t="n">
        <x:f>S352-M352</x:f>
        <x:v>461981.24</x:v>
      </x:c>
      <x:c r="V352" s="6" t="n">
        <x:f>F352-G352</x:f>
        <x:v>81643.07000000007</x:v>
      </x:c>
      <x:c r="W352" s="8" t="n">
        <x:f>IFERROR(V352/G352,0)</x:f>
        <x:v>0.04418094444700832</x:v>
      </x:c>
      <x:c r="X352" s="8" t="n">
        <x:f>IFERROR(T352/F352,0)</x:f>
        <x:v>0.24771965671508356</x:v>
      </x:c>
      <x:c r="Y352" s="8" t="n">
        <x:f>IFERROR(T352/O352,0)</x:f>
        <x:v>0.11796174108911774</x:v>
      </x:c>
    </x:row>
    <x:row r="353">
      <x:c r="A353" t="str">
        <x:v>2026-06-01</x:v>
      </x:c>
      <x:c r="B353" t="n">
        <x:v>2026</x:v>
      </x:c>
      <x:c r="C353" t="str">
        <x:v>Q2</x:v>
      </x:c>
      <x:c r="D353" t="str">
        <x:v>SMB</x:v>
      </x:c>
      <x:c r="E353" t="str">
        <x:v>East</x:v>
      </x:c>
      <x:c r="F353" s="6" t="n">
        <x:v>1160332.05</x:v>
      </x:c>
      <x:c r="G353" s="6" t="n">
        <x:v>1114167.75</x:v>
      </x:c>
      <x:c r="H353" s="6" t="n">
        <x:v>1118131.57</x:v>
      </x:c>
      <x:c r="I353" s="6" t="n">
        <x:v>638073.75</x:v>
      </x:c>
      <x:c r="J353" s="6" t="n">
        <x:v>601650.59</x:v>
      </x:c>
      <x:c r="K353" s="6" t="n">
        <x:v>606027.31</x:v>
      </x:c>
      <x:c r="L353" s="6" t="n">
        <x:v>330628.5</x:v>
      </x:c>
      <x:c r="M353" s="6" t="n">
        <x:v>323108.65</x:v>
      </x:c>
      <x:c r="N353" s="6" t="n">
        <x:v>328730.68</x:v>
      </x:c>
      <x:c r="O353" s="6" t="n">
        <x:v>1972564.49</x:v>
      </x:c>
      <x:c r="P353" s="6" t="n">
        <x:v>165076.42</x:v>
      </x:c>
      <x:c r="Q353" s="6" t="n">
        <x:v>82</x:v>
      </x:c>
      <x:c r="R353" s="6" t="n">
        <x:f>F353-I353</x:f>
        <x:v>522258.30000000005</x:v>
      </x:c>
      <x:c r="S353" s="6" t="n">
        <x:f>G353-J353</x:f>
        <x:v>512517.16000000003</x:v>
      </x:c>
      <x:c r="T353" s="6" t="n">
        <x:f>R353-L353</x:f>
        <x:v>191629.80000000005</x:v>
      </x:c>
      <x:c r="U353" s="6" t="n">
        <x:f>S353-M353</x:f>
        <x:v>189408.51</x:v>
      </x:c>
      <x:c r="V353" s="6" t="n">
        <x:f>F353-G353</x:f>
        <x:v>46164.30000000005</x:v>
      </x:c>
      <x:c r="W353" s="8" t="n">
        <x:f>IFERROR(V353/G353,0)</x:f>
        <x:v>0.04143388641432141</x:v>
      </x:c>
      <x:c r="X353" s="8" t="n">
        <x:f>IFERROR(T353/F353,0)</x:f>
        <x:v>0.16515082902346792</x:v>
      </x:c>
      <x:c r="Y353" s="8" t="n">
        <x:f>IFERROR(T353/O353,0)</x:f>
        <x:v>0.09714754623814609</x:v>
      </x:c>
    </x:row>
    <x:row r="354">
      <x:c r="A354" t="str">
        <x:v>2026-06-01</x:v>
      </x:c>
      <x:c r="B354" t="n">
        <x:v>2026</x:v>
      </x:c>
      <x:c r="C354" t="str">
        <x:v>Q2</x:v>
      </x:c>
      <x:c r="D354" t="str">
        <x:v>SMB</x:v>
      </x:c>
      <x:c r="E354" t="str">
        <x:v>Central</x:v>
      </x:c>
      <x:c r="F354" s="6" t="n">
        <x:v>993050.65</x:v>
      </x:c>
      <x:c r="G354" s="6" t="n">
        <x:v>977822.73</x:v>
      </x:c>
      <x:c r="H354" s="6" t="n">
        <x:v>979576.97</x:v>
      </x:c>
      <x:c r="I354" s="6" t="n">
        <x:v>540282.83</x:v>
      </x:c>
      <x:c r="J354" s="6" t="n">
        <x:v>528024.27</x:v>
      </x:c>
      <x:c r="K354" s="6" t="n">
        <x:v>530930.72</x:v>
      </x:c>
      <x:c r="L354" s="6" t="n">
        <x:v>295931.72</x:v>
      </x:c>
      <x:c r="M354" s="6" t="n">
        <x:v>283568.59</x:v>
      </x:c>
      <x:c r="N354" s="6" t="n">
        <x:v>287995.63</x:v>
      </x:c>
      <x:c r="O354" s="6" t="n">
        <x:v>1688186.1</x:v>
      </x:c>
      <x:c r="P354" s="6" t="n">
        <x:v>132260.5</x:v>
      </x:c>
      <x:c r="Q354" s="6" t="n">
        <x:v>73</x:v>
      </x:c>
      <x:c r="R354" s="6" t="n">
        <x:f>F354-I354</x:f>
        <x:v>452767.82000000007</x:v>
      </x:c>
      <x:c r="S354" s="6" t="n">
        <x:f>G354-J354</x:f>
        <x:v>449798.45999999996</x:v>
      </x:c>
      <x:c r="T354" s="6" t="n">
        <x:f>R354-L354</x:f>
        <x:v>156836.1000000001</x:v>
      </x:c>
      <x:c r="U354" s="6" t="n">
        <x:f>S354-M354</x:f>
        <x:v>166229.86999999994</x:v>
      </x:c>
      <x:c r="V354" s="6" t="n">
        <x:f>F354-G354</x:f>
        <x:v>15227.920000000042</x:v>
      </x:c>
      <x:c r="W354" s="8" t="n">
        <x:f>IFERROR(V354/G354,0)</x:f>
        <x:v>0.01557329312645457</x:v>
      </x:c>
      <x:c r="X354" s="8" t="n">
        <x:f>IFERROR(T354/F354,0)</x:f>
        <x:v>0.1579336361141298</x:v>
      </x:c>
      <x:c r="Y354" s="8" t="n">
        <x:f>IFERROR(T354/O354,0)</x:f>
        <x:v>0.09290213916581833</x:v>
      </x:c>
    </x:row>
    <x:row r="355">
      <x:c r="A355" t="str">
        <x:v>2026-06-01</x:v>
      </x:c>
      <x:c r="B355" t="n">
        <x:v>2026</x:v>
      </x:c>
      <x:c r="C355" t="str">
        <x:v>Q2</x:v>
      </x:c>
      <x:c r="D355" t="str">
        <x:v>SMB</x:v>
      </x:c>
      <x:c r="E355" t="str">
        <x:v>West</x:v>
      </x:c>
      <x:c r="F355" s="6" t="n">
        <x:v>1080497.29</x:v>
      </x:c>
      <x:c r="G355" s="6" t="n">
        <x:v>1065804.7</x:v>
      </x:c>
      <x:c r="H355" s="6" t="n">
        <x:v>1050134.77</x:v>
      </x:c>
      <x:c r="I355" s="6" t="n">
        <x:v>585999.85</x:v>
      </x:c>
      <x:c r="J355" s="6" t="n">
        <x:v>575534.54</x:v>
      </x:c>
      <x:c r="K355" s="6" t="n">
        <x:v>569173.05</x:v>
      </x:c>
      <x:c r="L355" s="6" t="n">
        <x:v>300762.39</x:v>
      </x:c>
      <x:c r="M355" s="6" t="n">
        <x:v>309083.36</x:v>
      </x:c>
      <x:c r="N355" s="6" t="n">
        <x:v>308739.62</x:v>
      </x:c>
      <x:c r="O355" s="6" t="n">
        <x:v>1836845.39</x:v>
      </x:c>
      <x:c r="P355" s="6" t="n">
        <x:v>160002.58</x:v>
      </x:c>
      <x:c r="Q355" s="6" t="n">
        <x:v>79</x:v>
      </x:c>
      <x:c r="R355" s="6" t="n">
        <x:f>F355-I355</x:f>
        <x:v>494497.44000000006</x:v>
      </x:c>
      <x:c r="S355" s="6" t="n">
        <x:f>G355-J355</x:f>
        <x:v>490270.1599999999</x:v>
      </x:c>
      <x:c r="T355" s="6" t="n">
        <x:f>R355-L355</x:f>
        <x:v>193735.05000000005</x:v>
      </x:c>
      <x:c r="U355" s="6" t="n">
        <x:f>S355-M355</x:f>
        <x:v>181186.79999999993</x:v>
      </x:c>
      <x:c r="V355" s="6" t="n">
        <x:f>F355-G355</x:f>
        <x:v>14692.590000000084</x:v>
      </x:c>
      <x:c r="W355" s="8" t="n">
        <x:f>IFERROR(V355/G355,0)</x:f>
        <x:v>0.013785443055374108</x:v>
      </x:c>
      <x:c r="X355" s="8" t="n">
        <x:f>IFERROR(T355/F355,0)</x:f>
        <x:v>0.17930174540280433</x:v>
      </x:c>
      <x:c r="Y355" s="8" t="n">
        <x:f>IFERROR(T355/O355,0)</x:f>
        <x:v>0.10547161511508601</x:v>
      </x:c>
    </x:row>
    <x:row r="356">
      <x:c r="A356" t="str">
        <x:v>2026-06-01</x:v>
      </x:c>
      <x:c r="B356" t="n">
        <x:v>2026</x:v>
      </x:c>
      <x:c r="C356" t="str">
        <x:v>Q2</x:v>
      </x:c>
      <x:c r="D356" t="str">
        <x:v>Digital</x:v>
      </x:c>
      <x:c r="E356" t="str">
        <x:v>East</x:v>
      </x:c>
      <x:c r="F356" s="6" t="n">
        <x:v>867195.61</x:v>
      </x:c>
      <x:c r="G356" s="6" t="n">
        <x:v>804636.76</x:v>
      </x:c>
      <x:c r="H356" s="6" t="n">
        <x:v>793187.92</x:v>
      </x:c>
      <x:c r="I356" s="6" t="n">
        <x:v>320118.4</x:v>
      </x:c>
      <x:c r="J356" s="6" t="n">
        <x:v>289669.23</x:v>
      </x:c>
      <x:c r="K356" s="6" t="n">
        <x:v>287134.03</x:v>
      </x:c>
      <x:c r="L356" s="6" t="n">
        <x:v>301975.71</x:v>
      </x:c>
      <x:c r="M356" s="6" t="n">
        <x:v>273576.5</x:v>
      </x:c>
      <x:c r="N356" s="6" t="n">
        <x:v>272856.64</x:v>
      </x:c>
      <x:c r="O356" s="6" t="n">
        <x:v>1214073.85</x:v>
      </x:c>
      <x:c r="P356" s="6" t="n">
        <x:v>215991.66</x:v>
      </x:c>
      <x:c r="Q356" s="6" t="n">
        <x:v>60</x:v>
      </x:c>
      <x:c r="R356" s="6" t="n">
        <x:f>F356-I356</x:f>
        <x:v>547077.21</x:v>
      </x:c>
      <x:c r="S356" s="6" t="n">
        <x:f>G356-J356</x:f>
        <x:v>514967.53</x:v>
      </x:c>
      <x:c r="T356" s="6" t="n">
        <x:f>R356-L356</x:f>
        <x:v>245101.49999999994</x:v>
      </x:c>
      <x:c r="U356" s="6" t="n">
        <x:f>S356-M356</x:f>
        <x:v>241391.03000000003</x:v>
      </x:c>
      <x:c r="V356" s="6" t="n">
        <x:f>F356-G356</x:f>
        <x:v>62558.84999999998</x:v>
      </x:c>
      <x:c r="W356" s="8" t="n">
        <x:f>IFERROR(V356/G356,0)</x:f>
        <x:v>0.07774793933103426</x:v>
      </x:c>
      <x:c r="X356" s="8" t="n">
        <x:f>IFERROR(T356/F356,0)</x:f>
        <x:v>0.28263692432668097</x:v>
      </x:c>
      <x:c r="Y356" s="8" t="n">
        <x:f>IFERROR(T356/O356,0)</x:f>
        <x:v>0.20188351804134477</x:v>
      </x:c>
    </x:row>
    <x:row r="357">
      <x:c r="A357" t="str">
        <x:v>2026-06-01</x:v>
      </x:c>
      <x:c r="B357" t="n">
        <x:v>2026</x:v>
      </x:c>
      <x:c r="C357" t="str">
        <x:v>Q2</x:v>
      </x:c>
      <x:c r="D357" t="str">
        <x:v>Digital</x:v>
      </x:c>
      <x:c r="E357" t="str">
        <x:v>Central</x:v>
      </x:c>
      <x:c r="F357" s="6" t="n">
        <x:v>727331.6</x:v>
      </x:c>
      <x:c r="G357" s="6" t="n">
        <x:v>734158.06</x:v>
      </x:c>
      <x:c r="H357" s="6" t="n">
        <x:v>726327.62</x:v>
      </x:c>
      <x:c r="I357" s="6" t="n">
        <x:v>255927.14</x:v>
      </x:c>
      <x:c r="J357" s="6" t="n">
        <x:v>264296.9</x:v>
      </x:c>
      <x:c r="K357" s="6" t="n">
        <x:v>262930.6</x:v>
      </x:c>
      <x:c r="L357" s="6" t="n">
        <x:v>242752.71</x:v>
      </x:c>
      <x:c r="M357" s="6" t="n">
        <x:v>249613.74</x:v>
      </x:c>
      <x:c r="N357" s="6" t="n">
        <x:v>249856.7</x:v>
      </x:c>
      <x:c r="O357" s="6" t="n">
        <x:v>1018264.23</x:v>
      </x:c>
      <x:c r="P357" s="6" t="n">
        <x:v>188704.27</x:v>
      </x:c>
      <x:c r="Q357" s="6" t="n">
        <x:v>53</x:v>
      </x:c>
      <x:c r="R357" s="6" t="n">
        <x:f>F357-I357</x:f>
        <x:v>471404.45999999996</x:v>
      </x:c>
      <x:c r="S357" s="6" t="n">
        <x:f>G357-J357</x:f>
        <x:v>469861.16000000003</x:v>
      </x:c>
      <x:c r="T357" s="6" t="n">
        <x:f>R357-L357</x:f>
        <x:v>228651.74999999997</x:v>
      </x:c>
      <x:c r="U357" s="6" t="n">
        <x:f>S357-M357</x:f>
        <x:v>220247.42000000004</x:v>
      </x:c>
      <x:c r="V357" s="6" t="n">
        <x:f>F357-G357</x:f>
        <x:v>-6826.460000000079</x:v>
      </x:c>
      <x:c r="W357" s="8" t="n">
        <x:f>IFERROR(V357/G357,0)</x:f>
        <x:v>-0.009298351910758942</x:v>
      </x:c>
      <x:c r="X357" s="8" t="n">
        <x:f>IFERROR(T357/F357,0)</x:f>
        <x:v>0.31437070794119215</x:v>
      </x:c>
      <x:c r="Y357" s="8" t="n">
        <x:f>IFERROR(T357/O357,0)</x:f>
        <x:v>0.22455050787750835</x:v>
      </x:c>
    </x:row>
    <x:row r="358">
      <x:c r="A358" t="str">
        <x:v>2026-06-01</x:v>
      </x:c>
      <x:c r="B358" t="n">
        <x:v>2026</x:v>
      </x:c>
      <x:c r="C358" t="str">
        <x:v>Q2</x:v>
      </x:c>
      <x:c r="D358" t="str">
        <x:v>Digital</x:v>
      </x:c>
      <x:c r="E358" t="str">
        <x:v>West</x:v>
      </x:c>
      <x:c r="F358" s="6" t="n">
        <x:v>791914.74</x:v>
      </x:c>
      <x:c r="G358" s="6" t="n">
        <x:v>786618.85</x:v>
      </x:c>
      <x:c r="H358" s="6" t="n">
        <x:v>788868.85</x:v>
      </x:c>
      <x:c r="I358" s="6" t="n">
        <x:v>283267.38</x:v>
      </x:c>
      <x:c r="J358" s="6" t="n">
        <x:v>283182.79</x:v>
      </x:c>
      <x:c r="K358" s="6" t="n">
        <x:v>285570.52</x:v>
      </x:c>
      <x:c r="L358" s="6" t="n">
        <x:v>269394.21</x:v>
      </x:c>
      <x:c r="M358" s="6" t="n">
        <x:v>267450.41</x:v>
      </x:c>
      <x:c r="N358" s="6" t="n">
        <x:v>271370.88</x:v>
      </x:c>
      <x:c r="O358" s="6" t="n">
        <x:v>1108680.64</x:v>
      </x:c>
      <x:c r="P358" s="6" t="n">
        <x:v>199297.98</x:v>
      </x:c>
      <x:c r="Q358" s="6" t="n">
        <x:v>57</x:v>
      </x:c>
      <x:c r="R358" s="6" t="n">
        <x:f>F358-I358</x:f>
        <x:v>508647.36</x:v>
      </x:c>
      <x:c r="S358" s="6" t="n">
        <x:f>G358-J358</x:f>
        <x:v>503436.06</x:v>
      </x:c>
      <x:c r="T358" s="6" t="n">
        <x:f>R358-L358</x:f>
        <x:v>239253.14999999997</x:v>
      </x:c>
      <x:c r="U358" s="6" t="n">
        <x:f>S358-M358</x:f>
        <x:v>235985.65000000002</x:v>
      </x:c>
      <x:c r="V358" s="6" t="n">
        <x:f>F358-G358</x:f>
        <x:v>5295.890000000014</x:v>
      </x:c>
      <x:c r="W358" s="8" t="n">
        <x:f>IFERROR(V358/G358,0)</x:f>
        <x:v>0.006732472785263173</x:v>
      </x:c>
      <x:c r="X358" s="8" t="n">
        <x:f>IFERROR(T358/F358,0)</x:f>
        <x:v>0.30211983426397643</x:v>
      </x:c>
      <x:c r="Y358" s="8" t="n">
        <x:f>IFERROR(T358/O358,0)</x:f>
        <x:v>0.21579988083854335</x:v>
      </x:c>
    </x:row>
    <x:row r="359">
      <x:c r="A359" t="str">
        <x:v>2026-06-01</x:v>
      </x:c>
      <x:c r="B359" t="n">
        <x:v>2026</x:v>
      </x:c>
      <x:c r="C359" t="str">
        <x:v>Q2</x:v>
      </x:c>
      <x:c r="D359" t="str">
        <x:v>Services</x:v>
      </x:c>
      <x:c r="E359" t="str">
        <x:v>East</x:v>
      </x:c>
      <x:c r="F359" s="6" t="n">
        <x:v>598183.72</x:v>
      </x:c>
      <x:c r="G359" s="6" t="n">
        <x:v>605703.08</x:v>
      </x:c>
      <x:c r="H359" s="6" t="n">
        <x:v>615262.21</x:v>
      </x:c>
      <x:c r="I359" s="6" t="n">
        <x:v>257245.64</x:v>
      </x:c>
      <x:c r="J359" s="6" t="n">
        <x:v>254395.29</x:v>
      </x:c>
      <x:c r="K359" s="6" t="n">
        <x:v>259640.65</x:v>
      </x:c>
      <x:c r="L359" s="6" t="n">
        <x:v>189990.37</x:v>
      </x:c>
      <x:c r="M359" s="6" t="n">
        <x:v>187767.96</x:v>
      </x:c>
      <x:c r="N359" s="6" t="n">
        <x:v>193192.33</x:v>
      </x:c>
      <x:c r="O359" s="6" t="n">
        <x:v>957093.95</x:v>
      </x:c>
      <x:c r="P359" s="6" t="n">
        <x:v>134591.59</x:v>
      </x:c>
      <x:c r="Q359" s="6" t="n">
        <x:v>54</x:v>
      </x:c>
      <x:c r="R359" s="6" t="n">
        <x:f>F359-I359</x:f>
        <x:v>340938.07999999996</x:v>
      </x:c>
      <x:c r="S359" s="6" t="n">
        <x:f>G359-J359</x:f>
        <x:v>351307.7899999999</x:v>
      </x:c>
      <x:c r="T359" s="6" t="n">
        <x:f>R359-L359</x:f>
        <x:v>150947.70999999996</x:v>
      </x:c>
      <x:c r="U359" s="6" t="n">
        <x:f>S359-M359</x:f>
        <x:v>163539.82999999993</x:v>
      </x:c>
      <x:c r="V359" s="6" t="n">
        <x:f>F359-G359</x:f>
        <x:v>-7519.359999999986</x:v>
      </x:c>
      <x:c r="W359" s="8" t="n">
        <x:f>IFERROR(V359/G359,0)</x:f>
        <x:v>-0.01241426739979593</x:v>
      </x:c>
      <x:c r="X359" s="8" t="n">
        <x:f>IFERROR(T359/F359,0)</x:f>
        <x:v>0.25234339376538023</x:v>
      </x:c>
      <x:c r="Y359" s="8" t="n">
        <x:f>IFERROR(T359/O359,0)</x:f>
        <x:v>0.15771462143293244</x:v>
      </x:c>
    </x:row>
    <x:row r="360">
      <x:c r="A360" t="str">
        <x:v>2026-06-01</x:v>
      </x:c>
      <x:c r="B360" t="n">
        <x:v>2026</x:v>
      </x:c>
      <x:c r="C360" t="str">
        <x:v>Q2</x:v>
      </x:c>
      <x:c r="D360" t="str">
        <x:v>Services</x:v>
      </x:c>
      <x:c r="E360" t="str">
        <x:v>Central</x:v>
      </x:c>
      <x:c r="F360" s="6" t="n">
        <x:v>524737.01</x:v>
      </x:c>
      <x:c r="G360" s="6" t="n">
        <x:v>538550.81</x:v>
      </x:c>
      <x:c r="H360" s="6" t="n">
        <x:v>539663.93</x:v>
      </x:c>
      <x:c r="I360" s="6" t="n">
        <x:v>221633.3</x:v>
      </x:c>
      <x:c r="J360" s="6" t="n">
        <x:v>226191.34</x:v>
      </x:c>
      <x:c r="K360" s="6" t="n">
        <x:v>227738.18</x:v>
      </x:c>
      <x:c r="L360" s="6" t="n">
        <x:v>157255</x:v>
      </x:c>
      <x:c r="M360" s="6" t="n">
        <x:v>166950.75</x:v>
      </x:c>
      <x:c r="N360" s="6" t="n">
        <x:v>169454.48</x:v>
      </x:c>
      <x:c r="O360" s="6" t="n">
        <x:v>839579.22</x:v>
      </x:c>
      <x:c r="P360" s="6" t="n">
        <x:v>105286.74</x:v>
      </x:c>
      <x:c r="Q360" s="6" t="n">
        <x:v>48</x:v>
      </x:c>
      <x:c r="R360" s="6" t="n">
        <x:f>F360-I360</x:f>
        <x:v>303103.71</x:v>
      </x:c>
      <x:c r="S360" s="6" t="n">
        <x:f>G360-J360</x:f>
        <x:v>312359.4700000001</x:v>
      </x:c>
      <x:c r="T360" s="6" t="n">
        <x:f>R360-L360</x:f>
        <x:v>145848.71000000002</x:v>
      </x:c>
      <x:c r="U360" s="6" t="n">
        <x:f>S360-M360</x:f>
        <x:v>145408.7200000001</x:v>
      </x:c>
      <x:c r="V360" s="6" t="n">
        <x:f>F360-G360</x:f>
        <x:v>-13813.800000000047</x:v>
      </x:c>
      <x:c r="W360" s="8" t="n">
        <x:f>IFERROR(V360/G360,0)</x:f>
        <x:v>-0.025649947495204852</x:v>
      </x:c>
      <x:c r="X360" s="8" t="n">
        <x:f>IFERROR(T360/F360,0)</x:f>
        <x:v>0.27794629923282904</x:v>
      </x:c>
      <x:c r="Y360" s="8" t="n">
        <x:f>IFERROR(T360/O360,0)</x:f>
        <x:v>0.17371643619288246</x:v>
      </x:c>
    </x:row>
    <x:row r="361">
      <x:c r="A361" t="str">
        <x:v>2026-06-01</x:v>
      </x:c>
      <x:c r="B361" t="n">
        <x:v>2026</x:v>
      </x:c>
      <x:c r="C361" t="str">
        <x:v>Q2</x:v>
      </x:c>
      <x:c r="D361" t="str">
        <x:v>Services</x:v>
      </x:c>
      <x:c r="E361" t="str">
        <x:v>West</x:v>
      </x:c>
      <x:c r="F361" s="6" t="n">
        <x:v>577043.37</x:v>
      </x:c>
      <x:c r="G361" s="6" t="n">
        <x:v>568523.57</x:v>
      </x:c>
      <x:c r="H361" s="6" t="n">
        <x:v>571096.67</x:v>
      </x:c>
      <x:c r="I361" s="6" t="n">
        <x:v>247201.79</x:v>
      </x:c>
      <x:c r="J361" s="6" t="n">
        <x:v>238779.9</x:v>
      </x:c>
      <x:c r="K361" s="6" t="n">
        <x:v>241002.79</x:v>
      </x:c>
      <x:c r="L361" s="6" t="n">
        <x:v>181754.64</x:v>
      </x:c>
      <x:c r="M361" s="6" t="n">
        <x:v>176242.31</x:v>
      </x:c>
      <x:c r="N361" s="6" t="n">
        <x:v>179324.35</x:v>
      </x:c>
      <x:c r="O361" s="6" t="n">
        <x:v>923269.39</x:v>
      </x:c>
      <x:c r="P361" s="6" t="n">
        <x:v>132033.14</x:v>
      </x:c>
      <x:c r="Q361" s="6" t="n">
        <x:v>52</x:v>
      </x:c>
      <x:c r="R361" s="6" t="n">
        <x:f>F361-I361</x:f>
        <x:v>329841.57999999996</x:v>
      </x:c>
      <x:c r="S361" s="6" t="n">
        <x:f>G361-J361</x:f>
        <x:v>329743.6699999999</x:v>
      </x:c>
      <x:c r="T361" s="6" t="n">
        <x:f>R361-L361</x:f>
        <x:v>148086.93999999994</x:v>
      </x:c>
      <x:c r="U361" s="6" t="n">
        <x:f>S361-M361</x:f>
        <x:v>153501.35999999993</x:v>
      </x:c>
      <x:c r="V361" s="6" t="n">
        <x:f>F361-G361</x:f>
        <x:v>8519.800000000047</x:v>
      </x:c>
      <x:c r="W361" s="8" t="n">
        <x:f>IFERROR(V361/G361,0)</x:f>
        <x:v>0.014985834272447223</x:v>
      </x:c>
      <x:c r="X361" s="8" t="n">
        <x:f>IFERROR(T361/F361,0)</x:f>
        <x:v>0.25663051981690727</x:v>
      </x:c>
      <x:c r="Y361" s="8" t="n">
        <x:f>IFERROR(T361/O361,0)</x:f>
        <x:v>0.16039407523301508</x:v>
      </x:c>
    </x:row>
    <x:row r="362">
      <x:c r="A362" t="str">
        <x:v>2026-07-01</x:v>
      </x:c>
      <x:c r="B362" t="n">
        <x:v>2026</x:v>
      </x:c>
      <x:c r="C362" t="str">
        <x:v>Q3</x:v>
      </x:c>
      <x:c r="D362" t="str">
        <x:v>Enterprise</x:v>
      </x:c>
      <x:c r="E362" t="str">
        <x:v>East</x:v>
      </x:c>
      <x:c r="F362" s="6" t="n">
        <x:v>1920291.51</x:v>
      </x:c>
      <x:c r="G362" s="6" t="n">
        <x:v>1859277.61</x:v>
      </x:c>
      <x:c r="H362" s="6" t="n">
        <x:v>1834948.65</x:v>
      </x:c>
      <x:c r="I362" s="6" t="n">
        <x:v>909251.97</x:v>
      </x:c>
      <x:c r="J362" s="6" t="n">
        <x:v>892453.25</x:v>
      </x:c>
      <x:c r="K362" s="6" t="n">
        <x:v>884445.25</x:v>
      </x:c>
      <x:c r="L362" s="6" t="n">
        <x:v>545446.34</x:v>
      </x:c>
      <x:c r="M362" s="6" t="n">
        <x:v>502004.96</x:v>
      </x:c>
      <x:c r="N362" s="6" t="n">
        <x:v>502775.93</x:v>
      </x:c>
      <x:c r="O362" s="6" t="n">
        <x:v>4032612.18</x:v>
      </x:c>
      <x:c r="P362" s="6" t="n">
        <x:v>417874.96</x:v>
      </x:c>
      <x:c r="Q362" s="6" t="n">
        <x:v>116</x:v>
      </x:c>
      <x:c r="R362" s="6" t="n">
        <x:f>F362-I362</x:f>
        <x:v>1011039.54</x:v>
      </x:c>
      <x:c r="S362" s="6" t="n">
        <x:f>G362-J362</x:f>
        <x:v>966824.3600000001</x:v>
      </x:c>
      <x:c r="T362" s="6" t="n">
        <x:f>R362-L362</x:f>
        <x:v>465593.20000000007</x:v>
      </x:c>
      <x:c r="U362" s="6" t="n">
        <x:f>S362-M362</x:f>
        <x:v>464819.4000000001</x:v>
      </x:c>
      <x:c r="V362" s="6" t="n">
        <x:f>F362-G362</x:f>
        <x:v>61013.89999999991</x:v>
      </x:c>
      <x:c r="W362" s="8" t="n">
        <x:f>IFERROR(V362/G362,0)</x:f>
        <x:v>0.03281591714536911</x:v>
      </x:c>
      <x:c r="X362" s="8" t="n">
        <x:f>IFERROR(T362/F362,0)</x:f>
        <x:v>0.24245964613987178</x:v>
      </x:c>
      <x:c r="Y362" s="8" t="n">
        <x:f>IFERROR(T362/O362,0)</x:f>
        <x:v>0.11545697409464256</x:v>
      </x:c>
    </x:row>
    <x:row r="363">
      <x:c r="A363" t="str">
        <x:v>2026-07-01</x:v>
      </x:c>
      <x:c r="B363" t="n">
        <x:v>2026</x:v>
      </x:c>
      <x:c r="C363" t="str">
        <x:v>Q3</x:v>
      </x:c>
      <x:c r="D363" t="str">
        <x:v>Enterprise</x:v>
      </x:c>
      <x:c r="E363" t="str">
        <x:v>Central</x:v>
      </x:c>
      <x:c r="F363" s="6" t="n">
        <x:v>1657877.04</x:v>
      </x:c>
      <x:c r="G363" s="6" t="n">
        <x:v>1683711.58</x:v>
      </x:c>
      <x:c r="H363" s="6" t="n">
        <x:v>1664089.03</x:v>
      </x:c>
      <x:c r="I363" s="6" t="n">
        <x:v>815783.6</x:v>
      </x:c>
      <x:c r="J363" s="6" t="n">
        <x:v>808181.56</x:v>
      </x:c>
      <x:c r="K363" s="6" t="n">
        <x:v>802090.91</x:v>
      </x:c>
      <x:c r="L363" s="6" t="n">
        <x:v>472460.72</x:v>
      </x:c>
      <x:c r="M363" s="6" t="n">
        <x:v>454602.13</x:v>
      </x:c>
      <x:c r="N363" s="6" t="n">
        <x:v>455960.4</x:v>
      </x:c>
      <x:c r="O363" s="6" t="n">
        <x:v>3481541.78</x:v>
      </x:c>
      <x:c r="P363" s="6" t="n">
        <x:v>307793.89</x:v>
      </x:c>
      <x:c r="Q363" s="6" t="n">
        <x:v>104</x:v>
      </x:c>
      <x:c r="R363" s="6" t="n">
        <x:f>F363-I363</x:f>
        <x:v>842093.4400000001</x:v>
      </x:c>
      <x:c r="S363" s="6" t="n">
        <x:f>G363-J363</x:f>
        <x:v>875530.02</x:v>
      </x:c>
      <x:c r="T363" s="6" t="n">
        <x:f>R363-L363</x:f>
        <x:v>369632.7200000001</x:v>
      </x:c>
      <x:c r="U363" s="6" t="n">
        <x:f>S363-M363</x:f>
        <x:v>420927.89</x:v>
      </x:c>
      <x:c r="V363" s="6" t="n">
        <x:f>F363-G363</x:f>
        <x:v>-25834.540000000037</x:v>
      </x:c>
      <x:c r="W363" s="8" t="n">
        <x:f>IFERROR(V363/G363,0)</x:f>
        <x:v>-0.015343803717261384</x:v>
      </x:c>
      <x:c r="X363" s="8" t="n">
        <x:f>IFERROR(T363/F363,0)</x:f>
        <x:v>0.22295544909651446</x:v>
      </x:c>
      <x:c r="Y363" s="8" t="n">
        <x:f>IFERROR(T363/O363,0)</x:f>
        <x:v>0.1061692615965103</x:v>
      </x:c>
    </x:row>
    <x:row r="364">
      <x:c r="A364" t="str">
        <x:v>2026-07-01</x:v>
      </x:c>
      <x:c r="B364" t="n">
        <x:v>2026</x:v>
      </x:c>
      <x:c r="C364" t="str">
        <x:v>Q3</x:v>
      </x:c>
      <x:c r="D364" t="str">
        <x:v>Enterprise</x:v>
      </x:c>
      <x:c r="E364" t="str">
        <x:v>West</x:v>
      </x:c>
      <x:c r="F364" s="6" t="n">
        <x:v>1915144.46</x:v>
      </x:c>
      <x:c r="G364" s="6" t="n">
        <x:v>1785055.61</x:v>
      </x:c>
      <x:c r="H364" s="6" t="n">
        <x:v>1783541.55</x:v>
      </x:c>
      <x:c r="I364" s="6" t="n">
        <x:v>944162.77</x:v>
      </x:c>
      <x:c r="J364" s="6" t="n">
        <x:v>856826.69</x:v>
      </x:c>
      <x:c r="K364" s="6" t="n">
        <x:v>859667.03</x:v>
      </x:c>
      <x:c r="L364" s="6" t="n">
        <x:v>527835.04</x:v>
      </x:c>
      <x:c r="M364" s="6" t="n">
        <x:v>481965.02</x:v>
      </x:c>
      <x:c r="N364" s="6" t="n">
        <x:v>488690.38</x:v>
      </x:c>
      <x:c r="O364" s="6" t="n">
        <x:v>4021803.36</x:v>
      </x:c>
      <x:c r="P364" s="6" t="n">
        <x:v>385737.4</x:v>
      </x:c>
      <x:c r="Q364" s="6" t="n">
        <x:v>112</x:v>
      </x:c>
      <x:c r="R364" s="6" t="n">
        <x:f>F364-I364</x:f>
        <x:v>970981.69</x:v>
      </x:c>
      <x:c r="S364" s="6" t="n">
        <x:f>G364-J364</x:f>
        <x:v>928228.9200000002</x:v>
      </x:c>
      <x:c r="T364" s="6" t="n">
        <x:f>R364-L364</x:f>
        <x:v>443146.6499999999</x:v>
      </x:c>
      <x:c r="U364" s="6" t="n">
        <x:f>S364-M364</x:f>
        <x:v>446263.90000000014</x:v>
      </x:c>
      <x:c r="V364" s="6" t="n">
        <x:f>F364-G364</x:f>
        <x:v>130088.84999999986</x:v>
      </x:c>
      <x:c r="W364" s="8" t="n">
        <x:f>IFERROR(V364/G364,0)</x:f>
        <x:v>0.07287663715978006</x:v>
      </x:c>
      <x:c r="X364" s="8" t="n">
        <x:f>IFERROR(T364/F364,0)</x:f>
        <x:v>0.23139071712637277</x:v>
      </x:c>
      <x:c r="Y364" s="8" t="n">
        <x:f>IFERROR(T364/O364,0)</x:f>
        <x:v>0.11018605593884628</x:v>
      </x:c>
    </x:row>
    <x:row r="365">
      <x:c r="A365" t="str">
        <x:v>2026-07-01</x:v>
      </x:c>
      <x:c r="B365" t="n">
        <x:v>2026</x:v>
      </x:c>
      <x:c r="C365" t="str">
        <x:v>Q3</x:v>
      </x:c>
      <x:c r="D365" t="str">
        <x:v>SMB</x:v>
      </x:c>
      <x:c r="E365" t="str">
        <x:v>East</x:v>
      </x:c>
      <x:c r="F365" s="6" t="n">
        <x:v>1099674.86</x:v>
      </x:c>
      <x:c r="G365" s="6" t="n">
        <x:v>1094389.39</x:v>
      </x:c>
      <x:c r="H365" s="6" t="n">
        <x:v>1081762.53</x:v>
      </x:c>
      <x:c r="I365" s="6" t="n">
        <x:v>585273.03</x:v>
      </x:c>
      <x:c r="J365" s="6" t="n">
        <x:v>590970.27</x:v>
      </x:c>
      <x:c r="K365" s="6" t="n">
        <x:v>586315.29</x:v>
      </x:c>
      <x:c r="L365" s="6" t="n">
        <x:v>313642.85</x:v>
      </x:c>
      <x:c r="M365" s="6" t="n">
        <x:v>317372.92</x:v>
      </x:c>
      <x:c r="N365" s="6" t="n">
        <x:v>318038.18</x:v>
      </x:c>
      <x:c r="O365" s="6" t="n">
        <x:v>1869447.25</x:v>
      </x:c>
      <x:c r="P365" s="6" t="n">
        <x:v>178059.19</x:v>
      </x:c>
      <x:c r="Q365" s="6" t="n">
        <x:v>82</x:v>
      </x:c>
      <x:c r="R365" s="6" t="n">
        <x:f>F365-I365</x:f>
        <x:v>514401.8300000001</x:v>
      </x:c>
      <x:c r="S365" s="6" t="n">
        <x:f>G365-J365</x:f>
        <x:v>503419.1199999999</x:v>
      </x:c>
      <x:c r="T365" s="6" t="n">
        <x:f>R365-L365</x:f>
        <x:v>200758.9800000001</x:v>
      </x:c>
      <x:c r="U365" s="6" t="n">
        <x:f>S365-M365</x:f>
        <x:v>186046.1999999999</x:v>
      </x:c>
      <x:c r="V365" s="6" t="n">
        <x:f>F365-G365</x:f>
        <x:v>5285.470000000205</x:v>
      </x:c>
      <x:c r="W365" s="8" t="n">
        <x:f>IFERROR(V365/G365,0)</x:f>
        <x:v>0.004829606398139702</x:v>
      </x:c>
      <x:c r="X365" s="8" t="n">
        <x:f>IFERROR(T365/F365,0)</x:f>
        <x:v>0.18256212568140376</x:v>
      </x:c>
      <x:c r="Y365" s="8" t="n">
        <x:f>IFERROR(T365/O365,0)</x:f>
        <x:v>0.10738948638427755</x:v>
      </x:c>
    </x:row>
    <x:row r="366">
      <x:c r="A366" t="str">
        <x:v>2026-07-01</x:v>
      </x:c>
      <x:c r="B366" t="n">
        <x:v>2026</x:v>
      </x:c>
      <x:c r="C366" t="str">
        <x:v>Q3</x:v>
      </x:c>
      <x:c r="D366" t="str">
        <x:v>SMB</x:v>
      </x:c>
      <x:c r="E366" t="str">
        <x:v>Central</x:v>
      </x:c>
      <x:c r="F366" s="6" t="n">
        <x:v>1023318.21</x:v>
      </x:c>
      <x:c r="G366" s="6" t="n">
        <x:v>970289.4</x:v>
      </x:c>
      <x:c r="H366" s="6" t="n">
        <x:v>970219.38</x:v>
      </x:c>
      <x:c r="I366" s="6" t="n">
        <x:v>560415.96</x:v>
      </x:c>
      <x:c r="J366" s="6" t="n">
        <x:v>523956.27</x:v>
      </x:c>
      <x:c r="K366" s="6" t="n">
        <x:v>525858.91</x:v>
      </x:c>
      <x:c r="L366" s="6" t="n">
        <x:v>288778.88</x:v>
      </x:c>
      <x:c r="M366" s="6" t="n">
        <x:v>281383.93</x:v>
      </x:c>
      <x:c r="N366" s="6" t="n">
        <x:v>285244.5</x:v>
      </x:c>
      <x:c r="O366" s="6" t="n">
        <x:v>1739640.96</x:v>
      </x:c>
      <x:c r="P366" s="6" t="n">
        <x:v>159792.25</x:v>
      </x:c>
      <x:c r="Q366" s="6" t="n">
        <x:v>74</x:v>
      </x:c>
      <x:c r="R366" s="6" t="n">
        <x:f>F366-I366</x:f>
        <x:v>462902.25</x:v>
      </x:c>
      <x:c r="S366" s="6" t="n">
        <x:f>G366-J366</x:f>
        <x:v>446333.13</x:v>
      </x:c>
      <x:c r="T366" s="6" t="n">
        <x:f>R366-L366</x:f>
        <x:v>174123.37</x:v>
      </x:c>
      <x:c r="U366" s="6" t="n">
        <x:f>S366-M366</x:f>
        <x:v>164949.2</x:v>
      </x:c>
      <x:c r="V366" s="6" t="n">
        <x:f>F366-G366</x:f>
        <x:v>53028.80999999994</x:v>
      </x:c>
      <x:c r="W366" s="8" t="n">
        <x:f>IFERROR(V366/G366,0)</x:f>
        <x:v>0.05465257066603009</x:v>
      </x:c>
      <x:c r="X366" s="8" t="n">
        <x:f>IFERROR(T366/F366,0)</x:f>
        <x:v>0.17015564493863547</x:v>
      </x:c>
      <x:c r="Y366" s="8" t="n">
        <x:f>IFERROR(T366/O366,0)</x:f>
        <x:v>0.10009155567364889</x:v>
      </x:c>
    </x:row>
    <x:row r="367">
      <x:c r="A367" t="str">
        <x:v>2026-07-01</x:v>
      </x:c>
      <x:c r="B367" t="n">
        <x:v>2026</x:v>
      </x:c>
      <x:c r="C367" t="str">
        <x:v>Q3</x:v>
      </x:c>
      <x:c r="D367" t="str">
        <x:v>SMB</x:v>
      </x:c>
      <x:c r="E367" t="str">
        <x:v>West</x:v>
      </x:c>
      <x:c r="F367" s="6" t="n">
        <x:v>1068937.1</x:v>
      </x:c>
      <x:c r="G367" s="6" t="n">
        <x:v>1053057.74</x:v>
      </x:c>
      <x:c r="H367" s="6" t="n">
        <x:v>1083432.72</x:v>
      </x:c>
      <x:c r="I367" s="6" t="n">
        <x:v>565891.14</x:v>
      </x:c>
      <x:c r="J367" s="6" t="n">
        <x:v>568651.18</x:v>
      </x:c>
      <x:c r="K367" s="6" t="n">
        <x:v>587220.53</x:v>
      </x:c>
      <x:c r="L367" s="6" t="n">
        <x:v>311181.11</x:v>
      </x:c>
      <x:c r="M367" s="6" t="n">
        <x:v>305386.75</x:v>
      </x:c>
      <x:c r="N367" s="6" t="n">
        <x:v>318529.22</x:v>
      </x:c>
      <x:c r="O367" s="6" t="n">
        <x:v>1817193.07</x:v>
      </x:c>
      <x:c r="P367" s="6" t="n">
        <x:v>170325.13</x:v>
      </x:c>
      <x:c r="Q367" s="6" t="n">
        <x:v>79</x:v>
      </x:c>
      <x:c r="R367" s="6" t="n">
        <x:f>F367-I367</x:f>
        <x:v>503045.9600000001</x:v>
      </x:c>
      <x:c r="S367" s="6" t="n">
        <x:f>G367-J367</x:f>
        <x:v>484406.55999999994</x:v>
      </x:c>
      <x:c r="T367" s="6" t="n">
        <x:f>R367-L367</x:f>
        <x:v>191864.8500000001</x:v>
      </x:c>
      <x:c r="U367" s="6" t="n">
        <x:f>S367-M367</x:f>
        <x:v>179019.80999999994</x:v>
      </x:c>
      <x:c r="V367" s="6" t="n">
        <x:f>F367-G367</x:f>
        <x:v>15879.360000000102</x:v>
      </x:c>
      <x:c r="W367" s="8" t="n">
        <x:f>IFERROR(V367/G367,0)</x:f>
        <x:v>0.015079287105377624</x:v>
      </x:c>
      <x:c r="X367" s="8" t="n">
        <x:f>IFERROR(T367/F367,0)</x:f>
        <x:v>0.17949124415271964</x:v>
      </x:c>
      <x:c r="Y367" s="8" t="n">
        <x:f>IFERROR(T367/O367,0)</x:f>
        <x:v>0.10558308479571743</x:v>
      </x:c>
    </x:row>
    <x:row r="368">
      <x:c r="A368" t="str">
        <x:v>2026-07-01</x:v>
      </x:c>
      <x:c r="B368" t="n">
        <x:v>2026</x:v>
      </x:c>
      <x:c r="C368" t="str">
        <x:v>Q3</x:v>
      </x:c>
      <x:c r="D368" t="str">
        <x:v>Digital</x:v>
      </x:c>
      <x:c r="E368" t="str">
        <x:v>East</x:v>
      </x:c>
      <x:c r="F368" s="6" t="n">
        <x:v>835875.91</x:v>
      </x:c>
      <x:c r="G368" s="6" t="n">
        <x:v>790874.69</x:v>
      </x:c>
      <x:c r="H368" s="6" t="n">
        <x:v>812994.37</x:v>
      </x:c>
      <x:c r="I368" s="6" t="n">
        <x:v>299506.27</x:v>
      </x:c>
      <x:c r="J368" s="6" t="n">
        <x:v>284714.89</x:v>
      </x:c>
      <x:c r="K368" s="6" t="n">
        <x:v>294303.96</x:v>
      </x:c>
      <x:c r="L368" s="6" t="n">
        <x:v>293565.18</x:v>
      </x:c>
      <x:c r="M368" s="6" t="n">
        <x:v>268897.4</x:v>
      </x:c>
      <x:c r="N368" s="6" t="n">
        <x:v>279670.06</x:v>
      </x:c>
      <x:c r="O368" s="6" t="n">
        <x:v>1170226.27</x:v>
      </x:c>
      <x:c r="P368" s="6" t="n">
        <x:v>176257.86</x:v>
      </x:c>
      <x:c r="Q368" s="6" t="n">
        <x:v>60</x:v>
      </x:c>
      <x:c r="R368" s="6" t="n">
        <x:f>F368-I368</x:f>
        <x:v>536369.64</x:v>
      </x:c>
      <x:c r="S368" s="6" t="n">
        <x:f>G368-J368</x:f>
        <x:v>506159.79999999993</x:v>
      </x:c>
      <x:c r="T368" s="6" t="n">
        <x:f>R368-L368</x:f>
        <x:v>242804.46000000002</x:v>
      </x:c>
      <x:c r="U368" s="6" t="n">
        <x:f>S368-M368</x:f>
        <x:v>237262.3999999999</x:v>
      </x:c>
      <x:c r="V368" s="6" t="n">
        <x:f>F368-G368</x:f>
        <x:v>45001.22000000009</x:v>
      </x:c>
      <x:c r="W368" s="8" t="n">
        <x:f>IFERROR(V368/G368,0)</x:f>
        <x:v>0.05690056916602059</x:v>
      </x:c>
      <x:c r="X368" s="8" t="n">
        <x:f>IFERROR(T368/F368,0)</x:f>
        <x:v>0.2904790736223036</x:v>
      </x:c>
      <x:c r="Y368" s="8" t="n">
        <x:f>IFERROR(T368/O368,0)</x:f>
        <x:v>0.20748505329657316</x:v>
      </x:c>
    </x:row>
    <x:row r="369">
      <x:c r="A369" t="str">
        <x:v>2026-07-01</x:v>
      </x:c>
      <x:c r="B369" t="n">
        <x:v>2026</x:v>
      </x:c>
      <x:c r="C369" t="str">
        <x:v>Q3</x:v>
      </x:c>
      <x:c r="D369" t="str">
        <x:v>Digital</x:v>
      </x:c>
      <x:c r="E369" t="str">
        <x:v>Central</x:v>
      </x:c>
      <x:c r="F369" s="6" t="n">
        <x:v>762588.49</x:v>
      </x:c>
      <x:c r="G369" s="6" t="n">
        <x:v>706585.52</x:v>
      </x:c>
      <x:c r="H369" s="6" t="n">
        <x:v>711586.14</x:v>
      </x:c>
      <x:c r="I369" s="6" t="n">
        <x:v>272435.57</x:v>
      </x:c>
      <x:c r="J369" s="6" t="n">
        <x:v>254370.79</x:v>
      </x:c>
      <x:c r="K369" s="6" t="n">
        <x:v>257594.18</x:v>
      </x:c>
      <x:c r="L369" s="6" t="n">
        <x:v>271660.17</x:v>
      </x:c>
      <x:c r="M369" s="6" t="n">
        <x:v>240239.08</x:v>
      </x:c>
      <x:c r="N369" s="6" t="n">
        <x:v>244785.63</x:v>
      </x:c>
      <x:c r="O369" s="6" t="n">
        <x:v>1067623.89</x:v>
      </x:c>
      <x:c r="P369" s="6" t="n">
        <x:v>176185.91</x:v>
      </x:c>
      <x:c r="Q369" s="6" t="n">
        <x:v>53</x:v>
      </x:c>
      <x:c r="R369" s="6" t="n">
        <x:f>F369-I369</x:f>
        <x:v>490152.92</x:v>
      </x:c>
      <x:c r="S369" s="6" t="n">
        <x:f>G369-J369</x:f>
        <x:v>452214.73</x:v>
      </x:c>
      <x:c r="T369" s="6" t="n">
        <x:f>R369-L369</x:f>
        <x:v>218492.75</x:v>
      </x:c>
      <x:c r="U369" s="6" t="n">
        <x:f>S369-M369</x:f>
        <x:v>211975.65</x:v>
      </x:c>
      <x:c r="V369" s="6" t="n">
        <x:f>F369-G369</x:f>
        <x:v>56002.96999999997</x:v>
      </x:c>
      <x:c r="W369" s="8" t="n">
        <x:f>IFERROR(V369/G369,0)</x:f>
        <x:v>0.07925858712757088</x:v>
      </x:c>
      <x:c r="X369" s="8" t="n">
        <x:f>IFERROR(T369/F369,0)</x:f>
        <x:v>0.2865146181264813</x:v>
      </x:c>
      <x:c r="Y369" s="8" t="n">
        <x:f>IFERROR(T369/O369,0)</x:f>
        <x:v>0.2046532978950106</x:v>
      </x:c>
    </x:row>
    <x:row r="370">
      <x:c r="A370" t="str">
        <x:v>2026-07-01</x:v>
      </x:c>
      <x:c r="B370" t="n">
        <x:v>2026</x:v>
      </x:c>
      <x:c r="C370" t="str">
        <x:v>Q3</x:v>
      </x:c>
      <x:c r="D370" t="str">
        <x:v>Digital</x:v>
      </x:c>
      <x:c r="E370" t="str">
        <x:v>West</x:v>
      </x:c>
      <x:c r="F370" s="6" t="n">
        <x:v>803926.11</x:v>
      </x:c>
      <x:c r="G370" s="6" t="n">
        <x:v>768522.44</x:v>
      </x:c>
      <x:c r="H370" s="6" t="n">
        <x:v>759958.2</x:v>
      </x:c>
      <x:c r="I370" s="6" t="n">
        <x:v>292696.64</x:v>
      </x:c>
      <x:c r="J370" s="6" t="n">
        <x:v>276668.08</x:v>
      </x:c>
      <x:c r="K370" s="6" t="n">
        <x:v>275104.87</x:v>
      </x:c>
      <x:c r="L370" s="6" t="n">
        <x:v>282935.09</x:v>
      </x:c>
      <x:c r="M370" s="6" t="n">
        <x:v>261297.63</x:v>
      </x:c>
      <x:c r="N370" s="6" t="n">
        <x:v>261425.62</x:v>
      </x:c>
      <x:c r="O370" s="6" t="n">
        <x:v>1125496.55</x:v>
      </x:c>
      <x:c r="P370" s="6" t="n">
        <x:v>196931.69</x:v>
      </x:c>
      <x:c r="Q370" s="6" t="n">
        <x:v>57</x:v>
      </x:c>
      <x:c r="R370" s="6" t="n">
        <x:f>F370-I370</x:f>
        <x:v>511229.47</x:v>
      </x:c>
      <x:c r="S370" s="6" t="n">
        <x:f>G370-J370</x:f>
        <x:v>491854.3599999999</x:v>
      </x:c>
      <x:c r="T370" s="6" t="n">
        <x:f>R370-L370</x:f>
        <x:v>228294.37999999995</x:v>
      </x:c>
      <x:c r="U370" s="6" t="n">
        <x:f>S370-M370</x:f>
        <x:v>230556.72999999992</x:v>
      </x:c>
      <x:c r="V370" s="6" t="n">
        <x:f>F370-G370</x:f>
        <x:v>35403.67000000004</x:v>
      </x:c>
      <x:c r="W370" s="8" t="n">
        <x:f>IFERROR(V370/G370,0)</x:f>
        <x:v>0.046067190959316745</x:v>
      </x:c>
      <x:c r="X370" s="8" t="n">
        <x:f>IFERROR(T370/F370,0)</x:f>
        <x:v>0.28397433191963367</x:v>
      </x:c>
      <x:c r="Y370" s="8" t="n">
        <x:f>IFERROR(T370/O370,0)</x:f>
        <x:v>0.20283880923491052</x:v>
      </x:c>
    </x:row>
    <x:row r="371">
      <x:c r="A371" t="str">
        <x:v>2026-07-01</x:v>
      </x:c>
      <x:c r="B371" t="n">
        <x:v>2026</x:v>
      </x:c>
      <x:c r="C371" t="str">
        <x:v>Q3</x:v>
      </x:c>
      <x:c r="D371" t="str">
        <x:v>Services</x:v>
      </x:c>
      <x:c r="E371" t="str">
        <x:v>East</x:v>
      </x:c>
      <x:c r="F371" s="6" t="n">
        <x:v>566887.77</x:v>
      </x:c>
      <x:c r="G371" s="6" t="n">
        <x:v>578207.87</x:v>
      </x:c>
      <x:c r="H371" s="6" t="n">
        <x:v>588052.13</x:v>
      </x:c>
      <x:c r="I371" s="6" t="n">
        <x:v>240633.33</x:v>
      </x:c>
      <x:c r="J371" s="6" t="n">
        <x:v>242847.31</x:v>
      </x:c>
      <x:c r="K371" s="6" t="n">
        <x:v>248158</x:v>
      </x:c>
      <x:c r="L371" s="6" t="n">
        <x:v>181511.6</x:v>
      </x:c>
      <x:c r="M371" s="6" t="n">
        <x:v>179244.44</x:v>
      </x:c>
      <x:c r="N371" s="6" t="n">
        <x:v>184648.37</x:v>
      </x:c>
      <x:c r="O371" s="6" t="n">
        <x:v>907020.44</x:v>
      </x:c>
      <x:c r="P371" s="6" t="n">
        <x:v>113382.23</x:v>
      </x:c>
      <x:c r="Q371" s="6" t="n">
        <x:v>54</x:v>
      </x:c>
      <x:c r="R371" s="6" t="n">
        <x:f>F371-I371</x:f>
        <x:v>326254.44000000006</x:v>
      </x:c>
      <x:c r="S371" s="6" t="n">
        <x:f>G371-J371</x:f>
        <x:v>335360.56</x:v>
      </x:c>
      <x:c r="T371" s="6" t="n">
        <x:f>R371-L371</x:f>
        <x:v>144742.84000000005</x:v>
      </x:c>
      <x:c r="U371" s="6" t="n">
        <x:f>S371-M371</x:f>
        <x:v>156116.12</x:v>
      </x:c>
      <x:c r="V371" s="6" t="n">
        <x:f>F371-G371</x:f>
        <x:v>-11320.099999999977</x:v>
      </x:c>
      <x:c r="W371" s="8" t="n">
        <x:f>IFERROR(V371/G371,0)</x:f>
        <x:v>-0.01957790716338741</x:v>
      </x:c>
      <x:c r="X371" s="8" t="n">
        <x:f>IFERROR(T371/F371,0)</x:f>
        <x:v>0.2553289163391196</x:v>
      </x:c>
      <x:c r="Y371" s="8" t="n">
        <x:f>IFERROR(T371/O371,0)</x:f>
        <x:v>0.15958057130443506</x:v>
      </x:c>
    </x:row>
    <x:row r="372">
      <x:c r="A372" t="str">
        <x:v>2026-07-01</x:v>
      </x:c>
      <x:c r="B372" t="n">
        <x:v>2026</x:v>
      </x:c>
      <x:c r="C372" t="str">
        <x:v>Q3</x:v>
      </x:c>
      <x:c r="D372" t="str">
        <x:v>Services</x:v>
      </x:c>
      <x:c r="E372" t="str">
        <x:v>Central</x:v>
      </x:c>
      <x:c r="F372" s="6" t="n">
        <x:v>500157.66</x:v>
      </x:c>
      <x:c r="G372" s="6" t="n">
        <x:v>518019.21</x:v>
      </x:c>
      <x:c r="H372" s="6" t="n">
        <x:v>517434.9</x:v>
      </x:c>
      <x:c r="I372" s="6" t="n">
        <x:v>208744.73</x:v>
      </x:c>
      <x:c r="J372" s="6" t="n">
        <x:v>217568.07</x:v>
      </x:c>
      <x:c r="K372" s="6" t="n">
        <x:v>218357.53</x:v>
      </x:c>
      <x:c r="L372" s="6" t="n">
        <x:v>153094.75</x:v>
      </x:c>
      <x:c r="M372" s="6" t="n">
        <x:v>160585.95</x:v>
      </x:c>
      <x:c r="N372" s="6" t="n">
        <x:v>162474.56</x:v>
      </x:c>
      <x:c r="O372" s="6" t="n">
        <x:v>800252.25</x:v>
      </x:c>
      <x:c r="P372" s="6" t="n">
        <x:v>103254.71</x:v>
      </x:c>
      <x:c r="Q372" s="6" t="n">
        <x:v>48</x:v>
      </x:c>
      <x:c r="R372" s="6" t="n">
        <x:f>F372-I372</x:f>
        <x:v>291412.92999999993</x:v>
      </x:c>
      <x:c r="S372" s="6" t="n">
        <x:f>G372-J372</x:f>
        <x:v>300451.14</x:v>
      </x:c>
      <x:c r="T372" s="6" t="n">
        <x:f>R372-L372</x:f>
        <x:v>138318.17999999993</x:v>
      </x:c>
      <x:c r="U372" s="6" t="n">
        <x:f>S372-M372</x:f>
        <x:v>139865.19</x:v>
      </x:c>
      <x:c r="V372" s="6" t="n">
        <x:f>F372-G372</x:f>
        <x:v>-17861.550000000047</x:v>
      </x:c>
      <x:c r="W372" s="8" t="n">
        <x:f>IFERROR(V372/G372,0)</x:f>
        <x:v>-0.03448047805022529</x:v>
      </x:c>
      <x:c r="X372" s="8" t="n">
        <x:f>IFERROR(T372/F372,0)</x:f>
        <x:v>0.2765491585193356</x:v>
      </x:c>
      <x:c r="Y372" s="8" t="n">
        <x:f>IFERROR(T372/O372,0)</x:f>
        <x:v>0.1728432253705003</x:v>
      </x:c>
    </x:row>
    <x:row r="373">
      <x:c r="A373" t="str">
        <x:v>2026-07-01</x:v>
      </x:c>
      <x:c r="B373" t="n">
        <x:v>2026</x:v>
      </x:c>
      <x:c r="C373" t="str">
        <x:v>Q3</x:v>
      </x:c>
      <x:c r="D373" t="str">
        <x:v>Services</x:v>
      </x:c>
      <x:c r="E373" t="str">
        <x:v>West</x:v>
      </x:c>
      <x:c r="F373" s="6" t="n">
        <x:v>563476.19</x:v>
      </x:c>
      <x:c r="G373" s="6" t="n">
        <x:v>557961.1</x:v>
      </x:c>
      <x:c r="H373" s="6" t="n">
        <x:v>563520.23</x:v>
      </x:c>
      <x:c r="I373" s="6" t="n">
        <x:v>235876.29</x:v>
      </x:c>
      <x:c r="J373" s="6" t="n">
        <x:v>234343.66</x:v>
      </x:c>
      <x:c r="K373" s="6" t="n">
        <x:v>237805.54</x:v>
      </x:c>
      <x:c r="L373" s="6" t="n">
        <x:v>168359.84</x:v>
      </x:c>
      <x:c r="M373" s="6" t="n">
        <x:v>172967.94</x:v>
      </x:c>
      <x:c r="N373" s="6" t="n">
        <x:v>176945.35</x:v>
      </x:c>
      <x:c r="O373" s="6" t="n">
        <x:v>901561.91</x:v>
      </x:c>
      <x:c r="P373" s="6" t="n">
        <x:v>125924.31</x:v>
      </x:c>
      <x:c r="Q373" s="6" t="n">
        <x:v>52</x:v>
      </x:c>
      <x:c r="R373" s="6" t="n">
        <x:f>F373-I373</x:f>
        <x:v>327599.8999999999</x:v>
      </x:c>
      <x:c r="S373" s="6" t="n">
        <x:f>G373-J373</x:f>
        <x:v>323617.43999999994</x:v>
      </x:c>
      <x:c r="T373" s="6" t="n">
        <x:f>R373-L373</x:f>
        <x:v>159240.0599999999</x:v>
      </x:c>
      <x:c r="U373" s="6" t="n">
        <x:f>S373-M373</x:f>
        <x:v>150649.49999999994</x:v>
      </x:c>
      <x:c r="V373" s="6" t="n">
        <x:f>F373-G373</x:f>
        <x:v>5515.089999999967</x:v>
      </x:c>
      <x:c r="W373" s="8" t="n">
        <x:f>IFERROR(V373/G373,0)</x:f>
        <x:v>0.009884362906302908</x:v>
      </x:c>
      <x:c r="X373" s="8" t="n">
        <x:f>IFERROR(T373/F373,0)</x:f>
        <x:v>0.28260299694295854</x:v>
      </x:c>
      <x:c r="Y373" s="8" t="n">
        <x:f>IFERROR(T373/O373,0)</x:f>
        <x:v>0.17662687191387655</x:v>
      </x:c>
    </x:row>
    <x:row r="374">
      <x:c r="A374" t="str">
        <x:v>2026-08-01</x:v>
      </x:c>
      <x:c r="B374" t="n">
        <x:v>2026</x:v>
      </x:c>
      <x:c r="C374" t="str">
        <x:v>Q3</x:v>
      </x:c>
      <x:c r="D374" t="str">
        <x:v>Enterprise</x:v>
      </x:c>
      <x:c r="E374" t="str">
        <x:v>East</x:v>
      </x:c>
      <x:c r="F374" s="6" t="n">
        <x:v>1895073.52</x:v>
      </x:c>
      <x:c r="G374" s="6" t="n">
        <x:v>1822528.89</x:v>
      </x:c>
      <x:c r="H374" s="6" t="n">
        <x:v>1821798.72</x:v>
      </x:c>
      <x:c r="I374" s="6" t="n">
        <x:v>905875.82</x:v>
      </x:c>
      <x:c r="J374" s="6" t="n">
        <x:v>874813.87</x:v>
      </x:c>
      <x:c r="K374" s="6" t="n">
        <x:v>878106.98</x:v>
      </x:c>
      <x:c r="L374" s="6" t="n">
        <x:v>505521.13</x:v>
      </x:c>
      <x:c r="M374" s="6" t="n">
        <x:v>492082.8</x:v>
      </x:c>
      <x:c r="N374" s="6" t="n">
        <x:v>499172.85</x:v>
      </x:c>
      <x:c r="O374" s="6" t="n">
        <x:v>3979654.4</x:v>
      </x:c>
      <x:c r="P374" s="6" t="n">
        <x:v>385761.04</x:v>
      </x:c>
      <x:c r="Q374" s="6" t="n">
        <x:v>116</x:v>
      </x:c>
      <x:c r="R374" s="6" t="n">
        <x:f>F374-I374</x:f>
        <x:v>989197.7000000001</x:v>
      </x:c>
      <x:c r="S374" s="6" t="n">
        <x:f>G374-J374</x:f>
        <x:v>947715.0199999999</x:v>
      </x:c>
      <x:c r="T374" s="6" t="n">
        <x:f>R374-L374</x:f>
        <x:v>483676.57000000007</x:v>
      </x:c>
      <x:c r="U374" s="6" t="n">
        <x:f>S374-M374</x:f>
        <x:v>455632.2199999999</x:v>
      </x:c>
      <x:c r="V374" s="6" t="n">
        <x:f>F374-G374</x:f>
        <x:v>72544.63000000012</x:v>
      </x:c>
      <x:c r="W374" s="8" t="n">
        <x:f>IFERROR(V374/G374,0)</x:f>
        <x:v>0.039804378629081774</x:v>
      </x:c>
      <x:c r="X374" s="8" t="n">
        <x:f>IFERROR(T374/F374,0)</x:f>
        <x:v>0.2552283934609566</x:v>
      </x:c>
      <x:c r="Y374" s="8" t="n">
        <x:f>IFERROR(T374/O374,0)</x:f>
        <x:v>0.1215373299751858</x:v>
      </x:c>
    </x:row>
    <x:row r="375">
      <x:c r="A375" t="str">
        <x:v>2026-08-01</x:v>
      </x:c>
      <x:c r="B375" t="n">
        <x:v>2026</x:v>
      </x:c>
      <x:c r="C375" t="str">
        <x:v>Q3</x:v>
      </x:c>
      <x:c r="D375" t="str">
        <x:v>Enterprise</x:v>
      </x:c>
      <x:c r="E375" t="str">
        <x:v>Central</x:v>
      </x:c>
      <x:c r="F375" s="6" t="n">
        <x:v>1745550.9</x:v>
      </x:c>
      <x:c r="G375" s="6" t="n">
        <x:v>1631182.8</x:v>
      </x:c>
      <x:c r="H375" s="6" t="n">
        <x:v>1673160.21</x:v>
      </x:c>
      <x:c r="I375" s="6" t="n">
        <x:v>861311.54</x:v>
      </x:c>
      <x:c r="J375" s="6" t="n">
        <x:v>782967.74</x:v>
      </x:c>
      <x:c r="K375" s="6" t="n">
        <x:v>806463.22</x:v>
      </x:c>
      <x:c r="L375" s="6" t="n">
        <x:v>480303.71</x:v>
      </x:c>
      <x:c r="M375" s="6" t="n">
        <x:v>440419.36</x:v>
      </x:c>
      <x:c r="N375" s="6" t="n">
        <x:v>458445.9</x:v>
      </x:c>
      <x:c r="O375" s="6" t="n">
        <x:v>3665656.89</x:v>
      </x:c>
      <x:c r="P375" s="6" t="n">
        <x:v>304533.78</x:v>
      </x:c>
      <x:c r="Q375" s="6" t="n">
        <x:v>104</x:v>
      </x:c>
      <x:c r="R375" s="6" t="n">
        <x:f>F375-I375</x:f>
        <x:v>884239.3599999999</x:v>
      </x:c>
      <x:c r="S375" s="6" t="n">
        <x:f>G375-J375</x:f>
        <x:v>848215.06</x:v>
      </x:c>
      <x:c r="T375" s="6" t="n">
        <x:f>R375-L375</x:f>
        <x:v>403935.64999999985</x:v>
      </x:c>
      <x:c r="U375" s="6" t="n">
        <x:f>S375-M375</x:f>
        <x:v>407795.70000000007</x:v>
      </x:c>
      <x:c r="V375" s="6" t="n">
        <x:f>F375-G375</x:f>
        <x:v>114368.09999999986</x:v>
      </x:c>
      <x:c r="W375" s="8" t="n">
        <x:f>IFERROR(V375/G375,0)</x:f>
        <x:v>0.07011360100167796</x:v>
      </x:c>
      <x:c r="X375" s="8" t="n">
        <x:f>IFERROR(T375/F375,0)</x:f>
        <x:v>0.23140869166290132</x:v>
      </x:c>
      <x:c r="Y375" s="8" t="n">
        <x:f>IFERROR(T375/O375,0)</x:f>
        <x:v>0.11019461507757204</x:v>
      </x:c>
    </x:row>
    <x:row r="376">
      <x:c r="A376" t="str">
        <x:v>2026-08-01</x:v>
      </x:c>
      <x:c r="B376" t="n">
        <x:v>2026</x:v>
      </x:c>
      <x:c r="C376" t="str">
        <x:v>Q3</x:v>
      </x:c>
      <x:c r="D376" t="str">
        <x:v>Enterprise</x:v>
      </x:c>
      <x:c r="E376" t="str">
        <x:v>West</x:v>
      </x:c>
      <x:c r="F376" s="6" t="n">
        <x:v>1757599.89</x:v>
      </x:c>
      <x:c r="G376" s="6" t="n">
        <x:v>1768415.51</x:v>
      </x:c>
      <x:c r="H376" s="6" t="n">
        <x:v>1765852.91</x:v>
      </x:c>
      <x:c r="I376" s="6" t="n">
        <x:v>845091.33</x:v>
      </x:c>
      <x:c r="J376" s="6" t="n">
        <x:v>848839.44</x:v>
      </x:c>
      <x:c r="K376" s="6" t="n">
        <x:v>851141.1</x:v>
      </x:c>
      <x:c r="L376" s="6" t="n">
        <x:v>456796.72</x:v>
      </x:c>
      <x:c r="M376" s="6" t="n">
        <x:v>477472.19</x:v>
      </x:c>
      <x:c r="N376" s="6" t="n">
        <x:v>483843.7</x:v>
      </x:c>
      <x:c r="O376" s="6" t="n">
        <x:v>3690959.76</x:v>
      </x:c>
      <x:c r="P376" s="6" t="n">
        <x:v>367729.95</x:v>
      </x:c>
      <x:c r="Q376" s="6" t="n">
        <x:v>112</x:v>
      </x:c>
      <x:c r="R376" s="6" t="n">
        <x:f>F376-I376</x:f>
        <x:v>912508.5599999999</x:v>
      </x:c>
      <x:c r="S376" s="6" t="n">
        <x:f>G376-J376</x:f>
        <x:v>919576.0700000001</x:v>
      </x:c>
      <x:c r="T376" s="6" t="n">
        <x:f>R376-L376</x:f>
        <x:v>455711.83999999997</x:v>
      </x:c>
      <x:c r="U376" s="6" t="n">
        <x:f>S376-M376</x:f>
        <x:v>442103.88000000006</x:v>
      </x:c>
      <x:c r="V376" s="6" t="n">
        <x:f>F376-G376</x:f>
        <x:v>-10815.620000000112</x:v>
      </x:c>
      <x:c r="W376" s="8" t="n">
        <x:f>IFERROR(V376/G376,0)</x:f>
        <x:v>-0.006115994764149129</x:v>
      </x:c>
      <x:c r="X376" s="8" t="n">
        <x:f>IFERROR(T376/F376,0)</x:f>
        <x:v>0.25928076269963807</x:v>
      </x:c>
      <x:c r="Y376" s="8" t="n">
        <x:f>IFERROR(T376/O376,0)</x:f>
        <x:v>0.1234670301580313</x:v>
      </x:c>
    </x:row>
    <x:row r="377">
      <x:c r="A377" t="str">
        <x:v>2026-08-01</x:v>
      </x:c>
      <x:c r="B377" t="n">
        <x:v>2026</x:v>
      </x:c>
      <x:c r="C377" t="str">
        <x:v>Q3</x:v>
      </x:c>
      <x:c r="D377" t="str">
        <x:v>SMB</x:v>
      </x:c>
      <x:c r="E377" t="str">
        <x:v>East</x:v>
      </x:c>
      <x:c r="F377" s="6" t="n">
        <x:v>1077783.26</x:v>
      </x:c>
      <x:c r="G377" s="6" t="n">
        <x:v>1063507.65</x:v>
      </x:c>
      <x:c r="H377" s="6" t="n">
        <x:v>1051236.33</x:v>
      </x:c>
      <x:c r="I377" s="6" t="n">
        <x:v>576122.78</x:v>
      </x:c>
      <x:c r="J377" s="6" t="n">
        <x:v>574294.13</x:v>
      </x:c>
      <x:c r="K377" s="6" t="n">
        <x:v>569770.09</x:v>
      </x:c>
      <x:c r="L377" s="6" t="n">
        <x:v>307596.87</x:v>
      </x:c>
      <x:c r="M377" s="6" t="n">
        <x:v>308417.22</x:v>
      </x:c>
      <x:c r="N377" s="6" t="n">
        <x:v>309063.48</x:v>
      </x:c>
      <x:c r="O377" s="6" t="n">
        <x:v>1832231.54</x:v>
      </x:c>
      <x:c r="P377" s="6" t="n">
        <x:v>163985.06</x:v>
      </x:c>
      <x:c r="Q377" s="6" t="n">
        <x:v>82</x:v>
      </x:c>
      <x:c r="R377" s="6" t="n">
        <x:f>F377-I377</x:f>
        <x:v>501660.48</x:v>
      </x:c>
      <x:c r="S377" s="6" t="n">
        <x:f>G377-J377</x:f>
        <x:v>489213.5199999999</x:v>
      </x:c>
      <x:c r="T377" s="6" t="n">
        <x:f>R377-L377</x:f>
        <x:v>194063.61</x:v>
      </x:c>
      <x:c r="U377" s="6" t="n">
        <x:f>S377-M377</x:f>
        <x:v>180796.29999999993</x:v>
      </x:c>
      <x:c r="V377" s="6" t="n">
        <x:f>F377-G377</x:f>
        <x:v>14275.610000000102</x:v>
      </x:c>
      <x:c r="W377" s="8" t="n">
        <x:f>IFERROR(V377/G377,0)</x:f>
        <x:v>0.013423138047008974</x:v>
      </x:c>
      <x:c r="X377" s="8" t="n">
        <x:f>IFERROR(T377/F377,0)</x:f>
        <x:v>0.1800581037044498</x:v>
      </x:c>
      <x:c r="Y377" s="8" t="n">
        <x:f>IFERROR(T377/O377,0)</x:f>
        <x:v>0.10591653170646761</x:v>
      </x:c>
    </x:row>
    <x:row r="378">
      <x:c r="A378" t="str">
        <x:v>2026-08-01</x:v>
      </x:c>
      <x:c r="B378" t="n">
        <x:v>2026</x:v>
      </x:c>
      <x:c r="C378" t="str">
        <x:v>Q3</x:v>
      </x:c>
      <x:c r="D378" t="str">
        <x:v>SMB</x:v>
      </x:c>
      <x:c r="E378" t="str">
        <x:v>Central</x:v>
      </x:c>
      <x:c r="F378" s="6" t="n">
        <x:v>942255.57</x:v>
      </x:c>
      <x:c r="G378" s="6" t="n">
        <x:v>957037.18</x:v>
      </x:c>
      <x:c r="H378" s="6" t="n">
        <x:v>947288.56</x:v>
      </x:c>
      <x:c r="I378" s="6" t="n">
        <x:v>504974.65</x:v>
      </x:c>
      <x:c r="J378" s="6" t="n">
        <x:v>516800.08</x:v>
      </x:c>
      <x:c r="K378" s="6" t="n">
        <x:v>513430.4</x:v>
      </x:c>
      <x:c r="L378" s="6" t="n">
        <x:v>288768.07</x:v>
      </x:c>
      <x:c r="M378" s="6" t="n">
        <x:v>277540.78</x:v>
      </x:c>
      <x:c r="N378" s="6" t="n">
        <x:v>278502.84</x:v>
      </x:c>
      <x:c r="O378" s="6" t="n">
        <x:v>1601834.47</x:v>
      </x:c>
      <x:c r="P378" s="6" t="n">
        <x:v>116796.95</x:v>
      </x:c>
      <x:c r="Q378" s="6" t="n">
        <x:v>74</x:v>
      </x:c>
      <x:c r="R378" s="6" t="n">
        <x:f>F378-I378</x:f>
        <x:v>437280.9199999999</x:v>
      </x:c>
      <x:c r="S378" s="6" t="n">
        <x:f>G378-J378</x:f>
        <x:v>440237.10000000003</x:v>
      </x:c>
      <x:c r="T378" s="6" t="n">
        <x:f>R378-L378</x:f>
        <x:v>148512.84999999992</x:v>
      </x:c>
      <x:c r="U378" s="6" t="n">
        <x:f>S378-M378</x:f>
        <x:v>162696.32</x:v>
      </x:c>
      <x:c r="V378" s="6" t="n">
        <x:f>F378-G378</x:f>
        <x:v>-14781.610000000102</x:v>
      </x:c>
      <x:c r="W378" s="8" t="n">
        <x:f>IFERROR(V378/G378,0)</x:f>
        <x:v>-0.0154451784203411</x:v>
      </x:c>
      <x:c r="X378" s="8" t="n">
        <x:f>IFERROR(T378/F378,0)</x:f>
        <x:v>0.15761419165715299</x:v>
      </x:c>
      <x:c r="Y378" s="8" t="n">
        <x:f>IFERROR(T378/O378,0)</x:f>
        <x:v>0.09271423032868054</x:v>
      </x:c>
    </x:row>
    <x:row r="379">
      <x:c r="A379" t="str">
        <x:v>2026-08-01</x:v>
      </x:c>
      <x:c r="B379" t="n">
        <x:v>2026</x:v>
      </x:c>
      <x:c r="C379" t="str">
        <x:v>Q3</x:v>
      </x:c>
      <x:c r="D379" t="str">
        <x:v>SMB</x:v>
      </x:c>
      <x:c r="E379" t="str">
        <x:v>West</x:v>
      </x:c>
      <x:c r="F379" s="6" t="n">
        <x:v>1075847.41</x:v>
      </x:c>
      <x:c r="G379" s="6" t="n">
        <x:v>1029117.6</x:v>
      </x:c>
      <x:c r="H379" s="6" t="n">
        <x:v>1028942.01</x:v>
      </x:c>
      <x:c r="I379" s="6" t="n">
        <x:v>577410.68</x:v>
      </x:c>
      <x:c r="J379" s="6" t="n">
        <x:v>555723.5</x:v>
      </x:c>
      <x:c r="K379" s="6" t="n">
        <x:v>557686.57</x:v>
      </x:c>
      <x:c r="L379" s="6" t="n">
        <x:v>325405.39</x:v>
      </x:c>
      <x:c r="M379" s="6" t="n">
        <x:v>298444.1</x:v>
      </x:c>
      <x:c r="N379" s="6" t="n">
        <x:v>302508.95</x:v>
      </x:c>
      <x:c r="O379" s="6" t="n">
        <x:v>1828940.59</x:v>
      </x:c>
      <x:c r="P379" s="6" t="n">
        <x:v>154326.94</x:v>
      </x:c>
      <x:c r="Q379" s="6" t="n">
        <x:v>79</x:v>
      </x:c>
      <x:c r="R379" s="6" t="n">
        <x:f>F379-I379</x:f>
        <x:v>498436.72999999986</x:v>
      </x:c>
      <x:c r="S379" s="6" t="n">
        <x:f>G379-J379</x:f>
        <x:v>473394.1</x:v>
      </x:c>
      <x:c r="T379" s="6" t="n">
        <x:f>R379-L379</x:f>
        <x:v>173031.33999999985</x:v>
      </x:c>
      <x:c r="U379" s="6" t="n">
        <x:f>S379-M379</x:f>
        <x:v>174950</x:v>
      </x:c>
      <x:c r="V379" s="6" t="n">
        <x:f>F379-G379</x:f>
        <x:v>46729.80999999994</x:v>
      </x:c>
      <x:c r="W379" s="8" t="n">
        <x:f>IFERROR(V379/G379,0)</x:f>
        <x:v>0.045407648260995574</x:v>
      </x:c>
      <x:c r="X379" s="8" t="n">
        <x:f>IFERROR(T379/F379,0)</x:f>
        <x:v>0.1608326035752597</x:v>
      </x:c>
      <x:c r="Y379" s="8" t="n">
        <x:f>IFERROR(T379/O379,0)</x:f>
        <x:v>0.0946074142298957</x:v>
      </x:c>
    </x:row>
    <x:row r="380">
      <x:c r="A380" t="str">
        <x:v>2026-08-01</x:v>
      </x:c>
      <x:c r="B380" t="n">
        <x:v>2026</x:v>
      </x:c>
      <x:c r="C380" t="str">
        <x:v>Q3</x:v>
      </x:c>
      <x:c r="D380" t="str">
        <x:v>Digital</x:v>
      </x:c>
      <x:c r="E380" t="str">
        <x:v>East</x:v>
      </x:c>
      <x:c r="F380" s="6" t="n">
        <x:v>785058.69</x:v>
      </x:c>
      <x:c r="G380" s="6" t="n">
        <x:v>790105.53</x:v>
      </x:c>
      <x:c r="H380" s="6" t="n">
        <x:v>789655.12</x:v>
      </x:c>
      <x:c r="I380" s="6" t="n">
        <x:v>292535.83</x:v>
      </x:c>
      <x:c r="J380" s="6" t="n">
        <x:v>284437.99</x:v>
      </x:c>
      <x:c r="K380" s="6" t="n">
        <x:v>285855.15</x:v>
      </x:c>
      <x:c r="L380" s="6" t="n">
        <x:v>262229.66</x:v>
      </x:c>
      <x:c r="M380" s="6" t="n">
        <x:v>268635.88</x:v>
      </x:c>
      <x:c r="N380" s="6" t="n">
        <x:v>271641.36</x:v>
      </x:c>
      <x:c r="O380" s="6" t="n">
        <x:v>1099082.17</x:v>
      </x:c>
      <x:c r="P380" s="6" t="n">
        <x:v>180281.96</x:v>
      </x:c>
      <x:c r="Q380" s="6" t="n">
        <x:v>60</x:v>
      </x:c>
      <x:c r="R380" s="6" t="n">
        <x:f>F380-I380</x:f>
        <x:v>492522.8599999999</x:v>
      </x:c>
      <x:c r="S380" s="6" t="n">
        <x:f>G380-J380</x:f>
        <x:v>505667.54000000004</x:v>
      </x:c>
      <x:c r="T380" s="6" t="n">
        <x:f>R380-L380</x:f>
        <x:v>230293.19999999995</x:v>
      </x:c>
      <x:c r="U380" s="6" t="n">
        <x:f>S380-M380</x:f>
        <x:v>237031.66000000003</x:v>
      </x:c>
      <x:c r="V380" s="6" t="n">
        <x:f>F380-G380</x:f>
        <x:v>-5046.840000000084</x:v>
      </x:c>
      <x:c r="W380" s="8" t="n">
        <x:f>IFERROR(V380/G380,0)</x:f>
        <x:v>-0.006387551799567943</x:v>
      </x:c>
      <x:c r="X380" s="8" t="n">
        <x:f>IFERROR(T380/F380,0)</x:f>
        <x:v>0.2933452020001205</x:v>
      </x:c>
      <x:c r="Y380" s="8" t="n">
        <x:f>IFERROR(T380/O380,0)</x:f>
        <x:v>0.20953228638037133</x:v>
      </x:c>
    </x:row>
    <x:row r="381">
      <x:c r="A381" t="str">
        <x:v>2026-08-01</x:v>
      </x:c>
      <x:c r="B381" t="n">
        <x:v>2026</x:v>
      </x:c>
      <x:c r="C381" t="str">
        <x:v>Q3</x:v>
      </x:c>
      <x:c r="D381" t="str">
        <x:v>Digital</x:v>
      </x:c>
      <x:c r="E381" t="str">
        <x:v>Central</x:v>
      </x:c>
      <x:c r="F381" s="6" t="n">
        <x:v>761489.57</x:v>
      </x:c>
      <x:c r="G381" s="6" t="n">
        <x:v>707130.65</x:v>
      </x:c>
      <x:c r="H381" s="6" t="n">
        <x:v>705797.83</x:v>
      </x:c>
      <x:c r="I381" s="6" t="n">
        <x:v>278757.65</x:v>
      </x:c>
      <x:c r="J381" s="6" t="n">
        <x:v>254567.04</x:v>
      </x:c>
      <x:c r="K381" s="6" t="n">
        <x:v>255498.81</x:v>
      </x:c>
      <x:c r="L381" s="6" t="n">
        <x:v>260985.49</x:v>
      </x:c>
      <x:c r="M381" s="6" t="n">
        <x:v>240424.42</x:v>
      </x:c>
      <x:c r="N381" s="6" t="n">
        <x:v>242794.45</x:v>
      </x:c>
      <x:c r="O381" s="6" t="n">
        <x:v>1066085.4</x:v>
      </x:c>
      <x:c r="P381" s="6" t="n">
        <x:v>185197.27</x:v>
      </x:c>
      <x:c r="Q381" s="6" t="n">
        <x:v>54</x:v>
      </x:c>
      <x:c r="R381" s="6" t="n">
        <x:f>F381-I381</x:f>
        <x:v>482731.9199999999</x:v>
      </x:c>
      <x:c r="S381" s="6" t="n">
        <x:f>G381-J381</x:f>
        <x:v>452563.61</x:v>
      </x:c>
      <x:c r="T381" s="6" t="n">
        <x:f>R381-L381</x:f>
        <x:v>221746.42999999993</x:v>
      </x:c>
      <x:c r="U381" s="6" t="n">
        <x:f>S381-M381</x:f>
        <x:v>212139.18999999997</x:v>
      </x:c>
      <x:c r="V381" s="6" t="n">
        <x:f>F381-G381</x:f>
        <x:v>54358.919999999925</x:v>
      </x:c>
      <x:c r="W381" s="8" t="n">
        <x:f>IFERROR(V381/G381,0)</x:f>
        <x:v>0.07687252702170373</x:v>
      </x:c>
      <x:c r="X381" s="8" t="n">
        <x:f>IFERROR(T381/F381,0)</x:f>
        <x:v>0.29120087619847496</x:v>
      </x:c>
      <x:c r="Y381" s="8" t="n">
        <x:f>IFERROR(T381/O381,0)</x:f>
        <x:v>0.20800062546583975</x:v>
      </x:c>
    </x:row>
    <x:row r="382">
      <x:c r="A382" t="str">
        <x:v>2026-08-01</x:v>
      </x:c>
      <x:c r="B382" t="n">
        <x:v>2026</x:v>
      </x:c>
      <x:c r="C382" t="str">
        <x:v>Q3</x:v>
      </x:c>
      <x:c r="D382" t="str">
        <x:v>Digital</x:v>
      </x:c>
      <x:c r="E382" t="str">
        <x:v>West</x:v>
      </x:c>
      <x:c r="F382" s="6" t="n">
        <x:v>756645.8</x:v>
      </x:c>
      <x:c r="G382" s="6" t="n">
        <x:v>743555.12</x:v>
      </x:c>
      <x:c r="H382" s="6" t="n">
        <x:v>759721.68</x:v>
      </x:c>
      <x:c r="I382" s="6" t="n">
        <x:v>271042.87</x:v>
      </x:c>
      <x:c r="J382" s="6" t="n">
        <x:v>267679.84</x:v>
      </x:c>
      <x:c r="K382" s="6" t="n">
        <x:v>275019.25</x:v>
      </x:c>
      <x:c r="L382" s="6" t="n">
        <x:v>250765</x:v>
      </x:c>
      <x:c r="M382" s="6" t="n">
        <x:v>252808.74</x:v>
      </x:c>
      <x:c r="N382" s="6" t="n">
        <x:v>261344.26</x:v>
      </x:c>
      <x:c r="O382" s="6" t="n">
        <x:v>1059304.12</x:v>
      </x:c>
      <x:c r="P382" s="6" t="n">
        <x:v>195566</x:v>
      </x:c>
      <x:c r="Q382" s="6" t="n">
        <x:v>58</x:v>
      </x:c>
      <x:c r="R382" s="6" t="n">
        <x:f>F382-I382</x:f>
        <x:v>485602.93000000005</x:v>
      </x:c>
      <x:c r="S382" s="6" t="n">
        <x:f>G382-J382</x:f>
        <x:v>475875.27999999997</x:v>
      </x:c>
      <x:c r="T382" s="6" t="n">
        <x:f>R382-L382</x:f>
        <x:v>234837.93000000005</x:v>
      </x:c>
      <x:c r="U382" s="6" t="n">
        <x:f>S382-M382</x:f>
        <x:v>223066.53999999998</x:v>
      </x:c>
      <x:c r="V382" s="6" t="n">
        <x:f>F382-G382</x:f>
        <x:v>13090.680000000051</x:v>
      </x:c>
      <x:c r="W382" s="8" t="n">
        <x:f>IFERROR(V382/G382,0)</x:f>
        <x:v>0.017605527348127266</x:v>
      </x:c>
      <x:c r="X382" s="8" t="n">
        <x:f>IFERROR(T382/F382,0)</x:f>
        <x:v>0.3103670568183951</x:v>
      </x:c>
      <x:c r="Y382" s="8" t="n">
        <x:f>IFERROR(T382/O382,0)</x:f>
        <x:v>0.22169075487028223</x:v>
      </x:c>
    </x:row>
    <x:row r="383">
      <x:c r="A383" t="str">
        <x:v>2026-08-01</x:v>
      </x:c>
      <x:c r="B383" t="n">
        <x:v>2026</x:v>
      </x:c>
      <x:c r="C383" t="str">
        <x:v>Q3</x:v>
      </x:c>
      <x:c r="D383" t="str">
        <x:v>Services</x:v>
      </x:c>
      <x:c r="E383" t="str">
        <x:v>East</x:v>
      </x:c>
      <x:c r="F383" s="6" t="n">
        <x:v>586865.32</x:v>
      </x:c>
      <x:c r="G383" s="6" t="n">
        <x:v>575604.82</x:v>
      </x:c>
      <x:c r="H383" s="6" t="n">
        <x:v>584628.62</x:v>
      </x:c>
      <x:c r="I383" s="6" t="n">
        <x:v>247834.74</x:v>
      </x:c>
      <x:c r="J383" s="6" t="n">
        <x:v>241754.02</x:v>
      </x:c>
      <x:c r="K383" s="6" t="n">
        <x:v>246713.28</x:v>
      </x:c>
      <x:c r="L383" s="6" t="n">
        <x:v>191664.43</x:v>
      </x:c>
      <x:c r="M383" s="6" t="n">
        <x:v>178437.49</x:v>
      </x:c>
      <x:c r="N383" s="6" t="n">
        <x:v>183573.39</x:v>
      </x:c>
      <x:c r="O383" s="6" t="n">
        <x:v>938984.52</x:v>
      </x:c>
      <x:c r="P383" s="6" t="n">
        <x:v>119709.13</x:v>
      </x:c>
      <x:c r="Q383" s="6" t="n">
        <x:v>54</x:v>
      </x:c>
      <x:c r="R383" s="6" t="n">
        <x:f>F383-I383</x:f>
        <x:v>339030.57999999996</x:v>
      </x:c>
      <x:c r="S383" s="6" t="n">
        <x:f>G383-J383</x:f>
        <x:v>333850.79999999993</x:v>
      </x:c>
      <x:c r="T383" s="6" t="n">
        <x:f>R383-L383</x:f>
        <x:v>147366.14999999997</x:v>
      </x:c>
      <x:c r="U383" s="6" t="n">
        <x:f>S383-M383</x:f>
        <x:v>155413.30999999994</x:v>
      </x:c>
      <x:c r="V383" s="6" t="n">
        <x:f>F383-G383</x:f>
        <x:v>11260.5</x:v>
      </x:c>
      <x:c r="W383" s="8" t="n">
        <x:f>IFERROR(V383/G383,0)</x:f>
        <x:v>0.01956290081101128</x:v>
      </x:c>
      <x:c r="X383" s="8" t="n">
        <x:f>IFERROR(T383/F383,0)</x:f>
        <x:v>0.25110727278960693</x:v>
      </x:c>
      <x:c r="Y383" s="8" t="n">
        <x:f>IFERROR(T383/O383,0)</x:f>
        <x:v>0.15694204415638285</x:v>
      </x:c>
    </x:row>
    <x:row r="384">
      <x:c r="A384" t="str">
        <x:v>2026-08-01</x:v>
      </x:c>
      <x:c r="B384" t="n">
        <x:v>2026</x:v>
      </x:c>
      <x:c r="C384" t="str">
        <x:v>Q3</x:v>
      </x:c>
      <x:c r="D384" t="str">
        <x:v>Services</x:v>
      </x:c>
      <x:c r="E384" t="str">
        <x:v>Central</x:v>
      </x:c>
      <x:c r="F384" s="6" t="n">
        <x:v>521667.78</x:v>
      </x:c>
      <x:c r="G384" s="6" t="n">
        <x:v>517093.83</x:v>
      </x:c>
      <x:c r="H384" s="6" t="n">
        <x:v>516116.47</x:v>
      </x:c>
      <x:c r="I384" s="6" t="n">
        <x:v>222237.63</x:v>
      </x:c>
      <x:c r="J384" s="6" t="n">
        <x:v>217179.41</x:v>
      </x:c>
      <x:c r="K384" s="6" t="n">
        <x:v>217801.15</x:v>
      </x:c>
      <x:c r="L384" s="6" t="n">
        <x:v>168273.84</x:v>
      </x:c>
      <x:c r="M384" s="6" t="n">
        <x:v>160299.09</x:v>
      </x:c>
      <x:c r="N384" s="6" t="n">
        <x:v>162060.57</x:v>
      </x:c>
      <x:c r="O384" s="6" t="n">
        <x:v>834668.45</x:v>
      </x:c>
      <x:c r="P384" s="6" t="n">
        <x:v>115303.63</x:v>
      </x:c>
      <x:c r="Q384" s="6" t="n">
        <x:v>48</x:v>
      </x:c>
      <x:c r="R384" s="6" t="n">
        <x:f>F384-I384</x:f>
        <x:v>299430.15</x:v>
      </x:c>
      <x:c r="S384" s="6" t="n">
        <x:f>G384-J384</x:f>
        <x:v>299914.42000000004</x:v>
      </x:c>
      <x:c r="T384" s="6" t="n">
        <x:f>R384-L384</x:f>
        <x:v>131156.31000000003</x:v>
      </x:c>
      <x:c r="U384" s="6" t="n">
        <x:f>S384-M384</x:f>
        <x:v>139615.33000000005</x:v>
      </x:c>
      <x:c r="V384" s="6" t="n">
        <x:f>F384-G384</x:f>
        <x:v>4573.950000000012</x:v>
      </x:c>
      <x:c r="W384" s="8" t="n">
        <x:f>IFERROR(V384/G384,0)</x:f>
        <x:v>0.008845493283104947</x:v>
      </x:c>
      <x:c r="X384" s="8" t="n">
        <x:f>IFERROR(T384/F384,0)</x:f>
        <x:v>0.25141731007423923</x:v>
      </x:c>
      <x:c r="Y384" s="8" t="n">
        <x:f>IFERROR(T384/O384,0)</x:f>
        <x:v>0.1571358184198768</x:v>
      </x:c>
    </x:row>
    <x:row r="385">
      <x:c r="A385" t="str">
        <x:v>2026-08-01</x:v>
      </x:c>
      <x:c r="B385" t="n">
        <x:v>2026</x:v>
      </x:c>
      <x:c r="C385" t="str">
        <x:v>Q3</x:v>
      </x:c>
      <x:c r="D385" t="str">
        <x:v>Services</x:v>
      </x:c>
      <x:c r="E385" t="str">
        <x:v>West</x:v>
      </x:c>
      <x:c r="F385" s="6" t="n">
        <x:v>558865.6</x:v>
      </x:c>
      <x:c r="G385" s="6" t="n">
        <x:v>550644.3</x:v>
      </x:c>
      <x:c r="H385" s="6" t="n">
        <x:v>558078.07</x:v>
      </x:c>
      <x:c r="I385" s="6" t="n">
        <x:v>231533.85</x:v>
      </x:c>
      <x:c r="J385" s="6" t="n">
        <x:v>231270.61</x:v>
      </x:c>
      <x:c r="K385" s="6" t="n">
        <x:v>235508.94</x:v>
      </x:c>
      <x:c r="L385" s="6" t="n">
        <x:v>177585.07</x:v>
      </x:c>
      <x:c r="M385" s="6" t="n">
        <x:v>170699.73</x:v>
      </x:c>
      <x:c r="N385" s="6" t="n">
        <x:v>175236.51</x:v>
      </x:c>
      <x:c r="O385" s="6" t="n">
        <x:v>894184.96</x:v>
      </x:c>
      <x:c r="P385" s="6" t="n">
        <x:v>129238.46</x:v>
      </x:c>
      <x:c r="Q385" s="6" t="n">
        <x:v>52</x:v>
      </x:c>
      <x:c r="R385" s="6" t="n">
        <x:f>F385-I385</x:f>
        <x:v>327331.75</x:v>
      </x:c>
      <x:c r="S385" s="6" t="n">
        <x:f>G385-J385</x:f>
        <x:v>319373.69000000006</x:v>
      </x:c>
      <x:c r="T385" s="6" t="n">
        <x:f>R385-L385</x:f>
        <x:v>149746.68</x:v>
      </x:c>
      <x:c r="U385" s="6" t="n">
        <x:f>S385-M385</x:f>
        <x:v>148673.96000000005</x:v>
      </x:c>
      <x:c r="V385" s="6" t="n">
        <x:f>F385-G385</x:f>
        <x:v>8221.29999999993</x:v>
      </x:c>
      <x:c r="W385" s="8" t="n">
        <x:f>IFERROR(V385/G385,0)</x:f>
        <x:v>0.014930327981239304</x:v>
      </x:c>
      <x:c r="X385" s="8" t="n">
        <x:f>IFERROR(T385/F385,0)</x:f>
        <x:v>0.26794757093655436</x:v>
      </x:c>
      <x:c r="Y385" s="8" t="n">
        <x:f>IFERROR(T385/O385,0)</x:f>
        <x:v>0.16746723183534645</x:v>
      </x:c>
    </x:row>
  </x:sheetData>
  <x:pageMargins left="0.7" right="0.7" top="0.75" bottom="0.75" header="0.3" footer="0.3"/>
</x:worksheet>
</file>