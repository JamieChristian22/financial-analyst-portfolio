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s Actual" sheetId="1" state="visible" r:id="rId1"/>
    <sheet xmlns:r="http://schemas.openxmlformats.org/officeDocument/2006/relationships" name="KPI Scorecard" sheetId="2" state="visible" r:id="rId2"/>
    <sheet xmlns:r="http://schemas.openxmlformats.org/officeDocument/2006/relationships" name="FA_Workstreams" sheetId="3" state="visible" r:id="rId3"/>
    <sheet xmlns:r="http://schemas.openxmlformats.org/officeDocument/2006/relationships" name="Executive_Reporting_Pa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0">
    <font>
      <name val="Calibri"/>
      <family val="2"/>
      <color theme="1"/>
      <sz val="11"/>
      <scheme val="minor"/>
    </font>
    <font>
      <b val="1"/>
      <sz val="16"/>
    </font>
    <font>
      <i val="1"/>
      <color rgb="00666666"/>
      <sz val="11"/>
    </font>
    <font>
      <b val="1"/>
    </font>
    <font>
      <b val="1"/>
      <color rgb="00FFFFFF"/>
    </font>
    <font>
      <b val="1"/>
      <color rgb="00FFFFFF"/>
      <sz val="18"/>
    </font>
    <font>
      <i val="1"/>
      <color rgb="001F1F1F"/>
      <sz val="11"/>
    </font>
    <font>
      <sz val="10"/>
    </font>
    <font>
      <b val="1"/>
      <color rgb="001F4E79"/>
      <sz val="10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DDDDDD"/>
        <bgColor rgb="00DDDDDD"/>
      </patternFill>
    </fill>
  </fills>
  <borders count="3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left" vertical="center" wrapText="1"/>
    </xf>
    <xf numFmtId="165" fontId="3" fillId="0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horizontal="left" vertical="top" wrapText="1"/>
    </xf>
    <xf numFmtId="0" fontId="7" fillId="5" borderId="2" applyAlignment="1" pivotButton="0" quotePrefix="0" xfId="0">
      <alignment horizontal="center" vertical="top" wrapText="1"/>
    </xf>
    <xf numFmtId="0" fontId="7" fillId="5" borderId="2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3" fillId="6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  <col width="14" customWidth="1" min="4" max="4"/>
    <col width="22" customWidth="1" min="5" max="5"/>
    <col width="10" customWidth="1" min="6" max="6"/>
  </cols>
  <sheetData>
    <row r="1">
      <c r="A1" s="1" t="inlineStr">
        <is>
          <t>FPA Executive Dashboard — Budget vs Actual (Monthly)</t>
        </is>
      </c>
    </row>
    <row r="2">
      <c r="A2" s="2" t="inlineStr">
        <is>
          <t>Use this as the finance backbone for your dashboard: Budget, Actual, Variance, and % Variance.</t>
        </is>
      </c>
    </row>
    <row r="4">
      <c r="A4" s="3" t="inlineStr">
        <is>
          <t>Month</t>
        </is>
      </c>
      <c r="B4" s="3" t="inlineStr">
        <is>
          <t>Budget</t>
        </is>
      </c>
      <c r="C4" s="3" t="inlineStr">
        <is>
          <t>Actual</t>
        </is>
      </c>
      <c r="D4" s="3" t="inlineStr">
        <is>
          <t>Variance</t>
        </is>
      </c>
      <c r="E4" s="3" t="inlineStr">
        <is>
          <t>Variance %</t>
        </is>
      </c>
      <c r="F4" s="3" t="inlineStr">
        <is>
          <t>Notes</t>
        </is>
      </c>
    </row>
    <row r="5">
      <c r="A5" s="4" t="inlineStr">
        <is>
          <t>Jan</t>
        </is>
      </c>
      <c r="B5" s="5" t="n">
        <v>100000</v>
      </c>
      <c r="C5" s="5">
        <f>B5*(1+IF(MOD(ROW(),4)=0,0.06,IF(MOD(ROW(),5)=0,-0.04,0.01)))</f>
        <v/>
      </c>
      <c r="D5" s="5">
        <f>C5-B5</f>
        <v/>
      </c>
      <c r="E5" s="6">
        <f>IF(B5=0,0,D5/B5)</f>
        <v/>
      </c>
      <c r="F5" s="4" t="inlineStr"/>
    </row>
    <row r="6">
      <c r="A6" s="4" t="inlineStr">
        <is>
          <t>Feb</t>
        </is>
      </c>
      <c r="B6" s="5" t="n">
        <v>102500</v>
      </c>
      <c r="C6" s="5">
        <f>B6*(1+IF(MOD(ROW(),4)=0,0.06,IF(MOD(ROW(),5)=0,-0.04,0.01)))</f>
        <v/>
      </c>
      <c r="D6" s="5">
        <f>C6-B6</f>
        <v/>
      </c>
      <c r="E6" s="6">
        <f>IF(B6=0,0,D6/B6)</f>
        <v/>
      </c>
      <c r="F6" s="4" t="inlineStr"/>
    </row>
    <row r="7">
      <c r="A7" s="4" t="inlineStr">
        <is>
          <t>Mar</t>
        </is>
      </c>
      <c r="B7" s="5" t="n">
        <v>105000</v>
      </c>
      <c r="C7" s="5">
        <f>B7*(1+IF(MOD(ROW(),4)=0,0.06,IF(MOD(ROW(),5)=0,-0.04,0.01)))</f>
        <v/>
      </c>
      <c r="D7" s="5">
        <f>C7-B7</f>
        <v/>
      </c>
      <c r="E7" s="6">
        <f>IF(B7=0,0,D7/B7)</f>
        <v/>
      </c>
      <c r="F7" s="4" t="inlineStr"/>
    </row>
    <row r="8">
      <c r="A8" s="4" t="inlineStr">
        <is>
          <t>Apr</t>
        </is>
      </c>
      <c r="B8" s="5" t="n">
        <v>107500</v>
      </c>
      <c r="C8" s="5">
        <f>B8*(1+IF(MOD(ROW(),4)=0,0.06,IF(MOD(ROW(),5)=0,-0.04,0.01)))</f>
        <v/>
      </c>
      <c r="D8" s="5">
        <f>C8-B8</f>
        <v/>
      </c>
      <c r="E8" s="6">
        <f>IF(B8=0,0,D8/B8)</f>
        <v/>
      </c>
      <c r="F8" s="4" t="inlineStr"/>
    </row>
    <row r="9">
      <c r="A9" s="4" t="inlineStr">
        <is>
          <t>May</t>
        </is>
      </c>
      <c r="B9" s="5" t="n">
        <v>110000</v>
      </c>
      <c r="C9" s="5">
        <f>B9*(1+IF(MOD(ROW(),4)=0,0.06,IF(MOD(ROW(),5)=0,-0.04,0.01)))</f>
        <v/>
      </c>
      <c r="D9" s="5">
        <f>C9-B9</f>
        <v/>
      </c>
      <c r="E9" s="6">
        <f>IF(B9=0,0,D9/B9)</f>
        <v/>
      </c>
      <c r="F9" s="4" t="inlineStr"/>
    </row>
    <row r="10">
      <c r="A10" s="4" t="inlineStr">
        <is>
          <t>Jun</t>
        </is>
      </c>
      <c r="B10" s="5" t="n">
        <v>112500</v>
      </c>
      <c r="C10" s="5">
        <f>B10*(1+IF(MOD(ROW(),4)=0,0.06,IF(MOD(ROW(),5)=0,-0.04,0.01)))</f>
        <v/>
      </c>
      <c r="D10" s="5">
        <f>C10-B10</f>
        <v/>
      </c>
      <c r="E10" s="6">
        <f>IF(B10=0,0,D10/B10)</f>
        <v/>
      </c>
      <c r="F10" s="4" t="inlineStr"/>
    </row>
    <row r="11">
      <c r="A11" s="4" t="inlineStr">
        <is>
          <t>Jul</t>
        </is>
      </c>
      <c r="B11" s="5" t="n">
        <v>115000</v>
      </c>
      <c r="C11" s="5">
        <f>B11*(1+IF(MOD(ROW(),4)=0,0.06,IF(MOD(ROW(),5)=0,-0.04,0.01)))</f>
        <v/>
      </c>
      <c r="D11" s="5">
        <f>C11-B11</f>
        <v/>
      </c>
      <c r="E11" s="6">
        <f>IF(B11=0,0,D11/B11)</f>
        <v/>
      </c>
      <c r="F11" s="4" t="inlineStr"/>
    </row>
    <row r="12">
      <c r="A12" s="4" t="inlineStr">
        <is>
          <t>Aug</t>
        </is>
      </c>
      <c r="B12" s="5" t="n">
        <v>117500</v>
      </c>
      <c r="C12" s="5">
        <f>B12*(1+IF(MOD(ROW(),4)=0,0.06,IF(MOD(ROW(),5)=0,-0.04,0.01)))</f>
        <v/>
      </c>
      <c r="D12" s="5">
        <f>C12-B12</f>
        <v/>
      </c>
      <c r="E12" s="6">
        <f>IF(B12=0,0,D12/B12)</f>
        <v/>
      </c>
      <c r="F12" s="4" t="inlineStr"/>
    </row>
    <row r="13">
      <c r="A13" s="4" t="inlineStr">
        <is>
          <t>Sep</t>
        </is>
      </c>
      <c r="B13" s="5" t="n">
        <v>120000</v>
      </c>
      <c r="C13" s="5">
        <f>B13*(1+IF(MOD(ROW(),4)=0,0.06,IF(MOD(ROW(),5)=0,-0.04,0.01)))</f>
        <v/>
      </c>
      <c r="D13" s="5">
        <f>C13-B13</f>
        <v/>
      </c>
      <c r="E13" s="6">
        <f>IF(B13=0,0,D13/B13)</f>
        <v/>
      </c>
      <c r="F13" s="4" t="inlineStr"/>
    </row>
    <row r="14">
      <c r="A14" s="4" t="inlineStr">
        <is>
          <t>Oct</t>
        </is>
      </c>
      <c r="B14" s="5" t="n">
        <v>122500</v>
      </c>
      <c r="C14" s="5">
        <f>B14*(1+IF(MOD(ROW(),4)=0,0.06,IF(MOD(ROW(),5)=0,-0.04,0.01)))</f>
        <v/>
      </c>
      <c r="D14" s="5">
        <f>C14-B14</f>
        <v/>
      </c>
      <c r="E14" s="6">
        <f>IF(B14=0,0,D14/B14)</f>
        <v/>
      </c>
      <c r="F14" s="4" t="inlineStr"/>
    </row>
    <row r="15">
      <c r="A15" s="4" t="inlineStr">
        <is>
          <t>Nov</t>
        </is>
      </c>
      <c r="B15" s="5" t="n">
        <v>125000</v>
      </c>
      <c r="C15" s="5">
        <f>B15*(1+IF(MOD(ROW(),4)=0,0.06,IF(MOD(ROW(),5)=0,-0.04,0.01)))</f>
        <v/>
      </c>
      <c r="D15" s="5">
        <f>C15-B15</f>
        <v/>
      </c>
      <c r="E15" s="6">
        <f>IF(B15=0,0,D15/B15)</f>
        <v/>
      </c>
      <c r="F15" s="4" t="inlineStr"/>
    </row>
    <row r="16">
      <c r="A16" s="4" t="inlineStr">
        <is>
          <t>Dec</t>
        </is>
      </c>
      <c r="B16" s="5" t="n">
        <v>127500</v>
      </c>
      <c r="C16" s="5">
        <f>B16*(1+IF(MOD(ROW(),4)=0,0.06,IF(MOD(ROW(),5)=0,-0.04,0.01)))</f>
        <v/>
      </c>
      <c r="D16" s="5">
        <f>C16-B16</f>
        <v/>
      </c>
      <c r="E16" s="6">
        <f>IF(B16=0,0,D16/B16)</f>
        <v/>
      </c>
      <c r="F16" s="4" t="inlineStr"/>
    </row>
    <row r="17">
      <c r="A17" s="7" t="inlineStr">
        <is>
          <t>Total</t>
        </is>
      </c>
      <c r="B17" s="8">
        <f>SUM(B5:B16)</f>
        <v/>
      </c>
      <c r="C17" s="8">
        <f>SUM(C5:C16)</f>
        <v/>
      </c>
      <c r="D17" s="8">
        <f>SUM(D5:D16)</f>
        <v/>
      </c>
      <c r="E17" s="9">
        <f>IF(B17=0,0,D17/B17)</f>
        <v/>
      </c>
      <c r="F17" s="4" t="n"/>
    </row>
  </sheetData>
  <mergeCells count="2">
    <mergeCell ref="A2:F2"/>
    <mergeCell ref="A1:F1"/>
  </mergeCells>
  <conditionalFormatting sqref="E5:E17">
    <cfRule type="colorScale" priority="1">
      <colorScale>
        <cfvo type="num" val="-0.15"/>
        <cfvo type="num" val="0"/>
        <cfvo type="num" val="0.1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10" customWidth="1" min="3" max="3"/>
    <col width="14" customWidth="1" min="4" max="4"/>
  </cols>
  <sheetData>
    <row r="1">
      <c r="A1" s="1" t="inlineStr">
        <is>
          <t>FPA Executive Dashboard — KPI Scorecard</t>
        </is>
      </c>
    </row>
    <row r="2">
      <c r="A2" s="2" t="inlineStr">
        <is>
          <t>Link these KPIs into Power BI/Tableau and track MoM + YTD performance.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Target</t>
        </is>
      </c>
      <c r="D4" s="3" t="inlineStr">
        <is>
          <t>Status Notes</t>
        </is>
      </c>
    </row>
    <row r="5">
      <c r="A5" s="4" t="inlineStr">
        <is>
          <t>Revenue (YTD)</t>
        </is>
      </c>
      <c r="B5" s="5">
        <f>'Budget vs Actual'!C17</f>
        <v/>
      </c>
      <c r="C5" s="4" t="inlineStr"/>
      <c r="D5" s="4" t="inlineStr"/>
    </row>
    <row r="6">
      <c r="A6" s="4" t="inlineStr">
        <is>
          <t>Revenue Budget (YTD)</t>
        </is>
      </c>
      <c r="B6" s="5">
        <f>'Budget vs Actual'!B17</f>
        <v/>
      </c>
      <c r="C6" s="4" t="inlineStr"/>
      <c r="D6" s="4" t="inlineStr"/>
    </row>
    <row r="7">
      <c r="A7" s="4" t="inlineStr">
        <is>
          <t>Revenue Variance (YTD)</t>
        </is>
      </c>
      <c r="B7" s="5">
        <f>'Budget vs Actual'!D17</f>
        <v/>
      </c>
      <c r="C7" s="4" t="inlineStr"/>
      <c r="D7" s="4" t="inlineStr"/>
    </row>
    <row r="8">
      <c r="A8" s="4" t="inlineStr">
        <is>
          <t>Variance % (YTD)</t>
        </is>
      </c>
      <c r="B8" s="6">
        <f>'Budget vs Actual'!E17</f>
        <v/>
      </c>
      <c r="C8" s="4" t="inlineStr"/>
      <c r="D8" s="4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28" customWidth="1" min="3" max="3"/>
    <col width="28" customWidth="1" min="4" max="4"/>
    <col width="30" customWidth="1" min="5" max="5"/>
  </cols>
  <sheetData>
    <row r="1" ht="28" customHeight="1">
      <c r="A1" s="10" t="inlineStr">
        <is>
          <t>Financial Analyst Workstreams — 01 FPA Executive Dashboard</t>
        </is>
      </c>
    </row>
    <row r="2" ht="34" customHeight="1">
      <c r="A2" s="11" t="inlineStr">
        <is>
          <t>This sheet summarizes how the Excel models + SQL + Python artifacts in this project map to core Financial Analyst responsibilities.</t>
        </is>
      </c>
    </row>
    <row r="4" ht="22" customHeight="1">
      <c r="A4" s="12" t="inlineStr">
        <is>
          <t>Workstream</t>
        </is>
      </c>
      <c r="B4" s="12" t="inlineStr">
        <is>
          <t>What you do</t>
        </is>
      </c>
      <c r="C4" s="12" t="inlineStr">
        <is>
          <t>Key metrics</t>
        </is>
      </c>
      <c r="D4" s="12" t="inlineStr">
        <is>
          <t>Tools used</t>
        </is>
      </c>
      <c r="E4" s="12" t="inlineStr">
        <is>
          <t>Deliverables</t>
        </is>
      </c>
    </row>
    <row r="5" ht="70" customHeight="1">
      <c r="A5" s="13" t="inlineStr">
        <is>
          <t>Budgeting &amp; Forecasting</t>
        </is>
      </c>
      <c r="B5" s="14" t="inlineStr">
        <is>
          <t>Develop annual budgets and rolling forecasts using driver-based assumptions and scenario modeling.</t>
        </is>
      </c>
      <c r="C5" s="14" t="inlineStr">
        <is>
          <t>Revenue, Gross Margin, OpEx, EBITDA, Net Income, Cash Flow, Budget vs Actual (BvA) variances</t>
        </is>
      </c>
      <c r="D5" s="14" t="inlineStr">
        <is>
          <t>Excel (Budget vs Actual + Forecast + Scenario Toggle), Power BI/Tableau dashboards</t>
        </is>
      </c>
      <c r="E5" s="14" t="inlineStr">
        <is>
          <t>Annual budget workbook, 12-month rolling forecast, best/base/worst scenario summary</t>
        </is>
      </c>
    </row>
    <row r="6" ht="70" customHeight="1">
      <c r="A6" s="15" t="inlineStr">
        <is>
          <t>Financial Analysis</t>
        </is>
      </c>
      <c r="B6" s="16" t="inlineStr">
        <is>
          <t>Analyze performance, identify trends, explain variances, and assess profitability at product/department level.</t>
        </is>
      </c>
      <c r="C6" s="16" t="inlineStr">
        <is>
          <t>MoM/QoQ/YoY growth, variance % and $ impact, contribution margin, ROA/ROIC, unit economics</t>
        </is>
      </c>
      <c r="D6" s="16" t="inlineStr">
        <is>
          <t>SQL (joins, KPI tables), Excel (variance bridge), Python (trend charts)</t>
        </is>
      </c>
      <c r="E6" s="16" t="inlineStr">
        <is>
          <t>Variance bridge, profitability by segment, trend commentary + recommendation bullets</t>
        </is>
      </c>
    </row>
    <row r="7" ht="70" customHeight="1">
      <c r="A7" s="13" t="inlineStr">
        <is>
          <t>Strategic Planning</t>
        </is>
      </c>
      <c r="B7" s="14" t="inlineStr">
        <is>
          <t>Support long-term goals, capital allocation, and evaluate new investments/projects with ROI logic.</t>
        </is>
      </c>
      <c r="C7" s="14" t="inlineStr">
        <is>
          <t>NPV, IRR, Payback Period, CAC:LTV, portfolio mix, capacity/utilization</t>
        </is>
      </c>
      <c r="D7" s="14" t="inlineStr">
        <is>
          <t>Excel (DCF/NPV models), SQL (cohorts/segments), dashboards for exec review</t>
        </is>
      </c>
      <c r="E7" s="14" t="inlineStr">
        <is>
          <t>Investment memo inputs, capital allocation scenario, go/no-go recommendation</t>
        </is>
      </c>
    </row>
    <row r="8" ht="70" customHeight="1">
      <c r="A8" s="15" t="inlineStr">
        <is>
          <t>Business Partnering</t>
        </is>
      </c>
      <c r="B8" s="16" t="inlineStr">
        <is>
          <t>Collaborate with Sales/Marketing/R&amp;D/Ops to understand financial impacts and drive operational improvements.</t>
        </is>
      </c>
      <c r="C8" s="16" t="inlineStr">
        <is>
          <t>Pipeline-to-revenue, price/volume/mix, campaign ROI, churn/retention impact, cost-to-serve</t>
        </is>
      </c>
      <c r="D8" s="16" t="inlineStr">
        <is>
          <t>Stakeholder intake template, KPI scorecard, scenario toggle for tradeoffs</t>
        </is>
      </c>
      <c r="E8" s="16" t="inlineStr">
        <is>
          <t>Cross-functional KPI scorecard, action plan with owners/dates, impact estimate</t>
        </is>
      </c>
    </row>
    <row r="9" ht="70" customHeight="1">
      <c r="A9" s="13" t="inlineStr">
        <is>
          <t>Reporting</t>
        </is>
      </c>
      <c r="B9" s="14" t="inlineStr">
        <is>
          <t>Create clear reports and presentations for senior management/board with consistent definitions and story.</t>
        </is>
      </c>
      <c r="C9" s="14" t="inlineStr">
        <is>
          <t>Executive KPIs, variance callouts, forecast accuracy, risk/opportunity pipeline</t>
        </is>
      </c>
      <c r="D9" s="14" t="inlineStr">
        <is>
          <t>PowerPoint-ready exports, dashboard screenshots, narrative summary in Excel</t>
        </is>
      </c>
      <c r="E9" s="14" t="inlineStr">
        <is>
          <t>Monthly performance pack, board-ready highlights, one-page exec summary</t>
        </is>
      </c>
    </row>
    <row r="11" ht="38" customHeight="1">
      <c r="A11" s="17" t="inlineStr">
        <is>
          <t>How to use: Keep this tab in your GitHub Excel artifacts. When presenting your project, reference this sheet to explain how your models support budgeting, forecasting, strategic decisions, and executive reporting.</t>
        </is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</cols>
  <sheetData>
    <row r="1">
      <c r="A1" s="18" t="inlineStr">
        <is>
          <t>Executive Reporting Pack</t>
        </is>
      </c>
    </row>
    <row r="3">
      <c r="A3" s="19" t="inlineStr">
        <is>
          <t>KPI Snapshot</t>
        </is>
      </c>
    </row>
    <row r="4">
      <c r="A4" s="20" t="inlineStr">
        <is>
          <t>• Revenue Growth (YoY): 14.8%</t>
        </is>
      </c>
    </row>
    <row r="5">
      <c r="A5" s="20" t="inlineStr">
        <is>
          <t>• Gross Margin: 62.4%</t>
        </is>
      </c>
    </row>
    <row r="6">
      <c r="A6" s="20" t="inlineStr">
        <is>
          <t>• Operating Margin: 28.1%</t>
        </is>
      </c>
    </row>
    <row r="7">
      <c r="A7" s="20" t="inlineStr">
        <is>
          <t>• Customer Acquisition Cost: $42</t>
        </is>
      </c>
    </row>
    <row r="8">
      <c r="A8" s="20" t="inlineStr">
        <is>
          <t>• LTV:CAC Ratio: 5.6x</t>
        </is>
      </c>
    </row>
    <row r="10">
      <c r="A10" s="19" t="inlineStr">
        <is>
          <t>Key Highlights</t>
        </is>
      </c>
    </row>
    <row r="11">
      <c r="A11" s="20" t="inlineStr">
        <is>
          <t>• Strong revenue acceleration driven by enterprise customer expansion.</t>
        </is>
      </c>
    </row>
    <row r="12">
      <c r="A12" s="20" t="inlineStr">
        <is>
          <t>• Marketing efficiency improved with CAC down 11% quarter-over-quarter.</t>
        </is>
      </c>
    </row>
    <row r="13">
      <c r="A13" s="20" t="inlineStr">
        <is>
          <t>• High-margin product mix shift contributed to margin expansion.</t>
        </is>
      </c>
    </row>
    <row r="15">
      <c r="A15" s="19" t="inlineStr">
        <is>
          <t>Risks &amp; Watchouts</t>
        </is>
      </c>
    </row>
    <row r="16">
      <c r="A16" s="20" t="inlineStr">
        <is>
          <t>• Rising infrastructure costs could pressure margins if usage accelerates.</t>
        </is>
      </c>
    </row>
    <row r="17">
      <c r="A17" s="20" t="inlineStr">
        <is>
          <t>• Seasonality expected to soften Q3 demand without new campaign launches.</t>
        </is>
      </c>
    </row>
    <row r="19">
      <c r="A19" s="19" t="inlineStr">
        <is>
          <t>Next Actions</t>
        </is>
      </c>
    </row>
    <row r="20">
      <c r="A20" s="20" t="inlineStr">
        <is>
          <t>• Reallocate budget toward highest-performing acquisition channels.</t>
        </is>
      </c>
    </row>
    <row r="21">
      <c r="A21" s="20" t="inlineStr">
        <is>
          <t>• Launch retention-focused initiatives for mid-tier customer segment.</t>
        </is>
      </c>
    </row>
    <row r="22">
      <c r="A22" s="20" t="inlineStr">
        <is>
          <t>• Update pricing experiments for underperforming plans.</t>
        </is>
      </c>
    </row>
  </sheetData>
  <mergeCells count="18">
    <mergeCell ref="A1:D1"/>
    <mergeCell ref="A5:D5"/>
    <mergeCell ref="A17:D17"/>
    <mergeCell ref="A8:D8"/>
    <mergeCell ref="A6:D6"/>
    <mergeCell ref="A22:D22"/>
    <mergeCell ref="A12:D12"/>
    <mergeCell ref="A4:D4"/>
    <mergeCell ref="A3:D3"/>
    <mergeCell ref="A20:D20"/>
    <mergeCell ref="A21:D21"/>
    <mergeCell ref="A15:D15"/>
    <mergeCell ref="A7:D7"/>
    <mergeCell ref="A16:D16"/>
    <mergeCell ref="A11:D11"/>
    <mergeCell ref="A19:D19"/>
    <mergeCell ref="A10:D10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2026-01-18T03:07:40Z</dcterms:created>
  <dcterms:modified xmlns:dcterms="http://purl.org/dc/terms/" xmlns:xsi="http://www.w3.org/2001/XMLSchema-instance" xsi:type="dcterms:W3CDTF">2026-01-18T06:14:48Z</dcterms:modified>
</cp:coreProperties>
</file>