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CF Projection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FA_Workstreams" sheetId="4" state="visible" r:id="rId4"/>
    <sheet xmlns:r="http://schemas.openxmlformats.org/officeDocument/2006/relationships" name="Executive_Reporting_P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0"/>
    <numFmt numFmtId="167" formatCode="$0.0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  <color rgb="00FFFFFF"/>
    </font>
    <font>
      <b val="1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7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FPA Executive Dashboard — DCF Valuation Model (5Y)</t>
        </is>
      </c>
    </row>
    <row r="2">
      <c r="A2" s="2" t="inlineStr">
        <is>
          <t>Edit assumptions. The valuation summary updates automatically.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Revenue (Year 0)</t>
        </is>
      </c>
      <c r="B5" s="5" t="n">
        <v>2000000</v>
      </c>
      <c r="C5" s="4" t="inlineStr"/>
    </row>
    <row r="6">
      <c r="A6" s="4" t="inlineStr">
        <is>
          <t>FCF Margin</t>
        </is>
      </c>
      <c r="B6" s="6" t="n">
        <v>0.12</v>
      </c>
      <c r="C6" s="4" t="inlineStr"/>
    </row>
    <row r="7">
      <c r="A7" s="4" t="inlineStr">
        <is>
          <t>Revenue Growth (Y1–Y5)</t>
        </is>
      </c>
      <c r="B7" s="6" t="n">
        <v>0.1</v>
      </c>
      <c r="C7" s="4" t="inlineStr"/>
    </row>
    <row r="8">
      <c r="A8" s="4" t="inlineStr">
        <is>
          <t>WACC / Discount Rate</t>
        </is>
      </c>
      <c r="B8" s="6" t="n">
        <v>0.11</v>
      </c>
      <c r="C8" s="4" t="inlineStr"/>
    </row>
    <row r="9">
      <c r="A9" s="4" t="inlineStr">
        <is>
          <t>Terminal Growth Rate</t>
        </is>
      </c>
      <c r="B9" s="6" t="n">
        <v>0.03</v>
      </c>
      <c r="C9" s="4" t="inlineStr"/>
    </row>
    <row r="10">
      <c r="A10" s="4" t="inlineStr">
        <is>
          <t>Net Debt (Debt - Cash)</t>
        </is>
      </c>
      <c r="B10" s="5" t="n">
        <v>250000</v>
      </c>
      <c r="C10" s="4" t="inlineStr"/>
    </row>
    <row r="11">
      <c r="A11" s="4" t="inlineStr">
        <is>
          <t>Shares Outstanding</t>
        </is>
      </c>
      <c r="B11" s="7" t="n">
        <v>1000000</v>
      </c>
      <c r="C1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9" customWidth="1" min="3" max="3"/>
    <col width="26" customWidth="1" min="4" max="4"/>
    <col width="27" customWidth="1" min="5" max="5"/>
    <col width="40" customWidth="1" min="6" max="6"/>
    <col width="19" customWidth="1" min="7" max="7"/>
  </cols>
  <sheetData>
    <row r="1">
      <c r="A1" s="1" t="inlineStr">
        <is>
          <t>Free Cash Flow Projection</t>
        </is>
      </c>
    </row>
    <row r="3">
      <c r="A3" s="3" t="inlineStr">
        <is>
          <t>Year</t>
        </is>
      </c>
      <c r="B3" s="3" t="inlineStr">
        <is>
          <t>Revenue</t>
        </is>
      </c>
      <c r="C3" s="3" t="inlineStr">
        <is>
          <t>FCF Margin</t>
        </is>
      </c>
      <c r="D3" s="3" t="inlineStr">
        <is>
          <t>FCF</t>
        </is>
      </c>
      <c r="E3" s="3" t="inlineStr">
        <is>
          <t>Discount Factor</t>
        </is>
      </c>
      <c r="F3" s="3" t="inlineStr">
        <is>
          <t>PV of FCF</t>
        </is>
      </c>
      <c r="G3" s="3" t="inlineStr">
        <is>
          <t>Notes</t>
        </is>
      </c>
    </row>
    <row r="4">
      <c r="A4" s="4" t="n">
        <v>1</v>
      </c>
      <c r="B4" s="5">
        <f>'Assumptions'!B5*(1+'Assumptions'!B7)</f>
        <v/>
      </c>
      <c r="C4" s="6">
        <f>'Assumptions'!B6</f>
        <v/>
      </c>
      <c r="D4" s="5">
        <f>B4*C4</f>
        <v/>
      </c>
      <c r="E4" s="8">
        <f>1/(1+'Assumptions'!B8)^1</f>
        <v/>
      </c>
      <c r="F4" s="5">
        <f>D4*E4</f>
        <v/>
      </c>
      <c r="G4" s="4" t="inlineStr"/>
    </row>
    <row r="5">
      <c r="A5" s="4" t="n">
        <v>2</v>
      </c>
      <c r="B5" s="5">
        <f>B4*(1+'Assumptions'!B7)</f>
        <v/>
      </c>
      <c r="C5" s="6">
        <f>'Assumptions'!B6</f>
        <v/>
      </c>
      <c r="D5" s="5">
        <f>B5*C5</f>
        <v/>
      </c>
      <c r="E5" s="8">
        <f>1/(1+'Assumptions'!B8)^2</f>
        <v/>
      </c>
      <c r="F5" s="5">
        <f>D5*E5</f>
        <v/>
      </c>
      <c r="G5" s="4" t="inlineStr"/>
    </row>
    <row r="6">
      <c r="A6" s="4" t="n">
        <v>3</v>
      </c>
      <c r="B6" s="5">
        <f>B5*(1+'Assumptions'!B7)</f>
        <v/>
      </c>
      <c r="C6" s="6">
        <f>'Assumptions'!B6</f>
        <v/>
      </c>
      <c r="D6" s="5">
        <f>B6*C6</f>
        <v/>
      </c>
      <c r="E6" s="8">
        <f>1/(1+'Assumptions'!B8)^3</f>
        <v/>
      </c>
      <c r="F6" s="5">
        <f>D6*E6</f>
        <v/>
      </c>
      <c r="G6" s="4" t="inlineStr"/>
    </row>
    <row r="7">
      <c r="A7" s="4" t="n">
        <v>4</v>
      </c>
      <c r="B7" s="5">
        <f>B6*(1+'Assumptions'!B7)</f>
        <v/>
      </c>
      <c r="C7" s="6">
        <f>'Assumptions'!B6</f>
        <v/>
      </c>
      <c r="D7" s="5">
        <f>B7*C7</f>
        <v/>
      </c>
      <c r="E7" s="8">
        <f>1/(1+'Assumptions'!B8)^4</f>
        <v/>
      </c>
      <c r="F7" s="5">
        <f>D7*E7</f>
        <v/>
      </c>
      <c r="G7" s="4" t="inlineStr"/>
    </row>
    <row r="8">
      <c r="A8" s="4" t="n">
        <v>5</v>
      </c>
      <c r="B8" s="5">
        <f>B7*(1+'Assumptions'!B7)</f>
        <v/>
      </c>
      <c r="C8" s="6">
        <f>'Assumptions'!B6</f>
        <v/>
      </c>
      <c r="D8" s="5">
        <f>B8*C8</f>
        <v/>
      </c>
      <c r="E8" s="8">
        <f>1/(1+'Assumptions'!B8)^5</f>
        <v/>
      </c>
      <c r="F8" s="5">
        <f>D8*E8</f>
        <v/>
      </c>
      <c r="G8" s="4" t="inlineStr"/>
    </row>
    <row r="9">
      <c r="A9" s="4" t="inlineStr">
        <is>
          <t>TV</t>
        </is>
      </c>
      <c r="B9" s="5" t="inlineStr"/>
      <c r="C9" s="6" t="inlineStr"/>
      <c r="D9" s="5">
        <f>D8*(1+'Assumptions'!B9)</f>
        <v/>
      </c>
      <c r="E9" s="8">
        <f>1/(1+'Assumptions'!B8)^5</f>
        <v/>
      </c>
      <c r="F9" s="5">
        <f>(D9/('Assumptions'!B8-'Assumptions'!B9))*E9</f>
        <v/>
      </c>
      <c r="G9" s="4" t="inlineStr">
        <is>
          <t>Terminal Value PV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40" customWidth="1" min="3" max="3"/>
    <col width="10" customWidth="1" min="4" max="4"/>
  </cols>
  <sheetData>
    <row r="1">
      <c r="A1" s="1" t="inlineStr">
        <is>
          <t>Valuation Summary</t>
        </is>
      </c>
    </row>
    <row r="3">
      <c r="A3" s="9" t="inlineStr">
        <is>
          <t>PV of FCFs (Y1–Y5)</t>
        </is>
      </c>
      <c r="B3" s="5">
        <f>SUM('FCF Projection'!F4:F8)</f>
        <v/>
      </c>
    </row>
    <row r="4">
      <c r="A4" s="9" t="inlineStr">
        <is>
          <t>PV of Terminal Value</t>
        </is>
      </c>
      <c r="B4" s="5">
        <f>'FCF Projection'!F9</f>
        <v/>
      </c>
    </row>
    <row r="5">
      <c r="A5" s="9" t="inlineStr">
        <is>
          <t>Enterprise Value</t>
        </is>
      </c>
      <c r="B5" s="5">
        <f>B3+B4</f>
        <v/>
      </c>
    </row>
    <row r="6">
      <c r="A6" s="9" t="inlineStr">
        <is>
          <t>Less: Net Debt</t>
        </is>
      </c>
      <c r="B6" s="5">
        <f>'Assumptions'!B10</f>
        <v/>
      </c>
    </row>
    <row r="7">
      <c r="A7" s="9" t="inlineStr">
        <is>
          <t>Equity Value</t>
        </is>
      </c>
      <c r="B7" s="5">
        <f>B5-B6</f>
        <v/>
      </c>
    </row>
    <row r="8">
      <c r="A8" s="9" t="inlineStr">
        <is>
          <t>Shares Outstanding</t>
        </is>
      </c>
      <c r="B8" s="5">
        <f>'Assumptions'!B11</f>
        <v/>
      </c>
    </row>
    <row r="9">
      <c r="A9" s="9" t="inlineStr">
        <is>
          <t>Implied Value / Share</t>
        </is>
      </c>
      <c r="B9" s="10">
        <f>IF(B8=0,0,B7/B8)</f>
        <v/>
      </c>
    </row>
    <row r="11">
      <c r="A11" s="9" t="inlineStr">
        <is>
          <t>Scenario Toggle</t>
        </is>
      </c>
      <c r="B11" s="4" t="inlineStr">
        <is>
          <t>Base</t>
        </is>
      </c>
      <c r="C11" s="4" t="inlineStr">
        <is>
          <t>Use Bull/Bear by adjusting assumptions (growth, margin, WACC).</t>
        </is>
      </c>
    </row>
  </sheetData>
  <mergeCells count="1">
    <mergeCell ref="A1:D1"/>
  </mergeCells>
  <dataValidations count="1">
    <dataValidation sqref="B11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11" t="inlineStr">
        <is>
          <t>Financial Analyst Workstreams — 01 FPA Executive Dashboard</t>
        </is>
      </c>
    </row>
    <row r="2" ht="34" customHeight="1">
      <c r="A2" s="12" t="inlineStr">
        <is>
          <t>This sheet summarizes how the Excel models + SQL + Python artifacts in this project map to core Financial Analyst responsibilities.</t>
        </is>
      </c>
    </row>
    <row r="4" ht="22" customHeight="1">
      <c r="A4" s="13" t="inlineStr">
        <is>
          <t>Workstream</t>
        </is>
      </c>
      <c r="B4" s="13" t="inlineStr">
        <is>
          <t>What you do</t>
        </is>
      </c>
      <c r="C4" s="13" t="inlineStr">
        <is>
          <t>Key metrics</t>
        </is>
      </c>
      <c r="D4" s="13" t="inlineStr">
        <is>
          <t>Tools used</t>
        </is>
      </c>
      <c r="E4" s="13" t="inlineStr">
        <is>
          <t>Deliverables</t>
        </is>
      </c>
    </row>
    <row r="5" ht="70" customHeight="1">
      <c r="A5" s="14" t="inlineStr">
        <is>
          <t>Budgeting &amp; Forecasting</t>
        </is>
      </c>
      <c r="B5" s="15" t="inlineStr">
        <is>
          <t>Develop annual budgets and rolling forecasts using driver-based assumptions and scenario modeling.</t>
        </is>
      </c>
      <c r="C5" s="15" t="inlineStr">
        <is>
          <t>Revenue, Gross Margin, OpEx, EBITDA, Net Income, Cash Flow, Budget vs Actual (BvA) variances</t>
        </is>
      </c>
      <c r="D5" s="15" t="inlineStr">
        <is>
          <t>Excel (Budget vs Actual + Forecast + Scenario Toggle), Power BI/Tableau dashboards</t>
        </is>
      </c>
      <c r="E5" s="15" t="inlineStr">
        <is>
          <t>Annual budget workbook, 12-month rolling forecast, best/base/worst scenario summary</t>
        </is>
      </c>
    </row>
    <row r="6" ht="70" customHeight="1">
      <c r="A6" s="16" t="inlineStr">
        <is>
          <t>Financial Analysis</t>
        </is>
      </c>
      <c r="B6" s="17" t="inlineStr">
        <is>
          <t>Analyze performance, identify trends, explain variances, and assess profitability at product/department level.</t>
        </is>
      </c>
      <c r="C6" s="17" t="inlineStr">
        <is>
          <t>MoM/QoQ/YoY growth, variance % and $ impact, contribution margin, ROA/ROIC, unit economics</t>
        </is>
      </c>
      <c r="D6" s="17" t="inlineStr">
        <is>
          <t>SQL (joins, KPI tables), Excel (variance bridge), Python (trend charts)</t>
        </is>
      </c>
      <c r="E6" s="17" t="inlineStr">
        <is>
          <t>Variance bridge, profitability by segment, trend commentary + recommendation bullets</t>
        </is>
      </c>
    </row>
    <row r="7" ht="70" customHeight="1">
      <c r="A7" s="14" t="inlineStr">
        <is>
          <t>Strategic Planning</t>
        </is>
      </c>
      <c r="B7" s="15" t="inlineStr">
        <is>
          <t>Support long-term goals, capital allocation, and evaluate new investments/projects with ROI logic.</t>
        </is>
      </c>
      <c r="C7" s="15" t="inlineStr">
        <is>
          <t>NPV, IRR, Payback Period, CAC:LTV, portfolio mix, capacity/utilization</t>
        </is>
      </c>
      <c r="D7" s="15" t="inlineStr">
        <is>
          <t>Excel (DCF/NPV models), SQL (cohorts/segments), dashboards for exec review</t>
        </is>
      </c>
      <c r="E7" s="15" t="inlineStr">
        <is>
          <t>Investment memo inputs, capital allocation scenario, go/no-go recommendation</t>
        </is>
      </c>
    </row>
    <row r="8" ht="70" customHeight="1">
      <c r="A8" s="16" t="inlineStr">
        <is>
          <t>Business Partnering</t>
        </is>
      </c>
      <c r="B8" s="17" t="inlineStr">
        <is>
          <t>Collaborate with Sales/Marketing/R&amp;D/Ops to understand financial impacts and drive operational improvements.</t>
        </is>
      </c>
      <c r="C8" s="17" t="inlineStr">
        <is>
          <t>Pipeline-to-revenue, price/volume/mix, campaign ROI, churn/retention impact, cost-to-serve</t>
        </is>
      </c>
      <c r="D8" s="17" t="inlineStr">
        <is>
          <t>Stakeholder intake template, KPI scorecard, scenario toggle for tradeoffs</t>
        </is>
      </c>
      <c r="E8" s="17" t="inlineStr">
        <is>
          <t>Cross-functional KPI scorecard, action plan with owners/dates, impact estimate</t>
        </is>
      </c>
    </row>
    <row r="9" ht="70" customHeight="1">
      <c r="A9" s="14" t="inlineStr">
        <is>
          <t>Reporting</t>
        </is>
      </c>
      <c r="B9" s="15" t="inlineStr">
        <is>
          <t>Create clear reports and presentations for senior management/board with consistent definitions and story.</t>
        </is>
      </c>
      <c r="C9" s="15" t="inlineStr">
        <is>
          <t>Executive KPIs, variance callouts, forecast accuracy, risk/opportunity pipeline</t>
        </is>
      </c>
      <c r="D9" s="15" t="inlineStr">
        <is>
          <t>PowerPoint-ready exports, dashboard screenshots, narrative summary in Excel</t>
        </is>
      </c>
      <c r="E9" s="15" t="inlineStr">
        <is>
          <t>Monthly performance pack, board-ready highlights, one-page exec summary</t>
        </is>
      </c>
    </row>
    <row r="11" ht="38" customHeight="1">
      <c r="A11" s="18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9" t="inlineStr">
        <is>
          <t>Executive Reporting Pack</t>
        </is>
      </c>
    </row>
    <row r="3">
      <c r="A3" s="20" t="inlineStr">
        <is>
          <t>KPI Snapshot</t>
        </is>
      </c>
    </row>
    <row r="4">
      <c r="A4" s="21" t="inlineStr">
        <is>
          <t>• Revenue Growth (YoY): 14.8%</t>
        </is>
      </c>
    </row>
    <row r="5">
      <c r="A5" s="21" t="inlineStr">
        <is>
          <t>• Gross Margin: 62.4%</t>
        </is>
      </c>
    </row>
    <row r="6">
      <c r="A6" s="21" t="inlineStr">
        <is>
          <t>• Operating Margin: 28.1%</t>
        </is>
      </c>
    </row>
    <row r="7">
      <c r="A7" s="21" t="inlineStr">
        <is>
          <t>• Customer Acquisition Cost: $42</t>
        </is>
      </c>
    </row>
    <row r="8">
      <c r="A8" s="21" t="inlineStr">
        <is>
          <t>• LTV:CAC Ratio: 5.6x</t>
        </is>
      </c>
    </row>
    <row r="10">
      <c r="A10" s="20" t="inlineStr">
        <is>
          <t>Key Highlights</t>
        </is>
      </c>
    </row>
    <row r="11">
      <c r="A11" s="21" t="inlineStr">
        <is>
          <t>• Strong revenue acceleration driven by enterprise customer expansion.</t>
        </is>
      </c>
    </row>
    <row r="12">
      <c r="A12" s="21" t="inlineStr">
        <is>
          <t>• Marketing efficiency improved with CAC down 11% quarter-over-quarter.</t>
        </is>
      </c>
    </row>
    <row r="13">
      <c r="A13" s="21" t="inlineStr">
        <is>
          <t>• High-margin product mix shift contributed to margin expansion.</t>
        </is>
      </c>
    </row>
    <row r="15">
      <c r="A15" s="20" t="inlineStr">
        <is>
          <t>Risks &amp; Watchouts</t>
        </is>
      </c>
    </row>
    <row r="16">
      <c r="A16" s="21" t="inlineStr">
        <is>
          <t>• Rising infrastructure costs could pressure margins if usage accelerates.</t>
        </is>
      </c>
    </row>
    <row r="17">
      <c r="A17" s="21" t="inlineStr">
        <is>
          <t>• Seasonality expected to soften Q3 demand without new campaign launches.</t>
        </is>
      </c>
    </row>
    <row r="19">
      <c r="A19" s="20" t="inlineStr">
        <is>
          <t>Next Actions</t>
        </is>
      </c>
    </row>
    <row r="20">
      <c r="A20" s="21" t="inlineStr">
        <is>
          <t>• Reallocate budget toward highest-performing acquisition channels.</t>
        </is>
      </c>
    </row>
    <row r="21">
      <c r="A21" s="21" t="inlineStr">
        <is>
          <t>• Launch retention-focused initiatives for mid-tier customer segment.</t>
        </is>
      </c>
    </row>
    <row r="22">
      <c r="A22" s="21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2026-01-18T06:14:48Z</dcterms:modified>
</cp:coreProperties>
</file>