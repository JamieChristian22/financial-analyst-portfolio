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 Item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0" customWidth="1" min="3" max="3"/>
    <col width="12" customWidth="1" min="4" max="4"/>
    <col width="12" customWidth="1" min="5" max="5"/>
    <col width="39" customWidth="1" min="6" max="6"/>
  </cols>
  <sheetData>
    <row r="1">
      <c r="A1" s="1" t="inlineStr">
        <is>
          <t>Workstream</t>
        </is>
      </c>
      <c r="B1" s="1" t="inlineStr">
        <is>
          <t>Task</t>
        </is>
      </c>
      <c r="C1" s="1" t="inlineStr">
        <is>
          <t>Complexity (S/M/L)</t>
        </is>
      </c>
      <c r="D1" s="1" t="inlineStr">
        <is>
          <t>Est Hours</t>
        </is>
      </c>
      <c r="E1" s="1" t="inlineStr">
        <is>
          <t>Role</t>
        </is>
      </c>
      <c r="F1" s="1" t="inlineStr">
        <is>
          <t>Notes</t>
        </is>
      </c>
    </row>
    <row r="2">
      <c r="A2" s="2" t="inlineStr">
        <is>
          <t>Discovery</t>
        </is>
      </c>
      <c r="B2" s="2" t="inlineStr">
        <is>
          <t>Discovery workshop + notes</t>
        </is>
      </c>
      <c r="C2" s="2" t="inlineStr">
        <is>
          <t>M</t>
        </is>
      </c>
      <c r="D2" s="2" t="n">
        <v>12</v>
      </c>
      <c r="E2" s="2" t="inlineStr">
        <is>
          <t>Architect</t>
        </is>
      </c>
      <c r="F2" s="2" t="inlineStr">
        <is>
          <t>Includes stakeholder interviews</t>
        </is>
      </c>
    </row>
    <row r="3">
      <c r="A3" s="2" t="inlineStr">
        <is>
          <t>Assessment</t>
        </is>
      </c>
      <c r="B3" s="2" t="inlineStr">
        <is>
          <t>Well-Architected review + findings</t>
        </is>
      </c>
      <c r="C3" s="2" t="inlineStr">
        <is>
          <t>M</t>
        </is>
      </c>
      <c r="D3" s="2" t="n">
        <v>20</v>
      </c>
      <c r="E3" s="2" t="inlineStr">
        <is>
          <t>Architect</t>
        </is>
      </c>
      <c r="F3" s="2" t="inlineStr">
        <is>
          <t>6 pillars + readout</t>
        </is>
      </c>
    </row>
    <row r="4">
      <c r="A4" s="2" t="inlineStr">
        <is>
          <t>Security</t>
        </is>
      </c>
      <c r="B4" s="2" t="inlineStr">
        <is>
          <t>Enable org trail + baseline guardrails</t>
        </is>
      </c>
      <c r="C4" s="2" t="inlineStr">
        <is>
          <t>M</t>
        </is>
      </c>
      <c r="D4" s="2" t="n">
        <v>24</v>
      </c>
      <c r="E4" s="2" t="inlineStr">
        <is>
          <t>Security</t>
        </is>
      </c>
      <c r="F4" s="2" t="inlineStr">
        <is>
          <t>Depends on org access</t>
        </is>
      </c>
    </row>
    <row r="5">
      <c r="A5" s="2" t="inlineStr">
        <is>
          <t>FinOps</t>
        </is>
      </c>
      <c r="B5" s="2" t="inlineStr">
        <is>
          <t>Tagging policy + budget alerts</t>
        </is>
      </c>
      <c r="C5" s="2" t="inlineStr">
        <is>
          <t>S</t>
        </is>
      </c>
      <c r="D5" s="2" t="n">
        <v>12</v>
      </c>
      <c r="E5" s="2" t="inlineStr">
        <is>
          <t>FinOps</t>
        </is>
      </c>
      <c r="F5" s="2" t="inlineStr">
        <is>
          <t>Quick win</t>
        </is>
      </c>
    </row>
    <row r="6">
      <c r="A6" s="2" t="inlineStr">
        <is>
          <t>Design</t>
        </is>
      </c>
      <c r="B6" s="2" t="inlineStr">
        <is>
          <t>HLD + diagrams</t>
        </is>
      </c>
      <c r="C6" s="2" t="inlineStr">
        <is>
          <t>M</t>
        </is>
      </c>
      <c r="D6" s="2" t="n">
        <v>24</v>
      </c>
      <c r="E6" s="2" t="inlineStr">
        <is>
          <t>Architect</t>
        </is>
      </c>
      <c r="F6" s="2" t="inlineStr">
        <is>
          <t>One primary workload</t>
        </is>
      </c>
    </row>
    <row r="7">
      <c r="A7" s="2" t="inlineStr">
        <is>
          <t>Design</t>
        </is>
      </c>
      <c r="B7" s="2" t="inlineStr">
        <is>
          <t>LLD + IAM/network details</t>
        </is>
      </c>
      <c r="C7" s="2" t="inlineStr">
        <is>
          <t>L</t>
        </is>
      </c>
      <c r="D7" s="2" t="n">
        <v>40</v>
      </c>
      <c r="E7" s="2" t="inlineStr">
        <is>
          <t>Architect</t>
        </is>
      </c>
      <c r="F7" s="2" t="inlineStr">
        <is>
          <t>If multi-account + complex networking</t>
        </is>
      </c>
    </row>
    <row r="8">
      <c r="A8" s="2" t="inlineStr">
        <is>
          <t>Delivery</t>
        </is>
      </c>
      <c r="B8" s="2" t="inlineStr">
        <is>
          <t>CI checks for Terraform (fmt/validate/security scan)</t>
        </is>
      </c>
      <c r="C8" s="2" t="inlineStr">
        <is>
          <t>M</t>
        </is>
      </c>
      <c r="D8" s="2" t="n">
        <v>20</v>
      </c>
      <c r="E8" s="2" t="inlineStr">
        <is>
          <t>DevOps</t>
        </is>
      </c>
      <c r="F8" s="2" t="inlineStr">
        <is>
          <t>GitHub Actions</t>
        </is>
      </c>
    </row>
    <row r="9">
      <c r="A9" s="2" t="inlineStr">
        <is>
          <t>Handover</t>
        </is>
      </c>
      <c r="B9" s="2" t="inlineStr">
        <is>
          <t>Runbooks + KT sessions</t>
        </is>
      </c>
      <c r="C9" s="2" t="inlineStr">
        <is>
          <t>M</t>
        </is>
      </c>
      <c r="D9" s="2" t="n">
        <v>16</v>
      </c>
      <c r="E9" s="2" t="inlineStr">
        <is>
          <t>Architect</t>
        </is>
      </c>
      <c r="F9" s="2" t="inlineStr">
        <is>
          <t>Docs + 2 KT calls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Estimated Hours</t>
        </is>
      </c>
      <c r="B2" s="2">
        <f>SUM('Work Items'!D2:D500)</f>
        <v/>
      </c>
    </row>
    <row r="3">
      <c r="A3" s="2" t="inlineStr">
        <is>
          <t>Estimated Weeks @ 30 hrs/week</t>
        </is>
      </c>
      <c r="B3" s="2">
        <f>B2/30</f>
        <v/>
      </c>
    </row>
    <row r="4">
      <c r="A4" s="2" t="inlineStr">
        <is>
          <t>Architect Hours</t>
        </is>
      </c>
      <c r="B4" s="2">
        <f>SUMIF('Work Items'!E:E,"Architect",'Work Items'!D:D)</f>
        <v/>
      </c>
    </row>
    <row r="5">
      <c r="A5" s="2" t="inlineStr">
        <is>
          <t>Security Hours</t>
        </is>
      </c>
      <c r="B5" s="2">
        <f>SUMIF('Work Items'!E:E,"Security",'Work Items'!D:D)</f>
        <v/>
      </c>
    </row>
    <row r="6">
      <c r="A6" s="2" t="inlineStr">
        <is>
          <t>DevOps Hours</t>
        </is>
      </c>
      <c r="B6" s="2">
        <f>SUMIF('Work Items'!E:E,"DevOps",'Work Items'!D:D)</f>
        <v/>
      </c>
    </row>
    <row r="7">
      <c r="A7" s="2" t="inlineStr">
        <is>
          <t>FinOps Hours</t>
        </is>
      </c>
      <c r="B7" s="2">
        <f>SUMIF('Work Items'!E:E,"FinOps",'Work Items'!D:D)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2026-01-26T04:45:40Z</dcterms:created>
  <dcterms:modified xmlns:dcterms="http://purl.org/dc/terms/" xmlns:xsi="http://www.w3.org/2001/XMLSchema-instance" xsi:type="dcterms:W3CDTF">2026-01-26T04:45:40Z</dcterms:modified>
</cp:coreProperties>
</file>