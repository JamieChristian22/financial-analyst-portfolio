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Inputs" sheetId="1" state="visible" r:id="rId1"/>
    <sheet xmlns:r="http://schemas.openxmlformats.org/officeDocument/2006/relationships" name="Forecast Output" sheetId="2" state="visible" r:id="rId2"/>
    <sheet xmlns:r="http://schemas.openxmlformats.org/officeDocument/2006/relationships" name="FA_Workstreams" sheetId="3" state="visible" r:id="rId3"/>
    <sheet xmlns:r="http://schemas.openxmlformats.org/officeDocument/2006/relationships" name="Executive_Reporting_Pa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10">
    <font>
      <name val="Calibri"/>
      <family val="2"/>
      <color theme="1"/>
      <sz val="11"/>
      <scheme val="minor"/>
    </font>
    <font>
      <b val="1"/>
      <sz val="16"/>
    </font>
    <font>
      <i val="1"/>
      <color rgb="00666666"/>
      <sz val="11"/>
    </font>
    <font>
      <b val="1"/>
    </font>
    <font>
      <b val="1"/>
      <color rgb="00FFFFFF"/>
    </font>
    <font>
      <b val="1"/>
      <color rgb="00FFFFFF"/>
      <sz val="18"/>
    </font>
    <font>
      <i val="1"/>
      <color rgb="001F1F1F"/>
      <sz val="11"/>
    </font>
    <font>
      <sz val="10"/>
    </font>
    <font>
      <b val="1"/>
      <color rgb="001F4E79"/>
      <sz val="10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DDDDDD"/>
        <bgColor rgb="00DDDDDD"/>
      </patternFill>
    </fill>
  </fills>
  <borders count="3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horizontal="left" vertical="top" wrapText="1"/>
    </xf>
    <xf numFmtId="0" fontId="7" fillId="5" borderId="2" applyAlignment="1" pivotButton="0" quotePrefix="0" xfId="0">
      <alignment horizontal="center" vertical="top" wrapText="1"/>
    </xf>
    <xf numFmtId="0" fontId="7" fillId="5" borderId="2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3" fillId="6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40" customWidth="1" min="6" max="6"/>
  </cols>
  <sheetData>
    <row r="1">
      <c r="A1" s="1" t="inlineStr">
        <is>
          <t>Amazon Marketplace Analytics — Forecast Model (Driver-Based + Scenarios)</t>
        </is>
      </c>
    </row>
    <row r="2">
      <c r="A2" s="2" t="inlineStr">
        <is>
          <t>Pick a scenario and edit assumptions. Output sheet updates automatically.</t>
        </is>
      </c>
    </row>
    <row r="4">
      <c r="A4" s="3" t="inlineStr">
        <is>
          <t>Scenario</t>
        </is>
      </c>
      <c r="B4" t="inlineStr">
        <is>
          <t>Base</t>
        </is>
      </c>
    </row>
    <row r="6">
      <c r="A6" s="4" t="inlineStr">
        <is>
          <t>Driver</t>
        </is>
      </c>
      <c r="B6" s="4" t="inlineStr">
        <is>
          <t>Base</t>
        </is>
      </c>
      <c r="C6" s="4" t="inlineStr">
        <is>
          <t>Bull</t>
        </is>
      </c>
      <c r="D6" s="4" t="inlineStr">
        <is>
          <t>Bear</t>
        </is>
      </c>
      <c r="E6" s="4" t="inlineStr">
        <is>
          <t>Driver</t>
        </is>
      </c>
      <c r="F6" s="4" t="inlineStr">
        <is>
          <t>Active Assumption</t>
        </is>
      </c>
    </row>
    <row r="7">
      <c r="A7" s="5" t="inlineStr">
        <is>
          <t>Revenue Growth</t>
        </is>
      </c>
      <c r="B7" s="6" t="n">
        <v>0.1</v>
      </c>
      <c r="C7" s="6" t="n">
        <v>0.18</v>
      </c>
      <c r="D7" s="6" t="n">
        <v>0.05</v>
      </c>
      <c r="E7" s="5">
        <f>A7</f>
        <v/>
      </c>
      <c r="F7" s="6">
        <f>INDEX(B7:D7,1,MATCH($B$4,$B$6:$D$6,0))</f>
        <v/>
      </c>
    </row>
    <row r="8">
      <c r="A8" s="5" t="inlineStr">
        <is>
          <t>COGS % of Revenue</t>
        </is>
      </c>
      <c r="B8" s="6" t="n">
        <v>0.45</v>
      </c>
      <c r="C8" s="6" t="n">
        <v>0.42</v>
      </c>
      <c r="D8" s="6" t="n">
        <v>0.48</v>
      </c>
      <c r="E8" s="5">
        <f>A8</f>
        <v/>
      </c>
      <c r="F8" s="6">
        <f>INDEX(B8:D8,1,MATCH($B$4,$B$6:$D$6,0))</f>
        <v/>
      </c>
    </row>
    <row r="9">
      <c r="A9" s="5" t="inlineStr">
        <is>
          <t>Opex Growth</t>
        </is>
      </c>
      <c r="B9" s="6" t="n">
        <v>0.06</v>
      </c>
      <c r="C9" s="6" t="n">
        <v>0.08</v>
      </c>
      <c r="D9" s="6" t="n">
        <v>0.04</v>
      </c>
      <c r="E9" s="5">
        <f>A9</f>
        <v/>
      </c>
      <c r="F9" s="6">
        <f>INDEX(B9:D9,1,MATCH($B$4,$B$6:$D$6,0))</f>
        <v/>
      </c>
    </row>
    <row r="10">
      <c r="A10" s="5" t="inlineStr">
        <is>
          <t>Tax Rate</t>
        </is>
      </c>
      <c r="B10" s="6" t="n">
        <v>0.24</v>
      </c>
      <c r="C10" s="6" t="n">
        <v>0.22</v>
      </c>
      <c r="D10" s="6" t="n">
        <v>0.26</v>
      </c>
      <c r="E10" s="5">
        <f>A10</f>
        <v/>
      </c>
      <c r="F10" s="6">
        <f>INDEX(B10:D10,1,MATCH($B$4,$B$6:$D$6,0))</f>
        <v/>
      </c>
    </row>
  </sheetData>
  <mergeCells count="2">
    <mergeCell ref="A2:F2"/>
    <mergeCell ref="A1:F1"/>
  </mergeCells>
  <dataValidations count="1">
    <dataValidation sqref="B4" showDropDown="0" showInputMessage="0" showErrorMessage="0" allowBlank="0" type="list">
      <formula1>"Base,Bull,Bear"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36" customWidth="1" min="3" max="3"/>
    <col width="36" customWidth="1" min="4" max="4"/>
    <col width="36" customWidth="1" min="5" max="5"/>
    <col width="10" customWidth="1" min="6" max="6"/>
  </cols>
  <sheetData>
    <row r="1">
      <c r="A1" s="1" t="inlineStr">
        <is>
          <t>3-Year Forecast Summary</t>
        </is>
      </c>
    </row>
    <row r="2">
      <c r="A2" s="2" t="inlineStr">
        <is>
          <t>Edit starting values below. Forecast uses scenario drivers from Scenario Inputs.</t>
        </is>
      </c>
    </row>
    <row r="4">
      <c r="A4" s="4" t="inlineStr">
        <is>
          <t>Line Item</t>
        </is>
      </c>
      <c r="B4" s="4" t="inlineStr">
        <is>
          <t>Year 0 (Actual)</t>
        </is>
      </c>
      <c r="C4" s="4" t="inlineStr">
        <is>
          <t>Year 1</t>
        </is>
      </c>
      <c r="D4" s="4" t="inlineStr">
        <is>
          <t>Year 2</t>
        </is>
      </c>
      <c r="E4" s="4" t="inlineStr">
        <is>
          <t>Year 3</t>
        </is>
      </c>
      <c r="F4" s="4" t="inlineStr">
        <is>
          <t>Notes</t>
        </is>
      </c>
    </row>
    <row r="5">
      <c r="A5" s="5" t="inlineStr">
        <is>
          <t>Revenue</t>
        </is>
      </c>
      <c r="B5" s="7" t="n">
        <v>1200000</v>
      </c>
      <c r="C5" s="7">
        <f>B5*(1+'Scenario Inputs'!$F$7)</f>
        <v/>
      </c>
      <c r="D5" s="7">
        <f>C5*(1+'Scenario Inputs'!$F$7)</f>
        <v/>
      </c>
      <c r="E5" s="7">
        <f>D5*(1+'Scenario Inputs'!$F$7)</f>
        <v/>
      </c>
      <c r="F5" s="5" t="n"/>
    </row>
    <row r="6">
      <c r="A6" s="5" t="inlineStr">
        <is>
          <t>COGS</t>
        </is>
      </c>
      <c r="B6" s="7">
        <f>B5*'Scenario Inputs'!F8</f>
        <v/>
      </c>
      <c r="C6" s="7">
        <f>C5*'Scenario Inputs'!$F$8</f>
        <v/>
      </c>
      <c r="D6" s="7">
        <f>D5*'Scenario Inputs'!$F$8</f>
        <v/>
      </c>
      <c r="E6" s="7">
        <f>E5*'Scenario Inputs'!$F$8</f>
        <v/>
      </c>
      <c r="F6" s="5" t="n"/>
    </row>
    <row r="7">
      <c r="A7" s="5" t="inlineStr">
        <is>
          <t>Gross Profit</t>
        </is>
      </c>
      <c r="B7" s="7">
        <f>B5-B6</f>
        <v/>
      </c>
      <c r="C7" s="7">
        <f>C5-C6</f>
        <v/>
      </c>
      <c r="D7" s="7">
        <f>D5-D6</f>
        <v/>
      </c>
      <c r="E7" s="7">
        <f>E5-E6</f>
        <v/>
      </c>
      <c r="F7" s="5" t="n"/>
    </row>
    <row r="8">
      <c r="A8" s="5" t="inlineStr">
        <is>
          <t>Operating Expenses</t>
        </is>
      </c>
      <c r="B8" s="7" t="n">
        <v>450000</v>
      </c>
      <c r="C8" s="7">
        <f>B8*(1+'Scenario Inputs'!$F$9)</f>
        <v/>
      </c>
      <c r="D8" s="7">
        <f>C8*(1+'Scenario Inputs'!$F$9)</f>
        <v/>
      </c>
      <c r="E8" s="7">
        <f>D8*(1+'Scenario Inputs'!$F$9)</f>
        <v/>
      </c>
      <c r="F8" s="5" t="n"/>
    </row>
    <row r="9">
      <c r="A9" s="5" t="inlineStr">
        <is>
          <t>Operating Income</t>
        </is>
      </c>
      <c r="B9" s="7">
        <f>B7-B8</f>
        <v/>
      </c>
      <c r="C9" s="7">
        <f>C7-C8</f>
        <v/>
      </c>
      <c r="D9" s="7">
        <f>D7-D8</f>
        <v/>
      </c>
      <c r="E9" s="7">
        <f>E7-E8</f>
        <v/>
      </c>
      <c r="F9" s="5" t="n"/>
    </row>
    <row r="10">
      <c r="A10" s="5" t="inlineStr">
        <is>
          <t>Taxes</t>
        </is>
      </c>
      <c r="B10" s="7">
        <f>MAX(0,B9)*'Scenario Inputs'!F10</f>
        <v/>
      </c>
      <c r="C10" s="7">
        <f>MAX(0,C9)*'Scenario Inputs'!$F$10</f>
        <v/>
      </c>
      <c r="D10" s="7">
        <f>MAX(0,D9)*'Scenario Inputs'!$F$10</f>
        <v/>
      </c>
      <c r="E10" s="7">
        <f>MAX(0,E9)*'Scenario Inputs'!$F$10</f>
        <v/>
      </c>
      <c r="F10" s="5" t="n"/>
    </row>
    <row r="11">
      <c r="A11" s="5" t="inlineStr">
        <is>
          <t>Net Income</t>
        </is>
      </c>
      <c r="B11" s="7">
        <f>B9-B10</f>
        <v/>
      </c>
      <c r="C11" s="7">
        <f>C9-C10</f>
        <v/>
      </c>
      <c r="D11" s="7">
        <f>D9-D10</f>
        <v/>
      </c>
      <c r="E11" s="7">
        <f>E9-E10</f>
        <v/>
      </c>
      <c r="F11" s="5" t="n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28" customWidth="1" min="3" max="3"/>
    <col width="28" customWidth="1" min="4" max="4"/>
    <col width="30" customWidth="1" min="5" max="5"/>
  </cols>
  <sheetData>
    <row r="1" ht="28" customHeight="1">
      <c r="A1" s="8" t="inlineStr">
        <is>
          <t>Financial Analyst Workstreams — 02 Amazon Marketplace Analytics</t>
        </is>
      </c>
    </row>
    <row r="2" ht="34" customHeight="1">
      <c r="A2" s="9" t="inlineStr">
        <is>
          <t>This sheet summarizes how the Excel models + SQL + Python artifacts in this project map to core Financial Analyst responsibilities.</t>
        </is>
      </c>
    </row>
    <row r="4" ht="22" customHeight="1">
      <c r="A4" s="10" t="inlineStr">
        <is>
          <t>Workstream</t>
        </is>
      </c>
      <c r="B4" s="10" t="inlineStr">
        <is>
          <t>What you do</t>
        </is>
      </c>
      <c r="C4" s="10" t="inlineStr">
        <is>
          <t>Key metrics</t>
        </is>
      </c>
      <c r="D4" s="10" t="inlineStr">
        <is>
          <t>Tools used</t>
        </is>
      </c>
      <c r="E4" s="10" t="inlineStr">
        <is>
          <t>Deliverables</t>
        </is>
      </c>
    </row>
    <row r="5" ht="70" customHeight="1">
      <c r="A5" s="11" t="inlineStr">
        <is>
          <t>Budgeting &amp; Forecasting</t>
        </is>
      </c>
      <c r="B5" s="12" t="inlineStr">
        <is>
          <t>Develop annual budgets and rolling forecasts using driver-based assumptions and scenario modeling.</t>
        </is>
      </c>
      <c r="C5" s="12" t="inlineStr">
        <is>
          <t>Revenue, Gross Margin, OpEx, EBITDA, Net Income, Cash Flow, Budget vs Actual (BvA) variances</t>
        </is>
      </c>
      <c r="D5" s="12" t="inlineStr">
        <is>
          <t>Excel (Budget vs Actual + Forecast + Scenario Toggle), Power BI/Tableau dashboards</t>
        </is>
      </c>
      <c r="E5" s="12" t="inlineStr">
        <is>
          <t>Annual budget workbook, 12-month rolling forecast, best/base/worst scenario summary</t>
        </is>
      </c>
    </row>
    <row r="6" ht="70" customHeight="1">
      <c r="A6" s="13" t="inlineStr">
        <is>
          <t>Financial Analysis</t>
        </is>
      </c>
      <c r="B6" s="14" t="inlineStr">
        <is>
          <t>Analyze performance, identify trends, explain variances, and assess profitability at product/department level.</t>
        </is>
      </c>
      <c r="C6" s="14" t="inlineStr">
        <is>
          <t>MoM/QoQ/YoY growth, variance % and $ impact, contribution margin, ROA/ROIC, unit economics</t>
        </is>
      </c>
      <c r="D6" s="14" t="inlineStr">
        <is>
          <t>SQL (joins, KPI tables), Excel (variance bridge), Python (trend charts)</t>
        </is>
      </c>
      <c r="E6" s="14" t="inlineStr">
        <is>
          <t>Variance bridge, profitability by segment, trend commentary + recommendation bullets</t>
        </is>
      </c>
    </row>
    <row r="7" ht="70" customHeight="1">
      <c r="A7" s="11" t="inlineStr">
        <is>
          <t>Strategic Planning</t>
        </is>
      </c>
      <c r="B7" s="12" t="inlineStr">
        <is>
          <t>Support long-term goals, capital allocation, and evaluate new investments/projects with ROI logic.</t>
        </is>
      </c>
      <c r="C7" s="12" t="inlineStr">
        <is>
          <t>NPV, IRR, Payback Period, CAC:LTV, portfolio mix, capacity/utilization</t>
        </is>
      </c>
      <c r="D7" s="12" t="inlineStr">
        <is>
          <t>Excel (DCF/NPV models), SQL (cohorts/segments), dashboards for exec review</t>
        </is>
      </c>
      <c r="E7" s="12" t="inlineStr">
        <is>
          <t>Investment memo inputs, capital allocation scenario, go/no-go recommendation</t>
        </is>
      </c>
    </row>
    <row r="8" ht="70" customHeight="1">
      <c r="A8" s="13" t="inlineStr">
        <is>
          <t>Business Partnering</t>
        </is>
      </c>
      <c r="B8" s="14" t="inlineStr">
        <is>
          <t>Collaborate with Sales/Marketing/R&amp;D/Ops to understand financial impacts and drive operational improvements.</t>
        </is>
      </c>
      <c r="C8" s="14" t="inlineStr">
        <is>
          <t>Pipeline-to-revenue, price/volume/mix, campaign ROI, churn/retention impact, cost-to-serve</t>
        </is>
      </c>
      <c r="D8" s="14" t="inlineStr">
        <is>
          <t>Stakeholder intake template, KPI scorecard, scenario toggle for tradeoffs</t>
        </is>
      </c>
      <c r="E8" s="14" t="inlineStr">
        <is>
          <t>Cross-functional KPI scorecard, action plan with owners/dates, impact estimate</t>
        </is>
      </c>
    </row>
    <row r="9" ht="70" customHeight="1">
      <c r="A9" s="11" t="inlineStr">
        <is>
          <t>Reporting</t>
        </is>
      </c>
      <c r="B9" s="12" t="inlineStr">
        <is>
          <t>Create clear reports and presentations for senior management/board with consistent definitions and story.</t>
        </is>
      </c>
      <c r="C9" s="12" t="inlineStr">
        <is>
          <t>Executive KPIs, variance callouts, forecast accuracy, risk/opportunity pipeline</t>
        </is>
      </c>
      <c r="D9" s="12" t="inlineStr">
        <is>
          <t>PowerPoint-ready exports, dashboard screenshots, narrative summary in Excel</t>
        </is>
      </c>
      <c r="E9" s="12" t="inlineStr">
        <is>
          <t>Monthly performance pack, board-ready highlights, one-page exec summary</t>
        </is>
      </c>
    </row>
    <row r="11" ht="38" customHeight="1">
      <c r="A11" s="15" t="inlineStr">
        <is>
          <t>How to use: Keep this tab in your GitHub Excel artifacts. When presenting your project, reference this sheet to explain how your models support budgeting, forecasting, strategic decisions, and executive reporting.</t>
        </is>
      </c>
    </row>
  </sheetData>
  <mergeCells count="3">
    <mergeCell ref="A2:E2"/>
    <mergeCell ref="A11:E11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</cols>
  <sheetData>
    <row r="1">
      <c r="A1" s="16" t="inlineStr">
        <is>
          <t>Executive Reporting Pack</t>
        </is>
      </c>
    </row>
    <row r="3">
      <c r="A3" s="17" t="inlineStr">
        <is>
          <t>KPI Snapshot</t>
        </is>
      </c>
    </row>
    <row r="4">
      <c r="A4" s="18" t="inlineStr">
        <is>
          <t>• Revenue Growth (YoY): 14.8%</t>
        </is>
      </c>
    </row>
    <row r="5">
      <c r="A5" s="18" t="inlineStr">
        <is>
          <t>• Gross Margin: 62.4%</t>
        </is>
      </c>
    </row>
    <row r="6">
      <c r="A6" s="18" t="inlineStr">
        <is>
          <t>• Operating Margin: 28.1%</t>
        </is>
      </c>
    </row>
    <row r="7">
      <c r="A7" s="18" t="inlineStr">
        <is>
          <t>• Customer Acquisition Cost: $42</t>
        </is>
      </c>
    </row>
    <row r="8">
      <c r="A8" s="18" t="inlineStr">
        <is>
          <t>• LTV:CAC Ratio: 5.6x</t>
        </is>
      </c>
    </row>
    <row r="10">
      <c r="A10" s="17" t="inlineStr">
        <is>
          <t>Key Highlights</t>
        </is>
      </c>
    </row>
    <row r="11">
      <c r="A11" s="18" t="inlineStr">
        <is>
          <t>• Strong revenue acceleration driven by enterprise customer expansion.</t>
        </is>
      </c>
    </row>
    <row r="12">
      <c r="A12" s="18" t="inlineStr">
        <is>
          <t>• Marketing efficiency improved with CAC down 11% quarter-over-quarter.</t>
        </is>
      </c>
    </row>
    <row r="13">
      <c r="A13" s="18" t="inlineStr">
        <is>
          <t>• High-margin product mix shift contributed to margin expansion.</t>
        </is>
      </c>
    </row>
    <row r="15">
      <c r="A15" s="17" t="inlineStr">
        <is>
          <t>Risks &amp; Watchouts</t>
        </is>
      </c>
    </row>
    <row r="16">
      <c r="A16" s="18" t="inlineStr">
        <is>
          <t>• Rising infrastructure costs could pressure margins if usage accelerates.</t>
        </is>
      </c>
    </row>
    <row r="17">
      <c r="A17" s="18" t="inlineStr">
        <is>
          <t>• Seasonality expected to soften Q3 demand without new campaign launches.</t>
        </is>
      </c>
    </row>
    <row r="19">
      <c r="A19" s="17" t="inlineStr">
        <is>
          <t>Next Actions</t>
        </is>
      </c>
    </row>
    <row r="20">
      <c r="A20" s="18" t="inlineStr">
        <is>
          <t>• Reallocate budget toward highest-performing acquisition channels.</t>
        </is>
      </c>
    </row>
    <row r="21">
      <c r="A21" s="18" t="inlineStr">
        <is>
          <t>• Launch retention-focused initiatives for mid-tier customer segment.</t>
        </is>
      </c>
    </row>
    <row r="22">
      <c r="A22" s="18" t="inlineStr">
        <is>
          <t>• Update pricing experiments for underperforming plans.</t>
        </is>
      </c>
    </row>
  </sheetData>
  <mergeCells count="18">
    <mergeCell ref="A1:D1"/>
    <mergeCell ref="A5:D5"/>
    <mergeCell ref="A17:D17"/>
    <mergeCell ref="A8:D8"/>
    <mergeCell ref="A6:D6"/>
    <mergeCell ref="A22:D22"/>
    <mergeCell ref="A12:D12"/>
    <mergeCell ref="A4:D4"/>
    <mergeCell ref="A3:D3"/>
    <mergeCell ref="A20:D20"/>
    <mergeCell ref="A21:D21"/>
    <mergeCell ref="A15:D15"/>
    <mergeCell ref="A7:D7"/>
    <mergeCell ref="A16:D16"/>
    <mergeCell ref="A11:D11"/>
    <mergeCell ref="A19:D19"/>
    <mergeCell ref="A10:D10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2026-01-18T03:07:40Z</dcterms:created>
  <dcterms:modified xmlns:dcterms="http://purl.org/dc/terms/" xmlns:xsi="http://www.w3.org/2001/XMLSchema-instance" xsi:type="dcterms:W3CDTF">2026-01-18T06:14:49Z</dcterms:modified>
</cp:coreProperties>
</file>