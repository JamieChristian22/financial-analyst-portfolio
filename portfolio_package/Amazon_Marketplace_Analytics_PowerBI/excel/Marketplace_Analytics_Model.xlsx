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corecard" sheetId="1" state="visible" r:id="rId1"/>
    <sheet xmlns:r="http://schemas.openxmlformats.org/officeDocument/2006/relationships" name="Monthly_Trends" sheetId="2" state="visible" r:id="rId2"/>
    <sheet xmlns:r="http://schemas.openxmlformats.org/officeDocument/2006/relationships" name="ROI_Dec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Amazon Marketplace Analytics - Excel Companion</t>
        </is>
      </c>
    </row>
    <row r="2">
      <c r="A2" t="inlineStr">
        <is>
          <t>This workbook supports KPI validation and ROI decisions for the Power BI marketplace dashboard.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s="3" t="inlineStr">
        <is>
          <t>Latest Month</t>
        </is>
      </c>
      <c r="B5" s="4" t="inlineStr">
        <is>
          <t>2025-12</t>
        </is>
      </c>
    </row>
    <row r="6">
      <c r="A6" s="3" t="inlineStr">
        <is>
          <t>GMV</t>
        </is>
      </c>
      <c r="B6" s="5" t="n">
        <v>491705.81</v>
      </c>
    </row>
    <row r="7">
      <c r="A7" s="3" t="inlineStr">
        <is>
          <t>Marketplace Revenue</t>
        </is>
      </c>
      <c r="B7" s="5" t="n">
        <v>38610.53</v>
      </c>
    </row>
    <row r="8">
      <c r="A8" s="3" t="inlineStr">
        <is>
          <t>Orders</t>
        </is>
      </c>
      <c r="B8" s="6" t="n">
        <v>5022</v>
      </c>
    </row>
    <row r="9">
      <c r="A9" s="3" t="inlineStr">
        <is>
          <t>Units Sold</t>
        </is>
      </c>
      <c r="B9" s="6" t="n">
        <v>12038</v>
      </c>
    </row>
    <row r="10">
      <c r="A10" s="3" t="inlineStr">
        <is>
          <t>AOV</t>
        </is>
      </c>
      <c r="B10" s="7" t="n">
        <v>97.91035643170052</v>
      </c>
    </row>
    <row r="11">
      <c r="A11" s="3" t="inlineStr">
        <is>
          <t>Take Rate</t>
        </is>
      </c>
      <c r="B11" s="8" t="n">
        <v>0.07852363997895408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Month</t>
        </is>
      </c>
      <c r="B1" s="2" t="inlineStr">
        <is>
          <t>GMV</t>
        </is>
      </c>
      <c r="C1" s="2" t="inlineStr">
        <is>
          <t>Marketplace_Revenue</t>
        </is>
      </c>
      <c r="D1" s="2" t="inlineStr">
        <is>
          <t>Orders</t>
        </is>
      </c>
      <c r="E1" s="2" t="inlineStr">
        <is>
          <t>Units_Sold</t>
        </is>
      </c>
      <c r="F1" s="2" t="inlineStr">
        <is>
          <t>AOV</t>
        </is>
      </c>
      <c r="G1" s="2" t="inlineStr">
        <is>
          <t>Take_Rate</t>
        </is>
      </c>
    </row>
    <row r="2">
      <c r="A2" s="3" t="inlineStr">
        <is>
          <t>2023-01</t>
        </is>
      </c>
      <c r="B2" s="5" t="n">
        <v>383313.07</v>
      </c>
      <c r="C2" s="5" t="n">
        <v>30145.67</v>
      </c>
      <c r="D2" s="6" t="n">
        <v>5082</v>
      </c>
      <c r="E2" s="6" t="n">
        <v>12144</v>
      </c>
      <c r="F2" s="7" t="n">
        <v>75.42563360881543</v>
      </c>
      <c r="G2" s="8" t="n">
        <v>0.07864503550583339</v>
      </c>
    </row>
    <row r="3">
      <c r="A3" s="3" t="inlineStr">
        <is>
          <t>2023-02</t>
        </is>
      </c>
      <c r="B3" s="5" t="n">
        <v>357845.37</v>
      </c>
      <c r="C3" s="5" t="n">
        <v>28119.66</v>
      </c>
      <c r="D3" s="6" t="n">
        <v>4646</v>
      </c>
      <c r="E3" s="6" t="n">
        <v>11257</v>
      </c>
      <c r="F3" s="7" t="n">
        <v>77.02224924666379</v>
      </c>
      <c r="G3" s="8" t="n">
        <v>0.07858047737211186</v>
      </c>
    </row>
    <row r="4">
      <c r="A4" s="3" t="inlineStr">
        <is>
          <t>2023-03</t>
        </is>
      </c>
      <c r="B4" s="5" t="n">
        <v>405009.03</v>
      </c>
      <c r="C4" s="5" t="n">
        <v>31847.31</v>
      </c>
      <c r="D4" s="6" t="n">
        <v>5165</v>
      </c>
      <c r="E4" s="6" t="n">
        <v>12278</v>
      </c>
      <c r="F4" s="7" t="n">
        <v>78.41413939980639</v>
      </c>
      <c r="G4" s="8" t="n">
        <v>0.07863358009573268</v>
      </c>
    </row>
    <row r="5">
      <c r="A5" s="3" t="inlineStr">
        <is>
          <t>2023-04</t>
        </is>
      </c>
      <c r="B5" s="5" t="n">
        <v>393209.48</v>
      </c>
      <c r="C5" s="5" t="n">
        <v>30888.97</v>
      </c>
      <c r="D5" s="6" t="n">
        <v>4902</v>
      </c>
      <c r="E5" s="6" t="n">
        <v>11891</v>
      </c>
      <c r="F5" s="7" t="n">
        <v>80.21409220726234</v>
      </c>
      <c r="G5" s="8" t="n">
        <v>0.07855601548568972</v>
      </c>
    </row>
    <row r="6">
      <c r="A6" s="3" t="inlineStr">
        <is>
          <t>2023-05</t>
        </is>
      </c>
      <c r="B6" s="5" t="n">
        <v>409213.9</v>
      </c>
      <c r="C6" s="5" t="n">
        <v>32151.59</v>
      </c>
      <c r="D6" s="6" t="n">
        <v>5193</v>
      </c>
      <c r="E6" s="6" t="n">
        <v>12400</v>
      </c>
      <c r="F6" s="7" t="n">
        <v>78.80105911804353</v>
      </c>
      <c r="G6" s="8" t="n">
        <v>0.07856915417584788</v>
      </c>
    </row>
    <row r="7">
      <c r="A7" s="3" t="inlineStr">
        <is>
          <t>2023-06</t>
        </is>
      </c>
      <c r="B7" s="5" t="n">
        <v>426460.37</v>
      </c>
      <c r="C7" s="5" t="n">
        <v>33533.84</v>
      </c>
      <c r="D7" s="6" t="n">
        <v>5036</v>
      </c>
      <c r="E7" s="6" t="n">
        <v>12115</v>
      </c>
      <c r="F7" s="7" t="n">
        <v>84.68236100079427</v>
      </c>
      <c r="G7" s="8" t="n">
        <v>0.07863295714910157</v>
      </c>
    </row>
    <row r="8">
      <c r="A8" s="3" t="inlineStr">
        <is>
          <t>2023-07</t>
        </is>
      </c>
      <c r="B8" s="5" t="n">
        <v>434980.8</v>
      </c>
      <c r="C8" s="5" t="n">
        <v>34197.03</v>
      </c>
      <c r="D8" s="6" t="n">
        <v>5127</v>
      </c>
      <c r="E8" s="6" t="n">
        <v>12211</v>
      </c>
      <c r="F8" s="7" t="n">
        <v>84.84119368051492</v>
      </c>
      <c r="G8" s="8" t="n">
        <v>0.07861733207534677</v>
      </c>
    </row>
    <row r="9">
      <c r="A9" s="3" t="inlineStr">
        <is>
          <t>2023-08</t>
        </is>
      </c>
      <c r="B9" s="5" t="n">
        <v>400060.99</v>
      </c>
      <c r="C9" s="5" t="n">
        <v>31452.65</v>
      </c>
      <c r="D9" s="6" t="n">
        <v>5101</v>
      </c>
      <c r="E9" s="6" t="n">
        <v>12186</v>
      </c>
      <c r="F9" s="7" t="n">
        <v>78.42795334248187</v>
      </c>
      <c r="G9" s="8" t="n">
        <v>0.07861963747077665</v>
      </c>
    </row>
    <row r="10">
      <c r="A10" s="3" t="inlineStr">
        <is>
          <t>2023-09</t>
        </is>
      </c>
      <c r="B10" s="5" t="n">
        <v>381276.48</v>
      </c>
      <c r="C10" s="5" t="n">
        <v>29949.96</v>
      </c>
      <c r="D10" s="6" t="n">
        <v>4832</v>
      </c>
      <c r="E10" s="6" t="n">
        <v>11634</v>
      </c>
      <c r="F10" s="7" t="n">
        <v>78.90655629139073</v>
      </c>
      <c r="G10" s="8" t="n">
        <v>0.07855181625680137</v>
      </c>
    </row>
    <row r="11">
      <c r="A11" s="3" t="inlineStr">
        <is>
          <t>2023-10</t>
        </is>
      </c>
      <c r="B11" s="5" t="n">
        <v>396550.56</v>
      </c>
      <c r="C11" s="5" t="n">
        <v>31144.7</v>
      </c>
      <c r="D11" s="6" t="n">
        <v>5034</v>
      </c>
      <c r="E11" s="6" t="n">
        <v>11976</v>
      </c>
      <c r="F11" s="7" t="n">
        <v>78.77444576877235</v>
      </c>
      <c r="G11" s="8" t="n">
        <v>0.07853903925895352</v>
      </c>
    </row>
    <row r="12">
      <c r="A12" s="3" t="inlineStr">
        <is>
          <t>2023-11</t>
        </is>
      </c>
      <c r="B12" s="5" t="n">
        <v>481947.01</v>
      </c>
      <c r="C12" s="5" t="n">
        <v>37875.42</v>
      </c>
      <c r="D12" s="6" t="n">
        <v>5019</v>
      </c>
      <c r="E12" s="6" t="n">
        <v>12070</v>
      </c>
      <c r="F12" s="7" t="n">
        <v>96.02450886630803</v>
      </c>
      <c r="G12" s="8" t="n">
        <v>0.07858834937060818</v>
      </c>
    </row>
    <row r="13">
      <c r="A13" s="3" t="inlineStr">
        <is>
          <t>2023-12</t>
        </is>
      </c>
      <c r="B13" s="5" t="n">
        <v>493856.64</v>
      </c>
      <c r="C13" s="5" t="n">
        <v>38804.92</v>
      </c>
      <c r="D13" s="6" t="n">
        <v>5112</v>
      </c>
      <c r="E13" s="6" t="n">
        <v>12224</v>
      </c>
      <c r="F13" s="7" t="n">
        <v>96.60732394366198</v>
      </c>
      <c r="G13" s="8" t="n">
        <v>0.07857527237054056</v>
      </c>
    </row>
    <row r="14">
      <c r="A14" s="3" t="inlineStr">
        <is>
          <t>2024-01</t>
        </is>
      </c>
      <c r="B14" s="5" t="n">
        <v>381598.9</v>
      </c>
      <c r="C14" s="5" t="n">
        <v>29985.43</v>
      </c>
      <c r="D14" s="6" t="n">
        <v>5019</v>
      </c>
      <c r="E14" s="6" t="n">
        <v>12072</v>
      </c>
      <c r="F14" s="7" t="n">
        <v>76.03086272165771</v>
      </c>
      <c r="G14" s="8" t="n">
        <v>0.07857839736959409</v>
      </c>
    </row>
    <row r="15">
      <c r="A15" s="3" t="inlineStr">
        <is>
          <t>2024-02</t>
        </is>
      </c>
      <c r="B15" s="5" t="n">
        <v>388703.91</v>
      </c>
      <c r="C15" s="5" t="n">
        <v>30570.94</v>
      </c>
      <c r="D15" s="6" t="n">
        <v>4980</v>
      </c>
      <c r="E15" s="6" t="n">
        <v>12137</v>
      </c>
      <c r="F15" s="7" t="n">
        <v>78.0529939759036</v>
      </c>
      <c r="G15" s="8" t="n">
        <v>0.07864839846864417</v>
      </c>
    </row>
    <row r="16">
      <c r="A16" s="3" t="inlineStr">
        <is>
          <t>2024-03</t>
        </is>
      </c>
      <c r="B16" s="5" t="n">
        <v>398077.14</v>
      </c>
      <c r="C16" s="5" t="n">
        <v>31259.1</v>
      </c>
      <c r="D16" s="6" t="n">
        <v>5010</v>
      </c>
      <c r="E16" s="6" t="n">
        <v>11969</v>
      </c>
      <c r="F16" s="7" t="n">
        <v>79.45651497005989</v>
      </c>
      <c r="G16" s="8" t="n">
        <v>0.07852523257175732</v>
      </c>
    </row>
    <row r="17">
      <c r="A17" s="3" t="inlineStr">
        <is>
          <t>2024-04</t>
        </is>
      </c>
      <c r="B17" s="5" t="n">
        <v>389680.2</v>
      </c>
      <c r="C17" s="5" t="n">
        <v>30631.7</v>
      </c>
      <c r="D17" s="6" t="n">
        <v>4836</v>
      </c>
      <c r="E17" s="6" t="n">
        <v>11672</v>
      </c>
      <c r="F17" s="7" t="n">
        <v>80.57903225806452</v>
      </c>
      <c r="G17" s="8" t="n">
        <v>0.07860727848117507</v>
      </c>
    </row>
    <row r="18">
      <c r="A18" s="3" t="inlineStr">
        <is>
          <t>2024-05</t>
        </is>
      </c>
      <c r="B18" s="5" t="n">
        <v>391809.25</v>
      </c>
      <c r="C18" s="5" t="n">
        <v>30777.06</v>
      </c>
      <c r="D18" s="6" t="n">
        <v>4986</v>
      </c>
      <c r="E18" s="6" t="n">
        <v>11986</v>
      </c>
      <c r="F18" s="7" t="n">
        <v>78.58187926193341</v>
      </c>
      <c r="G18" s="8" t="n">
        <v>0.07855113170503249</v>
      </c>
    </row>
    <row r="19">
      <c r="A19" s="3" t="inlineStr">
        <is>
          <t>2024-06</t>
        </is>
      </c>
      <c r="B19" s="5" t="n">
        <v>413098.59</v>
      </c>
      <c r="C19" s="5" t="n">
        <v>32452.05</v>
      </c>
      <c r="D19" s="6" t="n">
        <v>4925</v>
      </c>
      <c r="E19" s="6" t="n">
        <v>11665</v>
      </c>
      <c r="F19" s="7" t="n">
        <v>83.87788629441624</v>
      </c>
      <c r="G19" s="8" t="n">
        <v>0.07855763923086738</v>
      </c>
    </row>
    <row r="20">
      <c r="A20" s="3" t="inlineStr">
        <is>
          <t>2024-07</t>
        </is>
      </c>
      <c r="B20" s="5" t="n">
        <v>432430.54</v>
      </c>
      <c r="C20" s="5" t="n">
        <v>33980.39</v>
      </c>
      <c r="D20" s="6" t="n">
        <v>5059</v>
      </c>
      <c r="E20" s="6" t="n">
        <v>12150</v>
      </c>
      <c r="F20" s="7" t="n">
        <v>85.47747380905317</v>
      </c>
      <c r="G20" s="8" t="n">
        <v>0.07857999576070646</v>
      </c>
    </row>
    <row r="21">
      <c r="A21" s="3" t="inlineStr">
        <is>
          <t>2024-08</t>
        </is>
      </c>
      <c r="B21" s="5" t="n">
        <v>405673.03</v>
      </c>
      <c r="C21" s="5" t="n">
        <v>31881.36</v>
      </c>
      <c r="D21" s="6" t="n">
        <v>5119</v>
      </c>
      <c r="E21" s="6" t="n">
        <v>12349</v>
      </c>
      <c r="F21" s="7" t="n">
        <v>79.24849189294785</v>
      </c>
      <c r="G21" s="8" t="n">
        <v>0.07858880833167539</v>
      </c>
    </row>
    <row r="22">
      <c r="A22" s="3" t="inlineStr">
        <is>
          <t>2024-09</t>
        </is>
      </c>
      <c r="B22" s="5" t="n">
        <v>386367.1</v>
      </c>
      <c r="C22" s="5" t="n">
        <v>30346.57</v>
      </c>
      <c r="D22" s="6" t="n">
        <v>4917</v>
      </c>
      <c r="E22" s="6" t="n">
        <v>11643</v>
      </c>
      <c r="F22" s="7" t="n">
        <v>78.57781167378482</v>
      </c>
      <c r="G22" s="8" t="n">
        <v>0.07854335941129563</v>
      </c>
    </row>
    <row r="23">
      <c r="A23" s="3" t="inlineStr">
        <is>
          <t>2024-10</t>
        </is>
      </c>
      <c r="B23" s="5" t="n">
        <v>402361.49</v>
      </c>
      <c r="C23" s="5" t="n">
        <v>31627.06</v>
      </c>
      <c r="D23" s="6" t="n">
        <v>5094</v>
      </c>
      <c r="E23" s="6" t="n">
        <v>12323</v>
      </c>
      <c r="F23" s="7" t="n">
        <v>78.98733608166471</v>
      </c>
      <c r="G23" s="8" t="n">
        <v>0.07860359598529174</v>
      </c>
    </row>
    <row r="24">
      <c r="A24" s="3" t="inlineStr">
        <is>
          <t>2024-11</t>
        </is>
      </c>
      <c r="B24" s="5" t="n">
        <v>479923.09</v>
      </c>
      <c r="C24" s="5" t="n">
        <v>37720.5</v>
      </c>
      <c r="D24" s="6" t="n">
        <v>4980</v>
      </c>
      <c r="E24" s="6" t="n">
        <v>11965</v>
      </c>
      <c r="F24" s="7" t="n">
        <v>96.3700983935743</v>
      </c>
      <c r="G24" s="8" t="n">
        <v>0.07859696852676956</v>
      </c>
    </row>
    <row r="25">
      <c r="A25" s="3" t="inlineStr">
        <is>
          <t>2024-12</t>
        </is>
      </c>
      <c r="B25" s="5" t="n">
        <v>487069.07</v>
      </c>
      <c r="C25" s="5" t="n">
        <v>38263.52</v>
      </c>
      <c r="D25" s="6" t="n">
        <v>5140</v>
      </c>
      <c r="E25" s="6" t="n">
        <v>12203</v>
      </c>
      <c r="F25" s="7" t="n">
        <v>94.76051945525292</v>
      </c>
      <c r="G25" s="8" t="n">
        <v>0.07855871447554655</v>
      </c>
    </row>
    <row r="26">
      <c r="A26" s="3" t="inlineStr">
        <is>
          <t>2025-01</t>
        </is>
      </c>
      <c r="B26" s="5" t="n">
        <v>388167.29</v>
      </c>
      <c r="C26" s="5" t="n">
        <v>30552.85</v>
      </c>
      <c r="D26" s="6" t="n">
        <v>5139</v>
      </c>
      <c r="E26" s="6" t="n">
        <v>12281</v>
      </c>
      <c r="F26" s="7" t="n">
        <v>75.53362327301031</v>
      </c>
      <c r="G26" s="8" t="n">
        <v>0.0787105219504714</v>
      </c>
    </row>
    <row r="27">
      <c r="A27" s="3" t="inlineStr">
        <is>
          <t>2025-02</t>
        </is>
      </c>
      <c r="B27" s="5" t="n">
        <v>337766.57</v>
      </c>
      <c r="C27" s="5" t="n">
        <v>26543.5</v>
      </c>
      <c r="D27" s="6" t="n">
        <v>4456</v>
      </c>
      <c r="E27" s="6" t="n">
        <v>10706</v>
      </c>
      <c r="F27" s="7" t="n">
        <v>75.80039721723519</v>
      </c>
      <c r="G27" s="8" t="n">
        <v>0.07858533779704722</v>
      </c>
    </row>
    <row r="28">
      <c r="A28" s="3" t="inlineStr">
        <is>
          <t>2025-03</t>
        </is>
      </c>
      <c r="B28" s="5" t="n">
        <v>403203.78</v>
      </c>
      <c r="C28" s="5" t="n">
        <v>31696.02</v>
      </c>
      <c r="D28" s="6" t="n">
        <v>5100</v>
      </c>
      <c r="E28" s="6" t="n">
        <v>12205</v>
      </c>
      <c r="F28" s="7" t="n">
        <v>79.05956470588235</v>
      </c>
      <c r="G28" s="8" t="n">
        <v>0.07861042374156313</v>
      </c>
    </row>
    <row r="29">
      <c r="A29" s="3" t="inlineStr">
        <is>
          <t>2025-04</t>
        </is>
      </c>
      <c r="B29" s="5" t="n">
        <v>386303.18</v>
      </c>
      <c r="C29" s="5" t="n">
        <v>30364.11</v>
      </c>
      <c r="D29" s="6" t="n">
        <v>4850</v>
      </c>
      <c r="E29" s="6" t="n">
        <v>11726</v>
      </c>
      <c r="F29" s="7" t="n">
        <v>79.65014020618557</v>
      </c>
      <c r="G29" s="8" t="n">
        <v>0.07860176041004892</v>
      </c>
    </row>
    <row r="30">
      <c r="A30" s="3" t="inlineStr">
        <is>
          <t>2025-05</t>
        </is>
      </c>
      <c r="B30" s="5" t="n">
        <v>404270.97</v>
      </c>
      <c r="C30" s="5" t="n">
        <v>31785.11</v>
      </c>
      <c r="D30" s="6" t="n">
        <v>5059</v>
      </c>
      <c r="E30" s="6" t="n">
        <v>12152</v>
      </c>
      <c r="F30" s="7" t="n">
        <v>79.91124135204585</v>
      </c>
      <c r="G30" s="8" t="n">
        <v>0.07862328081583499</v>
      </c>
    </row>
    <row r="31">
      <c r="A31" s="3" t="inlineStr">
        <is>
          <t>2025-06</t>
        </is>
      </c>
      <c r="B31" s="5" t="n">
        <v>420433.78</v>
      </c>
      <c r="C31" s="5" t="n">
        <v>33036.83</v>
      </c>
      <c r="D31" s="6" t="n">
        <v>4876</v>
      </c>
      <c r="E31" s="6" t="n">
        <v>11663</v>
      </c>
      <c r="F31" s="7" t="n">
        <v>86.22513945857261</v>
      </c>
      <c r="G31" s="8" t="n">
        <v>0.07857796297909268</v>
      </c>
    </row>
    <row r="32">
      <c r="A32" s="3" t="inlineStr">
        <is>
          <t>2025-07</t>
        </is>
      </c>
      <c r="B32" s="5" t="n">
        <v>439374.2</v>
      </c>
      <c r="C32" s="5" t="n">
        <v>34562.28</v>
      </c>
      <c r="D32" s="6" t="n">
        <v>5185</v>
      </c>
      <c r="E32" s="6" t="n">
        <v>12383</v>
      </c>
      <c r="F32" s="7" t="n">
        <v>84.73947926711668</v>
      </c>
      <c r="G32" s="8" t="n">
        <v>0.07866251591468047</v>
      </c>
    </row>
    <row r="33">
      <c r="A33" s="3" t="inlineStr">
        <is>
          <t>2025-08</t>
        </is>
      </c>
      <c r="B33" s="5" t="n">
        <v>399351.89</v>
      </c>
      <c r="C33" s="5" t="n">
        <v>31389.81</v>
      </c>
      <c r="D33" s="6" t="n">
        <v>5053</v>
      </c>
      <c r="E33" s="6" t="n">
        <v>12059</v>
      </c>
      <c r="F33" s="7" t="n">
        <v>79.03263209974273</v>
      </c>
      <c r="G33" s="8" t="n">
        <v>0.07860188166381284</v>
      </c>
    </row>
    <row r="34">
      <c r="A34" s="3" t="inlineStr">
        <is>
          <t>2025-09</t>
        </is>
      </c>
      <c r="B34" s="5" t="n">
        <v>390303.61</v>
      </c>
      <c r="C34" s="5" t="n">
        <v>30686.82</v>
      </c>
      <c r="D34" s="6" t="n">
        <v>4918</v>
      </c>
      <c r="E34" s="6" t="n">
        <v>11823</v>
      </c>
      <c r="F34" s="7" t="n">
        <v>79.36226311508743</v>
      </c>
      <c r="G34" s="8" t="n">
        <v>0.07862294688998649</v>
      </c>
    </row>
    <row r="35">
      <c r="A35" s="3" t="inlineStr">
        <is>
          <t>2025-10</t>
        </is>
      </c>
      <c r="B35" s="5" t="n">
        <v>401691.15</v>
      </c>
      <c r="C35" s="5" t="n">
        <v>31554.63</v>
      </c>
      <c r="D35" s="6" t="n">
        <v>5057</v>
      </c>
      <c r="E35" s="6" t="n">
        <v>12165</v>
      </c>
      <c r="F35" s="7" t="n">
        <v>79.43269725133479</v>
      </c>
      <c r="G35" s="8" t="n">
        <v>0.07855445657689994</v>
      </c>
    </row>
    <row r="36">
      <c r="A36" s="3" t="inlineStr">
        <is>
          <t>2025-11</t>
        </is>
      </c>
      <c r="B36" s="5" t="n">
        <v>483079.06</v>
      </c>
      <c r="C36" s="5" t="n">
        <v>37965.51</v>
      </c>
      <c r="D36" s="6" t="n">
        <v>4971</v>
      </c>
      <c r="E36" s="6" t="n">
        <v>11946</v>
      </c>
      <c r="F36" s="7" t="n">
        <v>97.17945282639307</v>
      </c>
      <c r="G36" s="8" t="n">
        <v>0.07859067623423793</v>
      </c>
    </row>
    <row r="37">
      <c r="A37" s="3" t="inlineStr">
        <is>
          <t>2025-12</t>
        </is>
      </c>
      <c r="B37" s="5" t="n">
        <v>491705.81</v>
      </c>
      <c r="C37" s="5" t="n">
        <v>38610.53</v>
      </c>
      <c r="D37" s="6" t="n">
        <v>5022</v>
      </c>
      <c r="E37" s="6" t="n">
        <v>12038</v>
      </c>
      <c r="F37" s="7" t="n">
        <v>97.91035643170052</v>
      </c>
      <c r="G37" s="8" t="n">
        <v>0.07852363997895408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9" t="inlineStr">
        <is>
          <t>ROI Decision - Promote Marketplace Ads</t>
        </is>
      </c>
    </row>
    <row r="2">
      <c r="A2" t="inlineStr">
        <is>
          <t>Input</t>
        </is>
      </c>
      <c r="B2" t="inlineStr">
        <is>
          <t>Value</t>
        </is>
      </c>
    </row>
    <row r="3">
      <c r="A3" s="2" t="n"/>
      <c r="B3" s="2" t="n"/>
    </row>
    <row r="4">
      <c r="A4" s="3" t="inlineStr">
        <is>
          <t>Incremental GMV from Ads ($/mo)</t>
        </is>
      </c>
      <c r="B4" s="5" t="n">
        <v>500000</v>
      </c>
    </row>
    <row r="5">
      <c r="A5" s="3" t="inlineStr">
        <is>
          <t>Take Rate</t>
        </is>
      </c>
      <c r="B5" s="8" t="n">
        <v>0.105</v>
      </c>
    </row>
    <row r="6">
      <c r="A6" s="3" t="inlineStr">
        <is>
          <t>Gross Margin on Revenue</t>
        </is>
      </c>
      <c r="B6" s="8" t="n">
        <v>0.75</v>
      </c>
    </row>
    <row r="7">
      <c r="A7" s="3" t="inlineStr">
        <is>
          <t>Monthly Program Cost ($)</t>
        </is>
      </c>
      <c r="B7" s="5" t="n">
        <v>80000</v>
      </c>
    </row>
    <row r="9">
      <c r="A9" s="10" t="inlineStr">
        <is>
          <t>Outputs</t>
        </is>
      </c>
    </row>
    <row r="10">
      <c r="A10" s="3" t="inlineStr">
        <is>
          <t>Incremental Revenue ($/mo)</t>
        </is>
      </c>
      <c r="B10" s="5">
        <f>B4*B5</f>
        <v/>
      </c>
    </row>
    <row r="11">
      <c r="A11" s="3" t="inlineStr">
        <is>
          <t>Incremental Gross Profit ($/mo)</t>
        </is>
      </c>
      <c r="B11" s="5">
        <f>B10*B6</f>
        <v/>
      </c>
    </row>
    <row r="12">
      <c r="A12" s="3" t="inlineStr">
        <is>
          <t>Net Benefit ($/mo)</t>
        </is>
      </c>
      <c r="B12" s="5">
        <f>B11-B7</f>
        <v/>
      </c>
    </row>
    <row r="13">
      <c r="A13" s="3" t="inlineStr">
        <is>
          <t>ROI (Net Benefit / Cost)</t>
        </is>
      </c>
      <c r="B13" s="8">
        <f>B12/B7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2026-01-17T07:37:51Z</dcterms:created>
  <dcterms:modified xmlns:dcterms="http://purl.org/dc/terms/" xmlns:xsi="http://www.w3.org/2001/XMLSchema-instance" xsi:type="dcterms:W3CDTF">2026-01-17T07:37:51Z</dcterms:modified>
</cp:coreProperties>
</file>