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udget_vs_Actual" sheetId="3" state="visible" r:id="rId3"/>
    <sheet xmlns:r="http://schemas.openxmlformats.org/officeDocument/2006/relationships" name="DCF_Valuation" sheetId="4" state="visible" r:id="rId4"/>
    <sheet xmlns:r="http://schemas.openxmlformats.org/officeDocument/2006/relationships" name="ROI_Ca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</font>
    <font>
      <b val="1"/>
      <color rgb="00FFFFFF"/>
    </font>
    <font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vertical="center"/>
    </xf>
    <xf numFmtId="0" fontId="3" fillId="3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0" fontId="4" fillId="0" borderId="0" pivotButton="0" quotePrefix="0" xfId="0"/>
    <xf numFmtId="164" fontId="0" fillId="0" borderId="1" applyAlignment="1" pivotButton="0" quotePrefix="0" xfId="0">
      <alignment vertical="center"/>
    </xf>
    <xf numFmtId="0" fontId="2" fillId="0" borderId="0" pivotButton="0" quotePrefix="0" xfId="0"/>
    <xf numFmtId="164" fontId="0" fillId="0" borderId="0" pivotButton="0" quotePrefix="0" xfId="0"/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60" customWidth="1" min="3" max="3"/>
  </cols>
  <sheetData>
    <row r="1">
      <c r="A1" s="1" t="inlineStr">
        <is>
          <t>FP&amp;A Executive Model (2023-2025)</t>
        </is>
      </c>
    </row>
    <row r="3">
      <c r="A3" s="2" t="inlineStr">
        <is>
          <t>Valuation Assumptions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Notes</t>
        </is>
      </c>
      <c r="D4" s="4" t="n"/>
      <c r="E4" s="4" t="n"/>
      <c r="F4" s="4" t="n"/>
    </row>
    <row r="5">
      <c r="A5" s="5" t="inlineStr">
        <is>
          <t>WACC</t>
        </is>
      </c>
      <c r="B5" s="6" t="n">
        <v>0.1</v>
      </c>
      <c r="C5" s="5" t="inlineStr">
        <is>
          <t>Discount rate used for valuation</t>
        </is>
      </c>
    </row>
    <row r="6">
      <c r="A6" s="5" t="inlineStr">
        <is>
          <t>Terminal growth</t>
        </is>
      </c>
      <c r="B6" s="6" t="n">
        <v>0.03</v>
      </c>
      <c r="C6" s="5" t="inlineStr">
        <is>
          <t>Perpetual growth after forecast period</t>
        </is>
      </c>
    </row>
    <row r="7">
      <c r="A7" s="5" t="inlineStr">
        <is>
          <t>Tax rate</t>
        </is>
      </c>
      <c r="B7" s="6" t="n">
        <v>0.24</v>
      </c>
      <c r="C7" s="5" t="inlineStr">
        <is>
          <t>Effective tax rate</t>
        </is>
      </c>
    </row>
    <row r="8">
      <c r="A8" s="5" t="inlineStr">
        <is>
          <t>Depreciation % of Revenue</t>
        </is>
      </c>
      <c r="B8" s="6" t="n">
        <v>0.04</v>
      </c>
      <c r="C8" s="5" t="inlineStr">
        <is>
          <t>Proxy for D&amp;A</t>
        </is>
      </c>
    </row>
    <row r="9">
      <c r="A9" s="5" t="inlineStr">
        <is>
          <t>Capex % of Revenue</t>
        </is>
      </c>
      <c r="B9" s="6" t="n">
        <v>0.05</v>
      </c>
      <c r="C9" s="5" t="inlineStr">
        <is>
          <t>Capital expenditures</t>
        </is>
      </c>
    </row>
    <row r="10">
      <c r="A10" s="5" t="inlineStr">
        <is>
          <t>NWC % of Revenue</t>
        </is>
      </c>
      <c r="B10" s="6" t="n">
        <v>0.02</v>
      </c>
      <c r="C10" s="5" t="inlineStr">
        <is>
          <t>Net working capital investment</t>
        </is>
      </c>
    </row>
  </sheetData>
  <mergeCells count="2">
    <mergeCell ref="A3:C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Income Statement (Monthly, Actual)</t>
        </is>
      </c>
    </row>
    <row r="2">
      <c r="A2" s="3" t="inlineStr">
        <is>
          <t>Line Item</t>
        </is>
      </c>
      <c r="B2" s="3" t="inlineStr">
        <is>
          <t>2025-01</t>
        </is>
      </c>
      <c r="C2" s="3" t="inlineStr">
        <is>
          <t>2025-02</t>
        </is>
      </c>
      <c r="D2" s="3" t="inlineStr">
        <is>
          <t>2025-03</t>
        </is>
      </c>
      <c r="E2" s="3" t="inlineStr">
        <is>
          <t>2025-04</t>
        </is>
      </c>
      <c r="F2" s="3" t="inlineStr">
        <is>
          <t>2025-05</t>
        </is>
      </c>
      <c r="G2" s="3" t="inlineStr">
        <is>
          <t>2025-06</t>
        </is>
      </c>
      <c r="H2" s="3" t="inlineStr">
        <is>
          <t>2025-07</t>
        </is>
      </c>
      <c r="I2" s="3" t="inlineStr">
        <is>
          <t>2025-08</t>
        </is>
      </c>
      <c r="J2" s="3" t="inlineStr">
        <is>
          <t>2025-09</t>
        </is>
      </c>
      <c r="K2" s="3" t="inlineStr">
        <is>
          <t>2025-10</t>
        </is>
      </c>
      <c r="L2" s="3" t="inlineStr">
        <is>
          <t>2025-11</t>
        </is>
      </c>
      <c r="M2" s="3" t="inlineStr">
        <is>
          <t>2025-12</t>
        </is>
      </c>
      <c r="N2" s="3" t="inlineStr">
        <is>
          <t>FY Total</t>
        </is>
      </c>
    </row>
    <row r="3">
      <c r="A3" s="5" t="inlineStr">
        <is>
          <t>Revenue</t>
        </is>
      </c>
      <c r="B3" s="8" t="n">
        <v>2000000</v>
      </c>
      <c r="C3" s="8" t="n">
        <v>2050000</v>
      </c>
      <c r="D3" s="8" t="n">
        <v>2100000</v>
      </c>
      <c r="E3" s="8" t="n">
        <v>2150000</v>
      </c>
      <c r="F3" s="8" t="n">
        <v>2200000</v>
      </c>
      <c r="G3" s="8" t="n">
        <v>2250000</v>
      </c>
      <c r="H3" s="8" t="n">
        <v>2300000</v>
      </c>
      <c r="I3" s="8" t="n">
        <v>2350000</v>
      </c>
      <c r="J3" s="8" t="n">
        <v>2400000</v>
      </c>
      <c r="K3" s="8" t="n">
        <v>2450000</v>
      </c>
      <c r="L3" s="8" t="n">
        <v>2500000</v>
      </c>
      <c r="M3" s="8" t="n">
        <v>2550000</v>
      </c>
      <c r="N3" s="8">
        <f>SUM(B3:M3)</f>
        <v/>
      </c>
    </row>
    <row r="4">
      <c r="A4" s="5" t="inlineStr">
        <is>
          <t>COGS</t>
        </is>
      </c>
      <c r="B4" s="8">
        <f>-0.62*B3</f>
        <v/>
      </c>
      <c r="C4" s="8">
        <f>-0.62*C3</f>
        <v/>
      </c>
      <c r="D4" s="8">
        <f>-0.62*D3</f>
        <v/>
      </c>
      <c r="E4" s="8">
        <f>-0.62*E3</f>
        <v/>
      </c>
      <c r="F4" s="8">
        <f>-0.62*F3</f>
        <v/>
      </c>
      <c r="G4" s="8">
        <f>-0.62*G3</f>
        <v/>
      </c>
      <c r="H4" s="8">
        <f>-0.62*H3</f>
        <v/>
      </c>
      <c r="I4" s="8">
        <f>-0.62*I3</f>
        <v/>
      </c>
      <c r="J4" s="8">
        <f>-0.62*J3</f>
        <v/>
      </c>
      <c r="K4" s="8">
        <f>-0.62*K3</f>
        <v/>
      </c>
      <c r="L4" s="8">
        <f>-0.62*L3</f>
        <v/>
      </c>
      <c r="M4" s="8">
        <f>-0.62*M3</f>
        <v/>
      </c>
      <c r="N4" s="8">
        <f>SUM(B4:M4)</f>
        <v/>
      </c>
    </row>
    <row r="5">
      <c r="A5" s="5" t="inlineStr">
        <is>
          <t>Gross Profit</t>
        </is>
      </c>
      <c r="B5" s="8">
        <f>B3+B4</f>
        <v/>
      </c>
      <c r="C5" s="8">
        <f>C3+C4</f>
        <v/>
      </c>
      <c r="D5" s="8">
        <f>D3+D4</f>
        <v/>
      </c>
      <c r="E5" s="8">
        <f>E3+E4</f>
        <v/>
      </c>
      <c r="F5" s="8">
        <f>F3+F4</f>
        <v/>
      </c>
      <c r="G5" s="8">
        <f>G3+G4</f>
        <v/>
      </c>
      <c r="H5" s="8">
        <f>H3+H4</f>
        <v/>
      </c>
      <c r="I5" s="8">
        <f>I3+I4</f>
        <v/>
      </c>
      <c r="J5" s="8">
        <f>J3+J4</f>
        <v/>
      </c>
      <c r="K5" s="8">
        <f>K3+K4</f>
        <v/>
      </c>
      <c r="L5" s="8">
        <f>L3+L4</f>
        <v/>
      </c>
      <c r="M5" s="8">
        <f>M3+M4</f>
        <v/>
      </c>
      <c r="N5" s="8">
        <f>SUM(B5:M5)</f>
        <v/>
      </c>
    </row>
    <row r="6">
      <c r="A6" s="5" t="inlineStr">
        <is>
          <t>Opex</t>
        </is>
      </c>
      <c r="B6" s="8">
        <f>-0.28*B3</f>
        <v/>
      </c>
      <c r="C6" s="8">
        <f>-0.28*C3</f>
        <v/>
      </c>
      <c r="D6" s="8">
        <f>-0.28*D3</f>
        <v/>
      </c>
      <c r="E6" s="8">
        <f>-0.28*E3</f>
        <v/>
      </c>
      <c r="F6" s="8">
        <f>-0.28*F3</f>
        <v/>
      </c>
      <c r="G6" s="8">
        <f>-0.28*G3</f>
        <v/>
      </c>
      <c r="H6" s="8">
        <f>-0.28*H3</f>
        <v/>
      </c>
      <c r="I6" s="8">
        <f>-0.28*I3</f>
        <v/>
      </c>
      <c r="J6" s="8">
        <f>-0.28*J3</f>
        <v/>
      </c>
      <c r="K6" s="8">
        <f>-0.28*K3</f>
        <v/>
      </c>
      <c r="L6" s="8">
        <f>-0.28*L3</f>
        <v/>
      </c>
      <c r="M6" s="8">
        <f>-0.28*M3</f>
        <v/>
      </c>
      <c r="N6" s="8">
        <f>SUM(B6:M6)</f>
        <v/>
      </c>
    </row>
    <row r="7">
      <c r="A7" s="5" t="inlineStr">
        <is>
          <t>Operating Income</t>
        </is>
      </c>
      <c r="B7" s="8">
        <f>B5+B6</f>
        <v/>
      </c>
      <c r="C7" s="8">
        <f>C5+C6</f>
        <v/>
      </c>
      <c r="D7" s="8">
        <f>D5+D6</f>
        <v/>
      </c>
      <c r="E7" s="8">
        <f>E5+E6</f>
        <v/>
      </c>
      <c r="F7" s="8">
        <f>F5+F6</f>
        <v/>
      </c>
      <c r="G7" s="8">
        <f>G5+G6</f>
        <v/>
      </c>
      <c r="H7" s="8">
        <f>H5+H6</f>
        <v/>
      </c>
      <c r="I7" s="8">
        <f>I5+I6</f>
        <v/>
      </c>
      <c r="J7" s="8">
        <f>J5+J6</f>
        <v/>
      </c>
      <c r="K7" s="8">
        <f>K5+K6</f>
        <v/>
      </c>
      <c r="L7" s="8">
        <f>L5+L6</f>
        <v/>
      </c>
      <c r="M7" s="8">
        <f>M5+M6</f>
        <v/>
      </c>
      <c r="N7" s="8">
        <f>SUM(B7:M7)</f>
        <v/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40" customWidth="1" min="6" max="6"/>
    <col width="14" customWidth="1" min="7" max="7"/>
    <col width="16" customWidth="1" min="8" max="8"/>
  </cols>
  <sheetData>
    <row r="1">
      <c r="A1" s="7" t="inlineStr">
        <is>
          <t>Budget vs Actual (FY2025)</t>
        </is>
      </c>
    </row>
    <row r="2">
      <c r="A2" s="3" t="inlineStr">
        <is>
          <t>Metric</t>
        </is>
      </c>
      <c r="B2" s="3" t="inlineStr">
        <is>
          <t>Actual</t>
        </is>
      </c>
      <c r="C2" s="3" t="inlineStr">
        <is>
          <t>Budget</t>
        </is>
      </c>
      <c r="D2" s="3" t="inlineStr">
        <is>
          <t>Variance</t>
        </is>
      </c>
      <c r="E2" s="3" t="inlineStr">
        <is>
          <t>Variance %</t>
        </is>
      </c>
      <c r="F2" s="3" t="inlineStr">
        <is>
          <t>Commentary</t>
        </is>
      </c>
      <c r="G2" s="3" t="inlineStr">
        <is>
          <t>Owner</t>
        </is>
      </c>
      <c r="H2" s="3" t="inlineStr">
        <is>
          <t>Decision</t>
        </is>
      </c>
    </row>
    <row r="3">
      <c r="A3" s="5" t="inlineStr">
        <is>
          <t>Revenue</t>
        </is>
      </c>
      <c r="B3" s="8">
        <f>'P&amp;L'!N3</f>
        <v/>
      </c>
      <c r="C3" s="8">
        <f>B3*1.03</f>
        <v/>
      </c>
      <c r="D3" s="8">
        <f>B3-C3</f>
        <v/>
      </c>
      <c r="E3" s="6">
        <f>IF(C3=0,0,D3/C3)</f>
        <v/>
      </c>
      <c r="F3" s="5" t="inlineStr"/>
      <c r="G3" s="5" t="inlineStr">
        <is>
          <t>FP&amp;A</t>
        </is>
      </c>
      <c r="H3" s="5" t="inlineStr">
        <is>
          <t>Monitor</t>
        </is>
      </c>
    </row>
    <row r="4">
      <c r="A4" s="5" t="inlineStr">
        <is>
          <t>Gross Margin %</t>
        </is>
      </c>
      <c r="B4" s="6">
        <f>('P&amp;L'!N5)/('P&amp;L'!N3)</f>
        <v/>
      </c>
      <c r="C4" s="5">
        <f>B4*1.02</f>
        <v/>
      </c>
      <c r="D4" s="5">
        <f>B4-C4</f>
        <v/>
      </c>
      <c r="E4" s="6">
        <f>IF(C4=0,0,D4/C4)</f>
        <v/>
      </c>
      <c r="F4" s="5" t="inlineStr"/>
      <c r="G4" s="5" t="inlineStr">
        <is>
          <t>FP&amp;A</t>
        </is>
      </c>
      <c r="H4" s="5" t="inlineStr">
        <is>
          <t>Monitor</t>
        </is>
      </c>
    </row>
    <row r="5">
      <c r="A5" s="5" t="inlineStr">
        <is>
          <t>Opex</t>
        </is>
      </c>
      <c r="B5" s="8">
        <f>'P&amp;L'!N5</f>
        <v/>
      </c>
      <c r="C5" s="8">
        <f>B5*1.02</f>
        <v/>
      </c>
      <c r="D5" s="8">
        <f>B5-C5</f>
        <v/>
      </c>
      <c r="E5" s="6">
        <f>IF(C5=0,0,D5/C5)</f>
        <v/>
      </c>
      <c r="F5" s="5" t="inlineStr"/>
      <c r="G5" s="5" t="inlineStr">
        <is>
          <t>FP&amp;A</t>
        </is>
      </c>
      <c r="H5" s="5" t="inlineStr">
        <is>
          <t>Reduce spend</t>
        </is>
      </c>
    </row>
    <row r="6">
      <c r="A6" s="5" t="inlineStr">
        <is>
          <t>Operating Income</t>
        </is>
      </c>
      <c r="B6" s="8">
        <f>'P&amp;L'!N6</f>
        <v/>
      </c>
      <c r="C6" s="8">
        <f>B6*1.03</f>
        <v/>
      </c>
      <c r="D6" s="8">
        <f>B6-C6</f>
        <v/>
      </c>
      <c r="E6" s="6">
        <f>IF(C6=0,0,D6/C6)</f>
        <v/>
      </c>
      <c r="F6" s="5" t="inlineStr"/>
      <c r="G6" s="5" t="inlineStr">
        <is>
          <t>FP&amp;A</t>
        </is>
      </c>
      <c r="H6" s="5" t="inlineStr">
        <is>
          <t>Monitor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7" t="inlineStr">
        <is>
          <t>DCF Valuation (Illustrative)</t>
        </is>
      </c>
    </row>
    <row r="2">
      <c r="A2" s="3" t="inlineStr">
        <is>
          <t>Year</t>
        </is>
      </c>
      <c r="B2" s="3" t="inlineStr">
        <is>
          <t>Revenue</t>
        </is>
      </c>
      <c r="C2" s="3" t="inlineStr">
        <is>
          <t>EBIT %</t>
        </is>
      </c>
      <c r="D2" s="3" t="inlineStr">
        <is>
          <t>EBIT</t>
        </is>
      </c>
      <c r="E2" s="3" t="inlineStr">
        <is>
          <t>Tax</t>
        </is>
      </c>
      <c r="F2" s="3" t="inlineStr">
        <is>
          <t>NOPAT</t>
        </is>
      </c>
      <c r="G2" s="3" t="inlineStr">
        <is>
          <t>FCF</t>
        </is>
      </c>
    </row>
    <row r="3">
      <c r="A3" s="5" t="n">
        <v>2026</v>
      </c>
      <c r="B3" s="8" t="n">
        <v>30000000</v>
      </c>
      <c r="C3" s="6" t="n">
        <v>0.18</v>
      </c>
      <c r="D3" s="8">
        <f>B3*C3</f>
        <v/>
      </c>
      <c r="E3" s="8">
        <f>-Assumptions!B5*D3</f>
        <v/>
      </c>
      <c r="F3" s="8">
        <f>D3+E3</f>
        <v/>
      </c>
      <c r="G3" s="8">
        <f>F3 - (Assumptions!B7*B3) - (Assumptions!B6*B3) - (Assumptions!B8*B3)</f>
        <v/>
      </c>
    </row>
    <row r="4">
      <c r="A4" s="5" t="n">
        <v>2027</v>
      </c>
      <c r="B4" s="8" t="n">
        <v>32400000</v>
      </c>
      <c r="C4" s="6" t="n">
        <v>0.18</v>
      </c>
      <c r="D4" s="8">
        <f>B4*C4</f>
        <v/>
      </c>
      <c r="E4" s="8">
        <f>-Assumptions!B5*D4</f>
        <v/>
      </c>
      <c r="F4" s="8">
        <f>D4+E4</f>
        <v/>
      </c>
      <c r="G4" s="8">
        <f>F4 - (Assumptions!B7*B4) - (Assumptions!B6*B4) - (Assumptions!B8*B4)</f>
        <v/>
      </c>
    </row>
    <row r="5">
      <c r="A5" s="5" t="n">
        <v>2028</v>
      </c>
      <c r="B5" s="8" t="n">
        <v>34992000</v>
      </c>
      <c r="C5" s="6" t="n">
        <v>0.18</v>
      </c>
      <c r="D5" s="8">
        <f>B5*C5</f>
        <v/>
      </c>
      <c r="E5" s="8">
        <f>-Assumptions!B5*D5</f>
        <v/>
      </c>
      <c r="F5" s="8">
        <f>D5+E5</f>
        <v/>
      </c>
      <c r="G5" s="8">
        <f>F5 - (Assumptions!B7*B5) - (Assumptions!B6*B5) - (Assumptions!B8*B5)</f>
        <v/>
      </c>
    </row>
    <row r="6">
      <c r="A6" s="5" t="n">
        <v>2029</v>
      </c>
      <c r="B6" s="8" t="n">
        <v>37791360.00000001</v>
      </c>
      <c r="C6" s="6" t="n">
        <v>0.18</v>
      </c>
      <c r="D6" s="8">
        <f>B6*C6</f>
        <v/>
      </c>
      <c r="E6" s="8">
        <f>-Assumptions!B5*D6</f>
        <v/>
      </c>
      <c r="F6" s="8">
        <f>D6+E6</f>
        <v/>
      </c>
      <c r="G6" s="8">
        <f>F6 - (Assumptions!B7*B6) - (Assumptions!B6*B6) - (Assumptions!B8*B6)</f>
        <v/>
      </c>
    </row>
    <row r="7">
      <c r="A7" s="5" t="n">
        <v>2030</v>
      </c>
      <c r="B7" s="8" t="n">
        <v>40814668.80000001</v>
      </c>
      <c r="C7" s="6" t="n">
        <v>0.18</v>
      </c>
      <c r="D7" s="8">
        <f>B7*C7</f>
        <v/>
      </c>
      <c r="E7" s="8">
        <f>-Assumptions!B5*D7</f>
        <v/>
      </c>
      <c r="F7" s="8">
        <f>D7+E7</f>
        <v/>
      </c>
      <c r="G7" s="8">
        <f>F7 - (Assumptions!B7*B7) - (Assumptions!B6*B7) - (Assumptions!B8*B7)</f>
        <v/>
      </c>
    </row>
    <row r="9">
      <c r="A9" s="9" t="inlineStr">
        <is>
          <t>PV of FCF</t>
        </is>
      </c>
      <c r="G9" s="10">
        <f>NPV(Assumptions!B3, G3:G7)</f>
        <v/>
      </c>
    </row>
    <row r="10">
      <c r="A10" t="inlineStr">
        <is>
          <t>Terminal Value</t>
        </is>
      </c>
      <c r="G10" s="10">
        <f>G7*(1+Assumptions!B4)/(Assumptions!B3-Assumptions!B4)</f>
        <v/>
      </c>
    </row>
    <row r="11">
      <c r="A11" t="inlineStr">
        <is>
          <t>PV Terminal</t>
        </is>
      </c>
      <c r="G11" s="10">
        <f>G10/(1+Assumptions!B3)^5</f>
        <v/>
      </c>
    </row>
    <row r="12">
      <c r="A12" t="inlineStr">
        <is>
          <t>Enterprise Value</t>
        </is>
      </c>
      <c r="G12" s="10">
        <f>G9+G11</f>
        <v/>
      </c>
    </row>
  </sheetData>
  <mergeCells count="2">
    <mergeCell ref="A1:G1"/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8" customWidth="1" min="3" max="3"/>
    <col width="55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7" t="inlineStr">
        <is>
          <t>ROI Decision Memo (Example: Marketplace Ads Expansion)</t>
        </is>
      </c>
    </row>
    <row r="2">
      <c r="A2" s="3" t="inlineStr">
        <is>
          <t>Item</t>
        </is>
      </c>
      <c r="B2" s="3" t="inlineStr">
        <is>
          <t>Value</t>
        </is>
      </c>
      <c r="C2" s="3" t="inlineStr">
        <is>
          <t>Unit</t>
        </is>
      </c>
      <c r="D2" s="3" t="inlineStr">
        <is>
          <t>Notes</t>
        </is>
      </c>
      <c r="E2" s="4" t="n"/>
      <c r="F2" s="4" t="n"/>
      <c r="G2" s="4" t="n"/>
      <c r="H2" s="4" t="n"/>
    </row>
    <row r="3">
      <c r="A3" s="5" t="inlineStr">
        <is>
          <t>Upfront investment</t>
        </is>
      </c>
      <c r="B3" s="8" t="n">
        <v>2500000</v>
      </c>
      <c r="C3" s="5" t="inlineStr">
        <is>
          <t>$</t>
        </is>
      </c>
      <c r="D3" s="5" t="inlineStr">
        <is>
          <t>One-time build + launch</t>
        </is>
      </c>
    </row>
    <row r="4">
      <c r="A4" s="5" t="inlineStr">
        <is>
          <t>Annual incremental revenue</t>
        </is>
      </c>
      <c r="B4" s="8" t="n">
        <v>4200000</v>
      </c>
      <c r="C4" s="5" t="inlineStr">
        <is>
          <t>$</t>
        </is>
      </c>
      <c r="D4" s="5" t="inlineStr">
        <is>
          <t>Expected lift from new ad placements</t>
        </is>
      </c>
    </row>
    <row r="5">
      <c r="A5" s="5" t="inlineStr">
        <is>
          <t>Incremental gross margin %</t>
        </is>
      </c>
      <c r="B5" s="6" t="n">
        <v>0.65</v>
      </c>
      <c r="C5" s="5" t="inlineStr">
        <is>
          <t>%</t>
        </is>
      </c>
      <c r="D5" s="5" t="inlineStr">
        <is>
          <t>Contribution after traffic costs</t>
        </is>
      </c>
    </row>
    <row r="6">
      <c r="A6" s="5" t="inlineStr">
        <is>
          <t>Annual opex</t>
        </is>
      </c>
      <c r="B6" s="8" t="n">
        <v>900000</v>
      </c>
      <c r="C6" s="5" t="inlineStr">
        <is>
          <t>$</t>
        </is>
      </c>
      <c r="D6" s="5" t="inlineStr">
        <is>
          <t>Ad ops + support</t>
        </is>
      </c>
    </row>
    <row r="7">
      <c r="A7" s="5" t="inlineStr">
        <is>
          <t>Project life</t>
        </is>
      </c>
      <c r="B7" s="5" t="n">
        <v>4</v>
      </c>
      <c r="C7" s="5" t="inlineStr">
        <is>
          <t>Years</t>
        </is>
      </c>
      <c r="D7" s="5" t="inlineStr">
        <is>
          <t>Conservative evaluation horizon</t>
        </is>
      </c>
    </row>
    <row r="8">
      <c r="A8" s="5" t="inlineStr">
        <is>
          <t>Discount rate</t>
        </is>
      </c>
      <c r="B8" s="6" t="n">
        <v>0.1</v>
      </c>
      <c r="C8" s="5" t="inlineStr">
        <is>
          <t>%</t>
        </is>
      </c>
      <c r="D8" s="5" t="inlineStr">
        <is>
          <t>Use WACC for NPV</t>
        </is>
      </c>
    </row>
    <row r="10">
      <c r="A10" s="2" t="inlineStr">
        <is>
          <t>Outputs</t>
        </is>
      </c>
    </row>
    <row r="11">
      <c r="A11" s="5" t="inlineStr">
        <is>
          <t>Annual cash flow</t>
        </is>
      </c>
      <c r="B11" s="8">
        <f>B4*B5-B6</f>
        <v/>
      </c>
    </row>
    <row r="12">
      <c r="A12" s="5" t="inlineStr">
        <is>
          <t>Payback (years)</t>
        </is>
      </c>
      <c r="B12" s="11">
        <f>B3/B11</f>
        <v/>
      </c>
    </row>
    <row r="13">
      <c r="A13" s="5" t="inlineStr">
        <is>
          <t>NPV</t>
        </is>
      </c>
      <c r="B13" s="8">
        <f>NPV(B8, B11,B11,B11,B11) - B3</f>
        <v/>
      </c>
    </row>
    <row r="14">
      <c r="A14" s="5" t="inlineStr">
        <is>
          <t>IRR</t>
        </is>
      </c>
      <c r="B14" s="6">
        <f>IRR({-B3,B11,B11,B11,B11})</f>
        <v/>
      </c>
    </row>
  </sheetData>
  <mergeCells count="2">
    <mergeCell ref="A10:D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2026-01-17T07:37:08Z</dcterms:created>
  <dcterms:modified xmlns:dcterms="http://purl.org/dc/terms/" xmlns:xsi="http://www.w3.org/2001/XMLSchema-instance" xsi:type="dcterms:W3CDTF">2026-01-17T07:37:09Z</dcterms:modified>
</cp:coreProperties>
</file>